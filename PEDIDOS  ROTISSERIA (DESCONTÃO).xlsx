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ddes\OneDrive\Desktop\Pedidos Lojas\ROTISSERIA\"/>
    </mc:Choice>
  </mc:AlternateContent>
  <xr:revisionPtr revIDLastSave="0" documentId="13_ncr:1_{D65A06DE-42E1-4BD2-8502-FCB074F8C29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DOS DE VENDA" sheetId="4" r:id="rId1"/>
    <sheet name="SEGUNDA" sheetId="2" r:id="rId2"/>
    <sheet name="TERÇA" sheetId="13" r:id="rId3"/>
    <sheet name="QUARTA" sheetId="14" r:id="rId4"/>
    <sheet name="QUINTA" sheetId="15" r:id="rId5"/>
    <sheet name="SEXTA" sheetId="16" r:id="rId6"/>
    <sheet name="SABADO" sheetId="17" r:id="rId7"/>
    <sheet name="DOMINGO" sheetId="18" r:id="rId8"/>
  </sheets>
  <externalReferences>
    <externalReference r:id="rId9"/>
    <externalReference r:id="rId10"/>
  </externalReferences>
  <definedNames>
    <definedName name="_xlnm._FilterDatabase" localSheetId="0" hidden="1">'DADOS DE VENDA'!$AQ$2:$AW$2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8" i="4" l="1"/>
  <c r="Q49" i="4"/>
  <c r="Q50" i="4" s="1"/>
  <c r="Q51" i="4" s="1"/>
  <c r="Q52" i="4" s="1"/>
  <c r="A27" i="15"/>
  <c r="A26" i="15"/>
  <c r="P27" i="14"/>
  <c r="S31" i="15"/>
  <c r="S48" i="15" s="1"/>
  <c r="O27" i="13" l="1"/>
  <c r="E57" i="13"/>
  <c r="E58" i="13"/>
  <c r="E59" i="13"/>
  <c r="E56" i="13"/>
  <c r="A57" i="13"/>
  <c r="A58" i="13"/>
  <c r="A59" i="13"/>
  <c r="A56" i="13"/>
  <c r="E52" i="13"/>
  <c r="E53" i="13"/>
  <c r="E54" i="13"/>
  <c r="E51" i="13"/>
  <c r="A52" i="13"/>
  <c r="A53" i="13"/>
  <c r="A54" i="13"/>
  <c r="A51" i="13"/>
  <c r="E35" i="13"/>
  <c r="E36" i="13"/>
  <c r="E38" i="13"/>
  <c r="E39" i="13"/>
  <c r="E40" i="13"/>
  <c r="E42" i="13"/>
  <c r="E43" i="13"/>
  <c r="E44" i="13"/>
  <c r="E34" i="13"/>
  <c r="A35" i="13"/>
  <c r="O35" i="13" s="1"/>
  <c r="A36" i="13"/>
  <c r="O36" i="13" s="1"/>
  <c r="A38" i="13"/>
  <c r="O38" i="13" s="1"/>
  <c r="A39" i="13"/>
  <c r="O39" i="13" s="1"/>
  <c r="A40" i="13"/>
  <c r="O40" i="13" s="1"/>
  <c r="A42" i="13"/>
  <c r="O42" i="13" s="1"/>
  <c r="A43" i="13"/>
  <c r="O43" i="13" s="1"/>
  <c r="A44" i="13"/>
  <c r="O44" i="13" s="1"/>
  <c r="A34" i="13"/>
  <c r="O34" i="13" s="1"/>
  <c r="E58" i="2" l="1"/>
  <c r="E57" i="2"/>
  <c r="E56" i="2"/>
  <c r="E55" i="2"/>
  <c r="E53" i="2"/>
  <c r="E52" i="2"/>
  <c r="E51" i="2"/>
  <c r="E50" i="2"/>
  <c r="A44" i="2"/>
  <c r="P44" i="2" s="1"/>
  <c r="A43" i="2"/>
  <c r="P43" i="2" s="1"/>
  <c r="A42" i="2"/>
  <c r="P42" i="2" s="1"/>
  <c r="A40" i="2"/>
  <c r="P40" i="2" s="1"/>
  <c r="A39" i="2"/>
  <c r="P39" i="2" s="1"/>
  <c r="A38" i="2"/>
  <c r="P38" i="2" s="1"/>
  <c r="A36" i="2"/>
  <c r="P36" i="2" s="1"/>
  <c r="A35" i="2"/>
  <c r="B35" i="2" s="1"/>
  <c r="A34" i="2"/>
  <c r="P34" i="2" s="1"/>
  <c r="E44" i="2"/>
  <c r="E43" i="2"/>
  <c r="E42" i="2"/>
  <c r="E40" i="2"/>
  <c r="E39" i="2"/>
  <c r="E38" i="2"/>
  <c r="E36" i="2"/>
  <c r="E35" i="2"/>
  <c r="E34" i="2"/>
  <c r="A23" i="2"/>
  <c r="P23" i="2" s="1"/>
  <c r="A24" i="2"/>
  <c r="P24" i="2" s="1"/>
  <c r="A26" i="2"/>
  <c r="P26" i="2" s="1"/>
  <c r="A27" i="2"/>
  <c r="P27" i="2" s="1"/>
  <c r="E27" i="2"/>
  <c r="E26" i="2"/>
  <c r="E24" i="2"/>
  <c r="E23" i="2"/>
  <c r="E22" i="2"/>
  <c r="E20" i="2"/>
  <c r="E19" i="2"/>
  <c r="E18" i="2"/>
  <c r="E16" i="2"/>
  <c r="E15" i="2"/>
  <c r="E13" i="2"/>
  <c r="E12" i="2"/>
  <c r="E10" i="2"/>
  <c r="E9" i="2"/>
  <c r="E8" i="2"/>
  <c r="E6" i="2"/>
  <c r="E5" i="2"/>
  <c r="E4" i="2"/>
  <c r="E51" i="17"/>
  <c r="E48" i="17"/>
  <c r="E49" i="17"/>
  <c r="E47" i="17"/>
  <c r="E44" i="17"/>
  <c r="E45" i="17"/>
  <c r="E43" i="17"/>
  <c r="A66" i="17"/>
  <c r="A67" i="17"/>
  <c r="A68" i="17"/>
  <c r="A65" i="17"/>
  <c r="A61" i="17"/>
  <c r="A62" i="17"/>
  <c r="A63" i="17"/>
  <c r="A60" i="17"/>
  <c r="R29" i="17"/>
  <c r="R30" i="17"/>
  <c r="R31" i="17"/>
  <c r="R32" i="17"/>
  <c r="R33" i="17"/>
  <c r="R34" i="17"/>
  <c r="R35" i="17"/>
  <c r="A30" i="17"/>
  <c r="P30" i="17" s="1"/>
  <c r="Q30" i="17" s="1"/>
  <c r="A31" i="17"/>
  <c r="P31" i="17" s="1"/>
  <c r="Q31" i="17" s="1"/>
  <c r="A32" i="17"/>
  <c r="D32" i="17" s="1"/>
  <c r="A33" i="17"/>
  <c r="P33" i="17" s="1"/>
  <c r="Q33" i="17" s="1"/>
  <c r="A34" i="17"/>
  <c r="G34" i="17" s="1"/>
  <c r="H34" i="17" s="1"/>
  <c r="A35" i="17"/>
  <c r="L35" i="17" s="1"/>
  <c r="A29" i="17"/>
  <c r="P29" i="17" s="1"/>
  <c r="Q29" i="17" s="1"/>
  <c r="A27" i="17"/>
  <c r="D27" i="17" s="1"/>
  <c r="A26" i="17"/>
  <c r="E35" i="17"/>
  <c r="F35" i="17" s="1"/>
  <c r="S35" i="17" s="1"/>
  <c r="E27" i="17"/>
  <c r="F27" i="17" s="1"/>
  <c r="G27" i="17"/>
  <c r="H27" i="17" s="1"/>
  <c r="I27" i="17"/>
  <c r="M27" i="17" s="1" a="1"/>
  <c r="M27" i="17" s="1"/>
  <c r="L27" i="17"/>
  <c r="E29" i="17"/>
  <c r="F29" i="17" s="1"/>
  <c r="S29" i="17" s="1"/>
  <c r="E30" i="17"/>
  <c r="F30" i="17" s="1"/>
  <c r="S30" i="17" s="1"/>
  <c r="G30" i="17"/>
  <c r="H30" i="17" s="1"/>
  <c r="E31" i="17"/>
  <c r="F31" i="17" s="1"/>
  <c r="S31" i="17" s="1"/>
  <c r="E32" i="17"/>
  <c r="F32" i="17" s="1"/>
  <c r="S32" i="17" s="1"/>
  <c r="G32" i="17"/>
  <c r="H32" i="17" s="1"/>
  <c r="I32" i="17"/>
  <c r="M32" i="17" s="1" a="1"/>
  <c r="M32" i="17" s="1"/>
  <c r="B33" i="17"/>
  <c r="D33" i="17"/>
  <c r="E33" i="17"/>
  <c r="F33" i="17" s="1"/>
  <c r="S33" i="17" s="1"/>
  <c r="G33" i="17"/>
  <c r="H33" i="17" s="1"/>
  <c r="I33" i="17"/>
  <c r="L33" i="17"/>
  <c r="B34" i="17"/>
  <c r="D34" i="17"/>
  <c r="E34" i="17"/>
  <c r="F34" i="17" s="1"/>
  <c r="S34" i="17" s="1"/>
  <c r="I34" i="17"/>
  <c r="M34" i="17" s="1" a="1"/>
  <c r="M34" i="17" s="1"/>
  <c r="L34" i="17"/>
  <c r="A51" i="17"/>
  <c r="P51" i="17" s="1"/>
  <c r="A48" i="17"/>
  <c r="I48" i="17" s="1"/>
  <c r="A49" i="17"/>
  <c r="P49" i="17" s="1"/>
  <c r="A47" i="17"/>
  <c r="I47" i="17" s="1"/>
  <c r="A44" i="17"/>
  <c r="P44" i="17" s="1"/>
  <c r="A45" i="17"/>
  <c r="I45" i="17" s="1"/>
  <c r="A43" i="17"/>
  <c r="I43" i="17" s="1"/>
  <c r="S40" i="17"/>
  <c r="E5" i="17"/>
  <c r="E6" i="17"/>
  <c r="E8" i="17"/>
  <c r="E9" i="17"/>
  <c r="E10" i="17"/>
  <c r="E12" i="17"/>
  <c r="E13" i="17"/>
  <c r="E15" i="17"/>
  <c r="E16" i="17"/>
  <c r="E18" i="17"/>
  <c r="E19" i="17"/>
  <c r="E20" i="17"/>
  <c r="E22" i="17"/>
  <c r="E23" i="17"/>
  <c r="E24" i="17"/>
  <c r="E26" i="17"/>
  <c r="E4" i="17"/>
  <c r="I30" i="17" l="1"/>
  <c r="M30" i="17" s="1" a="1"/>
  <c r="M30" i="17" s="1"/>
  <c r="D31" i="17"/>
  <c r="B31" i="17"/>
  <c r="L30" i="17"/>
  <c r="B27" i="17"/>
  <c r="D29" i="17"/>
  <c r="B29" i="17"/>
  <c r="I29" i="17"/>
  <c r="M29" i="17" s="1" a="1"/>
  <c r="M29" i="17" s="1"/>
  <c r="G29" i="17"/>
  <c r="H29" i="17" s="1"/>
  <c r="I35" i="17"/>
  <c r="M35" i="17" s="1" a="1"/>
  <c r="M35" i="17" s="1"/>
  <c r="L31" i="17"/>
  <c r="D30" i="17"/>
  <c r="J33" i="17"/>
  <c r="I31" i="17"/>
  <c r="M31" i="17" s="1" a="1"/>
  <c r="M31" i="17" s="1"/>
  <c r="G31" i="17"/>
  <c r="H31" i="17" s="1"/>
  <c r="P35" i="2"/>
  <c r="B30" i="17"/>
  <c r="I49" i="17"/>
  <c r="P34" i="17"/>
  <c r="Q34" i="17" s="1"/>
  <c r="G35" i="17"/>
  <c r="H35" i="17" s="1"/>
  <c r="L29" i="17"/>
  <c r="P47" i="17"/>
  <c r="P35" i="17"/>
  <c r="Q35" i="17" s="1"/>
  <c r="P32" i="17"/>
  <c r="Q32" i="17" s="1"/>
  <c r="B32" i="17"/>
  <c r="D35" i="17"/>
  <c r="B35" i="17"/>
  <c r="K32" i="17"/>
  <c r="J32" i="17"/>
  <c r="K33" i="17"/>
  <c r="K34" i="17"/>
  <c r="J34" i="17"/>
  <c r="M33" i="17" a="1"/>
  <c r="M33" i="17" s="1"/>
  <c r="K30" i="17"/>
  <c r="L32" i="17"/>
  <c r="J30" i="17"/>
  <c r="K27" i="17"/>
  <c r="J27" i="17"/>
  <c r="I44" i="17"/>
  <c r="I51" i="17"/>
  <c r="P43" i="17"/>
  <c r="P45" i="17"/>
  <c r="P48" i="17"/>
  <c r="P31" i="16"/>
  <c r="S31" i="16"/>
  <c r="A57" i="16"/>
  <c r="I57" i="16" s="1"/>
  <c r="A58" i="16"/>
  <c r="P58" i="16" s="1"/>
  <c r="A59" i="16"/>
  <c r="L59" i="16" s="1"/>
  <c r="A56" i="16"/>
  <c r="L56" i="16" s="1"/>
  <c r="A54" i="16"/>
  <c r="I54" i="16" s="1"/>
  <c r="A52" i="16"/>
  <c r="I52" i="16" s="1"/>
  <c r="A53" i="16"/>
  <c r="I53" i="16" s="1"/>
  <c r="A51" i="16"/>
  <c r="L51" i="16" s="1"/>
  <c r="A35" i="16"/>
  <c r="A36" i="16"/>
  <c r="P36" i="16" s="1"/>
  <c r="A38" i="16"/>
  <c r="P38" i="16" s="1"/>
  <c r="A39" i="16"/>
  <c r="P39" i="16" s="1"/>
  <c r="A40" i="16"/>
  <c r="I40" i="16" s="1"/>
  <c r="A42" i="16"/>
  <c r="I42" i="16" s="1"/>
  <c r="A43" i="16"/>
  <c r="P43" i="16" s="1"/>
  <c r="A44" i="16"/>
  <c r="L44" i="16" s="1"/>
  <c r="A34" i="16"/>
  <c r="P34" i="16" s="1"/>
  <c r="A24" i="16"/>
  <c r="L24" i="16" s="1"/>
  <c r="A23" i="16"/>
  <c r="P23" i="16" s="1"/>
  <c r="E57" i="16"/>
  <c r="E58" i="16"/>
  <c r="E59" i="16"/>
  <c r="E56" i="16"/>
  <c r="E52" i="16"/>
  <c r="E53" i="16"/>
  <c r="E54" i="16"/>
  <c r="E51" i="16"/>
  <c r="E35" i="16"/>
  <c r="E36" i="16"/>
  <c r="E38" i="16"/>
  <c r="E39" i="16"/>
  <c r="E40" i="16"/>
  <c r="E42" i="16"/>
  <c r="E43" i="16"/>
  <c r="E44" i="16"/>
  <c r="E34" i="16"/>
  <c r="E5" i="16"/>
  <c r="E6" i="16"/>
  <c r="E8" i="16"/>
  <c r="E9" i="16"/>
  <c r="E10" i="16"/>
  <c r="E12" i="16"/>
  <c r="E13" i="16"/>
  <c r="E15" i="16"/>
  <c r="E16" i="16"/>
  <c r="E18" i="16"/>
  <c r="E19" i="16"/>
  <c r="E20" i="16"/>
  <c r="E22" i="16"/>
  <c r="E23" i="16"/>
  <c r="E24" i="16"/>
  <c r="E26" i="16"/>
  <c r="E27" i="16"/>
  <c r="E4" i="16"/>
  <c r="P53" i="16"/>
  <c r="I60" i="16"/>
  <c r="I45" i="16"/>
  <c r="I28" i="16"/>
  <c r="J35" i="17" l="1"/>
  <c r="P54" i="16"/>
  <c r="K29" i="17"/>
  <c r="J29" i="17"/>
  <c r="I39" i="16"/>
  <c r="K31" i="17"/>
  <c r="J31" i="17"/>
  <c r="I23" i="16"/>
  <c r="I38" i="16"/>
  <c r="I59" i="16"/>
  <c r="B23" i="16"/>
  <c r="P52" i="16"/>
  <c r="L53" i="16"/>
  <c r="L52" i="16"/>
  <c r="I51" i="16"/>
  <c r="L58" i="16"/>
  <c r="P44" i="16"/>
  <c r="P40" i="16"/>
  <c r="I34" i="16"/>
  <c r="P35" i="16"/>
  <c r="K35" i="17"/>
  <c r="L57" i="16"/>
  <c r="P51" i="16"/>
  <c r="L43" i="16"/>
  <c r="L42" i="16"/>
  <c r="P59" i="16"/>
  <c r="P24" i="16"/>
  <c r="P56" i="16"/>
  <c r="I56" i="16"/>
  <c r="P57" i="16"/>
  <c r="I58" i="16"/>
  <c r="P42" i="16"/>
  <c r="I36" i="16"/>
  <c r="I44" i="16"/>
  <c r="L36" i="16"/>
  <c r="I35" i="16"/>
  <c r="I43" i="16"/>
  <c r="I24" i="16"/>
  <c r="B4" i="15"/>
  <c r="D4" i="15"/>
  <c r="G4" i="15"/>
  <c r="B5" i="15"/>
  <c r="D5" i="15"/>
  <c r="G5" i="15"/>
  <c r="Q5" i="15"/>
  <c r="E52" i="15" l="1"/>
  <c r="E53" i="15"/>
  <c r="E54" i="15"/>
  <c r="E51" i="15"/>
  <c r="I60" i="15"/>
  <c r="I45" i="15"/>
  <c r="I5" i="15"/>
  <c r="I4" i="15"/>
  <c r="A57" i="15"/>
  <c r="A58" i="15"/>
  <c r="P58" i="15" s="1"/>
  <c r="Q58" i="15" s="1"/>
  <c r="A59" i="15"/>
  <c r="P59" i="15" s="1"/>
  <c r="Q59" i="15" s="1"/>
  <c r="A56" i="15"/>
  <c r="A35" i="15"/>
  <c r="L35" i="15" s="1"/>
  <c r="A36" i="15"/>
  <c r="P36" i="15" s="1"/>
  <c r="Q36" i="15" s="1"/>
  <c r="A38" i="15"/>
  <c r="L38" i="15" s="1"/>
  <c r="A39" i="15"/>
  <c r="P39" i="15" s="1"/>
  <c r="Q39" i="15" s="1"/>
  <c r="A40" i="15"/>
  <c r="A42" i="15"/>
  <c r="A43" i="15"/>
  <c r="L43" i="15" s="1"/>
  <c r="A44" i="15"/>
  <c r="A34" i="15"/>
  <c r="E5" i="15"/>
  <c r="E6" i="15"/>
  <c r="E8" i="15"/>
  <c r="E9" i="15"/>
  <c r="E10" i="15"/>
  <c r="E12" i="15"/>
  <c r="E13" i="15"/>
  <c r="E15" i="15"/>
  <c r="E16" i="15"/>
  <c r="E18" i="15"/>
  <c r="E19" i="15"/>
  <c r="E20" i="15"/>
  <c r="E22" i="15"/>
  <c r="E23" i="15"/>
  <c r="E24" i="15"/>
  <c r="F24" i="15" s="1"/>
  <c r="S24" i="15" s="1"/>
  <c r="E26" i="15"/>
  <c r="E27" i="15"/>
  <c r="E4" i="15"/>
  <c r="A52" i="15"/>
  <c r="A53" i="15"/>
  <c r="A54" i="15"/>
  <c r="A51" i="15"/>
  <c r="P5" i="15"/>
  <c r="P4" i="15"/>
  <c r="Q4" i="15" s="1"/>
  <c r="I60" i="14"/>
  <c r="I45" i="14"/>
  <c r="I28" i="14"/>
  <c r="E52" i="14"/>
  <c r="E53" i="14"/>
  <c r="E54" i="14"/>
  <c r="E56" i="14"/>
  <c r="E57" i="14"/>
  <c r="E58" i="14"/>
  <c r="E59" i="14"/>
  <c r="E51" i="14"/>
  <c r="E35" i="14"/>
  <c r="E36" i="14"/>
  <c r="E38" i="14"/>
  <c r="F38" i="14" s="1"/>
  <c r="E39" i="14"/>
  <c r="E40" i="14"/>
  <c r="E42" i="14"/>
  <c r="E43" i="14"/>
  <c r="E44" i="14"/>
  <c r="E34" i="14"/>
  <c r="E5" i="14"/>
  <c r="F5" i="14" s="1"/>
  <c r="E6" i="14"/>
  <c r="F6" i="14" s="1"/>
  <c r="E8" i="14"/>
  <c r="F8" i="14" s="1"/>
  <c r="E9" i="14"/>
  <c r="F9" i="14" s="1"/>
  <c r="E10" i="14"/>
  <c r="F10" i="14" s="1"/>
  <c r="E12" i="14"/>
  <c r="F12" i="14" s="1"/>
  <c r="E13" i="14"/>
  <c r="F13" i="14" s="1"/>
  <c r="E15" i="14"/>
  <c r="F15" i="14" s="1"/>
  <c r="E16" i="14"/>
  <c r="F16" i="14" s="1"/>
  <c r="E18" i="14"/>
  <c r="F18" i="14" s="1"/>
  <c r="E19" i="14"/>
  <c r="F19" i="14" s="1"/>
  <c r="E20" i="14"/>
  <c r="F20" i="14" s="1"/>
  <c r="E22" i="14"/>
  <c r="F22" i="14" s="1"/>
  <c r="E23" i="14"/>
  <c r="F23" i="14" s="1"/>
  <c r="E24" i="14"/>
  <c r="F24" i="14" s="1"/>
  <c r="E26" i="14"/>
  <c r="F26" i="14" s="1"/>
  <c r="E27" i="14"/>
  <c r="F27" i="14" s="1"/>
  <c r="E4" i="14"/>
  <c r="F4" i="14" s="1"/>
  <c r="I60" i="13"/>
  <c r="I45" i="13"/>
  <c r="E5" i="13"/>
  <c r="E6" i="13"/>
  <c r="E8" i="13"/>
  <c r="E9" i="13"/>
  <c r="E10" i="13"/>
  <c r="E12" i="13"/>
  <c r="E13" i="13"/>
  <c r="E15" i="13"/>
  <c r="E16" i="13"/>
  <c r="E18" i="13"/>
  <c r="E19" i="13"/>
  <c r="E20" i="13"/>
  <c r="E22" i="13"/>
  <c r="E23" i="13"/>
  <c r="E24" i="13"/>
  <c r="E26" i="13"/>
  <c r="E27" i="13"/>
  <c r="E4" i="13"/>
  <c r="P48" i="16"/>
  <c r="P40" i="17"/>
  <c r="P57" i="17" s="1"/>
  <c r="P48" i="15"/>
  <c r="P48" i="14"/>
  <c r="P31" i="14"/>
  <c r="P31" i="2"/>
  <c r="P47" i="2" s="1"/>
  <c r="O31" i="13"/>
  <c r="O48" i="13" s="1"/>
  <c r="R68" i="17"/>
  <c r="R67" i="17"/>
  <c r="R66" i="17"/>
  <c r="R65" i="17"/>
  <c r="R63" i="17"/>
  <c r="R62" i="17"/>
  <c r="R61" i="17"/>
  <c r="R60" i="17"/>
  <c r="S57" i="17"/>
  <c r="R59" i="16"/>
  <c r="Q59" i="16"/>
  <c r="R58" i="16"/>
  <c r="Q58" i="16"/>
  <c r="R57" i="16"/>
  <c r="Q57" i="16"/>
  <c r="R56" i="16"/>
  <c r="Q56" i="16"/>
  <c r="R54" i="16"/>
  <c r="Q54" i="16"/>
  <c r="R53" i="16"/>
  <c r="Q53" i="16"/>
  <c r="R52" i="16"/>
  <c r="Q52" i="16"/>
  <c r="R51" i="16"/>
  <c r="Q51" i="16"/>
  <c r="S48" i="16"/>
  <c r="R59" i="15"/>
  <c r="R58" i="15"/>
  <c r="R57" i="15"/>
  <c r="R56" i="15"/>
  <c r="R54" i="15"/>
  <c r="R53" i="15"/>
  <c r="R52" i="15"/>
  <c r="R51" i="15"/>
  <c r="R59" i="14"/>
  <c r="P59" i="14"/>
  <c r="Q59" i="14" s="1"/>
  <c r="R58" i="14"/>
  <c r="P58" i="14"/>
  <c r="Q58" i="14" s="1"/>
  <c r="R57" i="14"/>
  <c r="P57" i="14"/>
  <c r="Q57" i="14" s="1"/>
  <c r="R56" i="14"/>
  <c r="P56" i="14"/>
  <c r="Q56" i="14" s="1"/>
  <c r="R54" i="14"/>
  <c r="P54" i="14"/>
  <c r="Q54" i="14" s="1"/>
  <c r="R53" i="14"/>
  <c r="P53" i="14"/>
  <c r="Q53" i="14" s="1"/>
  <c r="R52" i="14"/>
  <c r="P52" i="14"/>
  <c r="Q52" i="14" s="1"/>
  <c r="R51" i="14"/>
  <c r="P51" i="14"/>
  <c r="Q51" i="14" s="1"/>
  <c r="Q57" i="13"/>
  <c r="Q58" i="13"/>
  <c r="Q59" i="13"/>
  <c r="Q54" i="13"/>
  <c r="Q52" i="13"/>
  <c r="Q53" i="13"/>
  <c r="Q51" i="13"/>
  <c r="S31" i="14"/>
  <c r="S48" i="14" s="1"/>
  <c r="S31" i="2"/>
  <c r="S47" i="2" s="1"/>
  <c r="R31" i="13"/>
  <c r="R48" i="13" s="1"/>
  <c r="R28" i="18"/>
  <c r="S27" i="18"/>
  <c r="R27" i="18"/>
  <c r="P27" i="18"/>
  <c r="Q27" i="18" s="1"/>
  <c r="R26" i="18"/>
  <c r="P26" i="18"/>
  <c r="Q26" i="18" s="1"/>
  <c r="S24" i="18"/>
  <c r="R24" i="18"/>
  <c r="P24" i="18"/>
  <c r="Q24" i="18" s="1"/>
  <c r="R23" i="18"/>
  <c r="P23" i="18"/>
  <c r="Q23" i="18" s="1"/>
  <c r="R22" i="18"/>
  <c r="P22" i="18"/>
  <c r="Q22" i="18" s="1"/>
  <c r="R20" i="18"/>
  <c r="P20" i="18"/>
  <c r="Q20" i="18" s="1"/>
  <c r="R19" i="18"/>
  <c r="P19" i="18"/>
  <c r="Q19" i="18" s="1"/>
  <c r="R18" i="18"/>
  <c r="P18" i="18"/>
  <c r="Q18" i="18" s="1"/>
  <c r="R16" i="18"/>
  <c r="P16" i="18"/>
  <c r="Q16" i="18" s="1"/>
  <c r="R15" i="18"/>
  <c r="P15" i="18"/>
  <c r="Q15" i="18" s="1"/>
  <c r="R13" i="18"/>
  <c r="P13" i="18"/>
  <c r="Q13" i="18" s="1"/>
  <c r="R12" i="18"/>
  <c r="P12" i="18"/>
  <c r="Q12" i="18" s="1"/>
  <c r="R10" i="18"/>
  <c r="P10" i="18"/>
  <c r="Q10" i="18" s="1"/>
  <c r="R9" i="18"/>
  <c r="P9" i="18"/>
  <c r="Q9" i="18" s="1"/>
  <c r="R8" i="18"/>
  <c r="P8" i="18"/>
  <c r="Q8" i="18" s="1"/>
  <c r="R6" i="18"/>
  <c r="P6" i="18"/>
  <c r="Q6" i="18" s="1"/>
  <c r="R5" i="18"/>
  <c r="P5" i="18"/>
  <c r="Q5" i="18" s="1"/>
  <c r="R4" i="18"/>
  <c r="P4" i="18"/>
  <c r="Q4" i="18" s="1"/>
  <c r="R53" i="17"/>
  <c r="R52" i="17"/>
  <c r="R51" i="17"/>
  <c r="Q51" i="17"/>
  <c r="R49" i="17"/>
  <c r="Q49" i="17"/>
  <c r="R48" i="17"/>
  <c r="Q48" i="17"/>
  <c r="R47" i="17"/>
  <c r="Q47" i="17"/>
  <c r="R45" i="17"/>
  <c r="Q45" i="17"/>
  <c r="R44" i="17"/>
  <c r="Q44" i="17"/>
  <c r="R43" i="17"/>
  <c r="Q43" i="17"/>
  <c r="R27" i="17"/>
  <c r="R26" i="17"/>
  <c r="R24" i="17"/>
  <c r="R23" i="17"/>
  <c r="R22" i="17"/>
  <c r="R20" i="17"/>
  <c r="R19" i="17"/>
  <c r="R18" i="17"/>
  <c r="R16" i="17"/>
  <c r="R15" i="17"/>
  <c r="R13" i="17"/>
  <c r="R12" i="17"/>
  <c r="R10" i="17"/>
  <c r="R9" i="17"/>
  <c r="R8" i="17"/>
  <c r="R6" i="17"/>
  <c r="R5" i="17"/>
  <c r="R4" i="17"/>
  <c r="R44" i="16"/>
  <c r="Q44" i="16"/>
  <c r="R43" i="16"/>
  <c r="Q43" i="16"/>
  <c r="R42" i="16"/>
  <c r="Q42" i="16"/>
  <c r="R40" i="16"/>
  <c r="Q40" i="16"/>
  <c r="R39" i="16"/>
  <c r="Q39" i="16"/>
  <c r="R38" i="16"/>
  <c r="Q38" i="16"/>
  <c r="R36" i="16"/>
  <c r="Q36" i="16"/>
  <c r="R35" i="16"/>
  <c r="Q35" i="16"/>
  <c r="R34" i="16"/>
  <c r="Q34" i="16"/>
  <c r="R27" i="16"/>
  <c r="R26" i="16"/>
  <c r="R24" i="16"/>
  <c r="Q24" i="16"/>
  <c r="R23" i="16"/>
  <c r="Q23" i="16"/>
  <c r="R22" i="16"/>
  <c r="R20" i="16"/>
  <c r="R19" i="16"/>
  <c r="R18" i="16"/>
  <c r="R16" i="16"/>
  <c r="R15" i="16"/>
  <c r="R13" i="16"/>
  <c r="R12" i="16"/>
  <c r="R10" i="16"/>
  <c r="R9" i="16"/>
  <c r="R8" i="16"/>
  <c r="R6" i="16"/>
  <c r="R5" i="16"/>
  <c r="R4" i="16"/>
  <c r="R44" i="15"/>
  <c r="R43" i="15"/>
  <c r="R42" i="15"/>
  <c r="R40" i="15"/>
  <c r="R39" i="15"/>
  <c r="R38" i="15"/>
  <c r="R36" i="15"/>
  <c r="R35" i="15"/>
  <c r="R34" i="15"/>
  <c r="R27" i="15"/>
  <c r="P27" i="15"/>
  <c r="Q27" i="15" s="1"/>
  <c r="R26" i="15"/>
  <c r="R24" i="15"/>
  <c r="R23" i="15"/>
  <c r="R22" i="15"/>
  <c r="R20" i="15"/>
  <c r="R19" i="15"/>
  <c r="R18" i="15"/>
  <c r="R16" i="15"/>
  <c r="R15" i="15"/>
  <c r="R13" i="15"/>
  <c r="R12" i="15"/>
  <c r="R10" i="15"/>
  <c r="R9" i="15"/>
  <c r="R8" i="15"/>
  <c r="R6" i="15"/>
  <c r="R5" i="15"/>
  <c r="R4" i="15"/>
  <c r="R44" i="14"/>
  <c r="P44" i="14"/>
  <c r="Q44" i="14" s="1"/>
  <c r="R43" i="14"/>
  <c r="P43" i="14"/>
  <c r="Q43" i="14" s="1"/>
  <c r="R42" i="14"/>
  <c r="P42" i="14"/>
  <c r="Q42" i="14" s="1"/>
  <c r="R40" i="14"/>
  <c r="P40" i="14"/>
  <c r="Q40" i="14" s="1"/>
  <c r="R39" i="14"/>
  <c r="P39" i="14"/>
  <c r="Q39" i="14" s="1"/>
  <c r="R38" i="14"/>
  <c r="P38" i="14"/>
  <c r="Q38" i="14" s="1"/>
  <c r="R36" i="14"/>
  <c r="P36" i="14"/>
  <c r="Q36" i="14" s="1"/>
  <c r="R35" i="14"/>
  <c r="P35" i="14"/>
  <c r="Q35" i="14" s="1"/>
  <c r="R34" i="14"/>
  <c r="P34" i="14"/>
  <c r="Q34" i="14" s="1"/>
  <c r="R27" i="14"/>
  <c r="Q27" i="14"/>
  <c r="R26" i="14"/>
  <c r="R24" i="14"/>
  <c r="R23" i="14"/>
  <c r="R22" i="14"/>
  <c r="R20" i="14"/>
  <c r="R19" i="14"/>
  <c r="R18" i="14"/>
  <c r="R16" i="14"/>
  <c r="R15" i="14"/>
  <c r="R13" i="14"/>
  <c r="R12" i="14"/>
  <c r="R10" i="14"/>
  <c r="R9" i="14"/>
  <c r="R8" i="14"/>
  <c r="R6" i="14"/>
  <c r="R5" i="14"/>
  <c r="R4" i="14"/>
  <c r="O59" i="13"/>
  <c r="P59" i="13" s="1"/>
  <c r="O58" i="13"/>
  <c r="P58" i="13" s="1"/>
  <c r="O57" i="13"/>
  <c r="P57" i="13" s="1"/>
  <c r="O56" i="13"/>
  <c r="P56" i="13" s="1"/>
  <c r="O54" i="13"/>
  <c r="P54" i="13" s="1"/>
  <c r="O53" i="13"/>
  <c r="P53" i="13" s="1"/>
  <c r="O52" i="13"/>
  <c r="P52" i="13" s="1"/>
  <c r="O51" i="13"/>
  <c r="P51" i="13" s="1"/>
  <c r="Q44" i="13"/>
  <c r="P44" i="13"/>
  <c r="Q43" i="13"/>
  <c r="P43" i="13"/>
  <c r="Q42" i="13"/>
  <c r="P42" i="13"/>
  <c r="Q40" i="13"/>
  <c r="P40" i="13"/>
  <c r="Q39" i="13"/>
  <c r="P39" i="13"/>
  <c r="Q38" i="13"/>
  <c r="P38" i="13"/>
  <c r="Q36" i="13"/>
  <c r="P36" i="13"/>
  <c r="Q35" i="13"/>
  <c r="P35" i="13"/>
  <c r="Q34" i="13"/>
  <c r="P34" i="13"/>
  <c r="Q27" i="13"/>
  <c r="P27" i="13"/>
  <c r="Q26" i="13"/>
  <c r="Q24" i="13"/>
  <c r="Q23" i="13"/>
  <c r="Q22" i="13"/>
  <c r="Q20" i="13"/>
  <c r="Q19" i="13"/>
  <c r="Q18" i="13"/>
  <c r="Q16" i="13"/>
  <c r="Q15" i="13"/>
  <c r="Q13" i="13"/>
  <c r="Q12" i="13"/>
  <c r="Q10" i="13"/>
  <c r="Q9" i="13"/>
  <c r="Q8" i="13"/>
  <c r="Q6" i="13"/>
  <c r="Q5" i="13"/>
  <c r="Q4" i="13"/>
  <c r="R51" i="2"/>
  <c r="R52" i="2"/>
  <c r="R53" i="2"/>
  <c r="R55" i="2"/>
  <c r="R56" i="2"/>
  <c r="R57" i="2"/>
  <c r="R58" i="2"/>
  <c r="R50" i="2"/>
  <c r="R35" i="2"/>
  <c r="R36" i="2"/>
  <c r="R38" i="2"/>
  <c r="R39" i="2"/>
  <c r="R40" i="2"/>
  <c r="R42" i="2"/>
  <c r="R43" i="2"/>
  <c r="R44" i="2"/>
  <c r="R34" i="2"/>
  <c r="R13" i="2"/>
  <c r="R15" i="2"/>
  <c r="R16" i="2"/>
  <c r="R18" i="2"/>
  <c r="R19" i="2"/>
  <c r="R20" i="2"/>
  <c r="R22" i="2"/>
  <c r="R23" i="2"/>
  <c r="R24" i="2"/>
  <c r="R26" i="2"/>
  <c r="R27" i="2"/>
  <c r="R12" i="2"/>
  <c r="R9" i="2"/>
  <c r="R10" i="2"/>
  <c r="R8" i="2"/>
  <c r="R5" i="2"/>
  <c r="R6" i="2"/>
  <c r="R4" i="2"/>
  <c r="Q44" i="2"/>
  <c r="Q43" i="2"/>
  <c r="Q42" i="2"/>
  <c r="Q40" i="2"/>
  <c r="Q39" i="2"/>
  <c r="Q38" i="2"/>
  <c r="Q36" i="2"/>
  <c r="Q35" i="2"/>
  <c r="Q34" i="2"/>
  <c r="Q27" i="2"/>
  <c r="Q26" i="2"/>
  <c r="Q24" i="2"/>
  <c r="Q23" i="2"/>
  <c r="A23" i="17"/>
  <c r="A24" i="17"/>
  <c r="A23" i="15"/>
  <c r="A24" i="15"/>
  <c r="A23" i="14"/>
  <c r="P23" i="14" s="1"/>
  <c r="Q23" i="14" s="1"/>
  <c r="A24" i="14"/>
  <c r="P24" i="14" s="1"/>
  <c r="Q24" i="14" s="1"/>
  <c r="A23" i="13"/>
  <c r="O23" i="13" s="1"/>
  <c r="P23" i="13" s="1"/>
  <c r="A24" i="13"/>
  <c r="O24" i="13" s="1"/>
  <c r="P24" i="13" s="1"/>
  <c r="A22" i="2"/>
  <c r="P22" i="2" s="1"/>
  <c r="Q22" i="2" s="1"/>
  <c r="P38" i="15" l="1"/>
  <c r="Q38" i="15" s="1"/>
  <c r="I23" i="17"/>
  <c r="P23" i="17"/>
  <c r="Q23" i="17" s="1"/>
  <c r="P24" i="17"/>
  <c r="Q24" i="17" s="1"/>
  <c r="I24" i="17"/>
  <c r="M24" i="17" s="1" a="1"/>
  <c r="M24" i="17" s="1"/>
  <c r="P52" i="15"/>
  <c r="Q52" i="15" s="1"/>
  <c r="D52" i="15"/>
  <c r="G52" i="15"/>
  <c r="B52" i="15"/>
  <c r="P42" i="15"/>
  <c r="Q42" i="15" s="1"/>
  <c r="B42" i="15"/>
  <c r="G42" i="15"/>
  <c r="D42" i="15"/>
  <c r="E58" i="15"/>
  <c r="D58" i="15"/>
  <c r="B58" i="15"/>
  <c r="G58" i="15"/>
  <c r="P40" i="15"/>
  <c r="Q40" i="15" s="1"/>
  <c r="B40" i="15"/>
  <c r="D40" i="15"/>
  <c r="G40" i="15"/>
  <c r="E57" i="15"/>
  <c r="B57" i="15"/>
  <c r="D57" i="15"/>
  <c r="G57" i="15"/>
  <c r="F22" i="2"/>
  <c r="S22" i="2" s="1"/>
  <c r="B22" i="2"/>
  <c r="D22" i="2"/>
  <c r="G22" i="2"/>
  <c r="H22" i="2" s="1"/>
  <c r="B23" i="15"/>
  <c r="G23" i="15"/>
  <c r="H23" i="15" s="1"/>
  <c r="D23" i="15"/>
  <c r="G24" i="2"/>
  <c r="D24" i="2"/>
  <c r="B24" i="2"/>
  <c r="G24" i="16"/>
  <c r="H24" i="16" s="1"/>
  <c r="B24" i="16"/>
  <c r="D24" i="16"/>
  <c r="I39" i="15"/>
  <c r="D39" i="15"/>
  <c r="G39" i="15"/>
  <c r="B39" i="15"/>
  <c r="L26" i="15"/>
  <c r="B26" i="15"/>
  <c r="D26" i="15"/>
  <c r="G26" i="15"/>
  <c r="I38" i="15"/>
  <c r="D38" i="15"/>
  <c r="B38" i="15"/>
  <c r="G38" i="15"/>
  <c r="P51" i="15"/>
  <c r="Q51" i="15" s="1"/>
  <c r="D51" i="15"/>
  <c r="G51" i="15"/>
  <c r="B51" i="15"/>
  <c r="I27" i="15"/>
  <c r="D27" i="15"/>
  <c r="B27" i="15"/>
  <c r="G27" i="15"/>
  <c r="I36" i="15"/>
  <c r="G36" i="15"/>
  <c r="D36" i="15"/>
  <c r="B36" i="15"/>
  <c r="I34" i="15"/>
  <c r="G34" i="15"/>
  <c r="B34" i="15"/>
  <c r="D34" i="15"/>
  <c r="I35" i="15"/>
  <c r="G35" i="15"/>
  <c r="D35" i="15"/>
  <c r="B35" i="15"/>
  <c r="B23" i="14"/>
  <c r="G23" i="14"/>
  <c r="H23" i="14" s="1"/>
  <c r="D23" i="14"/>
  <c r="L24" i="15"/>
  <c r="G24" i="15"/>
  <c r="H24" i="15" s="1"/>
  <c r="B24" i="15"/>
  <c r="D24" i="15"/>
  <c r="I23" i="2"/>
  <c r="M23" i="2" s="1" a="1"/>
  <c r="M23" i="2" s="1"/>
  <c r="D23" i="2"/>
  <c r="G23" i="2"/>
  <c r="H23" i="2" s="1"/>
  <c r="B23" i="2"/>
  <c r="G23" i="16"/>
  <c r="H23" i="16" s="1"/>
  <c r="D23" i="16"/>
  <c r="G24" i="13"/>
  <c r="D24" i="13"/>
  <c r="B24" i="13"/>
  <c r="B24" i="17"/>
  <c r="D24" i="17"/>
  <c r="G24" i="17"/>
  <c r="H24" i="17" s="1"/>
  <c r="G23" i="13"/>
  <c r="H23" i="13" s="1"/>
  <c r="B23" i="13"/>
  <c r="D23" i="13"/>
  <c r="G23" i="17"/>
  <c r="H23" i="17" s="1"/>
  <c r="B23" i="17"/>
  <c r="D23" i="17"/>
  <c r="I24" i="14"/>
  <c r="J24" i="14" s="1"/>
  <c r="D24" i="14"/>
  <c r="G24" i="14"/>
  <c r="H24" i="14" s="1"/>
  <c r="B24" i="14"/>
  <c r="I54" i="15"/>
  <c r="G54" i="15"/>
  <c r="B54" i="15"/>
  <c r="D54" i="15"/>
  <c r="P44" i="15"/>
  <c r="Q44" i="15" s="1"/>
  <c r="D44" i="15"/>
  <c r="G44" i="15"/>
  <c r="B44" i="15"/>
  <c r="P56" i="15"/>
  <c r="Q56" i="15" s="1"/>
  <c r="G56" i="15"/>
  <c r="B56" i="15"/>
  <c r="D56" i="15"/>
  <c r="P53" i="15"/>
  <c r="Q53" i="15" s="1"/>
  <c r="D53" i="15"/>
  <c r="G53" i="15"/>
  <c r="B53" i="15"/>
  <c r="P43" i="15"/>
  <c r="Q43" i="15" s="1"/>
  <c r="B43" i="15"/>
  <c r="D43" i="15"/>
  <c r="G43" i="15"/>
  <c r="E59" i="15"/>
  <c r="B59" i="15"/>
  <c r="D59" i="15"/>
  <c r="G59" i="15"/>
  <c r="L44" i="15"/>
  <c r="P57" i="15"/>
  <c r="Q57" i="15" s="1"/>
  <c r="P54" i="15"/>
  <c r="Q54" i="15" s="1"/>
  <c r="L27" i="15"/>
  <c r="I26" i="15"/>
  <c r="I57" i="15"/>
  <c r="L40" i="15"/>
  <c r="L23" i="15"/>
  <c r="I24" i="15"/>
  <c r="J24" i="15" s="1"/>
  <c r="I53" i="15"/>
  <c r="I23" i="15"/>
  <c r="I44" i="15"/>
  <c r="I51" i="15"/>
  <c r="I52" i="15"/>
  <c r="I43" i="15"/>
  <c r="I42" i="15"/>
  <c r="I59" i="15"/>
  <c r="P24" i="15"/>
  <c r="Q24" i="15" s="1"/>
  <c r="I40" i="15"/>
  <c r="I58" i="15"/>
  <c r="P23" i="15"/>
  <c r="Q23" i="15" s="1"/>
  <c r="P34" i="15"/>
  <c r="Q34" i="15" s="1"/>
  <c r="I56" i="15"/>
  <c r="E56" i="15"/>
  <c r="L36" i="15"/>
  <c r="P35" i="15"/>
  <c r="Q35" i="15" s="1"/>
  <c r="P26" i="15"/>
  <c r="Q26" i="15" s="1"/>
  <c r="L42" i="15"/>
  <c r="L34" i="15"/>
  <c r="F23" i="2"/>
  <c r="S23" i="2" s="1"/>
  <c r="L23" i="14"/>
  <c r="I23" i="14"/>
  <c r="M23" i="14" s="1" a="1"/>
  <c r="M23" i="14" s="1"/>
  <c r="S24" i="14"/>
  <c r="I23" i="13"/>
  <c r="M23" i="13" s="1" a="1"/>
  <c r="M23" i="13" s="1"/>
  <c r="I24" i="13"/>
  <c r="L24" i="17"/>
  <c r="F24" i="17"/>
  <c r="S24" i="17" s="1"/>
  <c r="F24" i="16"/>
  <c r="S24" i="16" s="1"/>
  <c r="L24" i="14"/>
  <c r="S23" i="14"/>
  <c r="L23" i="13"/>
  <c r="F23" i="13"/>
  <c r="R23" i="13" s="1"/>
  <c r="F23" i="17"/>
  <c r="S23" i="17" s="1"/>
  <c r="L23" i="17"/>
  <c r="M24" i="16" a="1"/>
  <c r="M24" i="16" s="1"/>
  <c r="F23" i="16"/>
  <c r="S23" i="16" s="1"/>
  <c r="F23" i="15"/>
  <c r="S23" i="15" s="1"/>
  <c r="I22" i="2"/>
  <c r="J22" i="2" l="1"/>
  <c r="K24" i="15"/>
  <c r="M24" i="15" a="1"/>
  <c r="M24" i="15" s="1"/>
  <c r="J23" i="14"/>
  <c r="J23" i="2"/>
  <c r="K23" i="2"/>
  <c r="J24" i="17"/>
  <c r="J24" i="16"/>
  <c r="K24" i="17"/>
  <c r="K24" i="16"/>
  <c r="K23" i="14"/>
  <c r="K24" i="14"/>
  <c r="M24" i="14" a="1"/>
  <c r="M24" i="14" s="1"/>
  <c r="K23" i="13"/>
  <c r="J23" i="13"/>
  <c r="K23" i="17"/>
  <c r="M23" i="17" a="1"/>
  <c r="M23" i="17" s="1"/>
  <c r="J23" i="17"/>
  <c r="K23" i="16"/>
  <c r="M23" i="16" a="1"/>
  <c r="M23" i="16" s="1"/>
  <c r="J23" i="16"/>
  <c r="J23" i="15"/>
  <c r="K23" i="15"/>
  <c r="M23" i="15" a="1"/>
  <c r="M23" i="15" s="1"/>
  <c r="M22" i="2" a="1"/>
  <c r="M22" i="2" s="1"/>
  <c r="K22" i="2"/>
  <c r="A57" i="14"/>
  <c r="A58" i="14"/>
  <c r="A59" i="14"/>
  <c r="A56" i="14"/>
  <c r="A52" i="14"/>
  <c r="A53" i="14"/>
  <c r="A54" i="14"/>
  <c r="A51" i="14"/>
  <c r="A35" i="14"/>
  <c r="A36" i="14"/>
  <c r="A38" i="14"/>
  <c r="A39" i="14"/>
  <c r="A40" i="14"/>
  <c r="A42" i="14"/>
  <c r="A43" i="14"/>
  <c r="A44" i="14"/>
  <c r="A34" i="14"/>
  <c r="I59" i="13" l="1"/>
  <c r="G59" i="13"/>
  <c r="D59" i="13"/>
  <c r="B59" i="13"/>
  <c r="I38" i="13"/>
  <c r="D38" i="13"/>
  <c r="G38" i="13"/>
  <c r="B38" i="13"/>
  <c r="I43" i="14"/>
  <c r="D43" i="14"/>
  <c r="G43" i="14"/>
  <c r="H43" i="14" s="1"/>
  <c r="B43" i="14"/>
  <c r="I57" i="13"/>
  <c r="D57" i="13"/>
  <c r="G57" i="13"/>
  <c r="B57" i="13"/>
  <c r="I53" i="14"/>
  <c r="M53" i="14" s="1" a="1"/>
  <c r="M53" i="14" s="1"/>
  <c r="D53" i="14"/>
  <c r="B53" i="14"/>
  <c r="G53" i="14"/>
  <c r="I56" i="13"/>
  <c r="M56" i="13" s="1" a="1"/>
  <c r="M56" i="13" s="1"/>
  <c r="G56" i="13"/>
  <c r="H56" i="13" s="1"/>
  <c r="D56" i="13"/>
  <c r="B56" i="13"/>
  <c r="I40" i="14"/>
  <c r="M40" i="14" s="1" a="1"/>
  <c r="M40" i="14" s="1"/>
  <c r="B40" i="14"/>
  <c r="G40" i="14"/>
  <c r="H40" i="14" s="1"/>
  <c r="D40" i="14"/>
  <c r="I52" i="14"/>
  <c r="M52" i="14" s="1" a="1"/>
  <c r="M52" i="14" s="1"/>
  <c r="D52" i="14"/>
  <c r="G52" i="14"/>
  <c r="H52" i="14" s="1"/>
  <c r="B52" i="14"/>
  <c r="I35" i="13"/>
  <c r="M35" i="13" s="1" a="1"/>
  <c r="M35" i="13" s="1"/>
  <c r="D35" i="13"/>
  <c r="B35" i="13"/>
  <c r="G35" i="13"/>
  <c r="H35" i="13" s="1"/>
  <c r="I56" i="14"/>
  <c r="M56" i="14" s="1" a="1"/>
  <c r="M56" i="14" s="1"/>
  <c r="B56" i="14"/>
  <c r="D56" i="14"/>
  <c r="G56" i="14"/>
  <c r="H56" i="14" s="1"/>
  <c r="I44" i="13"/>
  <c r="M44" i="13" s="1" a="1"/>
  <c r="M44" i="13" s="1"/>
  <c r="D44" i="13"/>
  <c r="B44" i="13"/>
  <c r="G44" i="13"/>
  <c r="H44" i="13" s="1"/>
  <c r="I42" i="14"/>
  <c r="M42" i="14" s="1" a="1"/>
  <c r="M42" i="14" s="1"/>
  <c r="D42" i="14"/>
  <c r="G42" i="14"/>
  <c r="H42" i="14" s="1"/>
  <c r="B42" i="14"/>
  <c r="I54" i="13"/>
  <c r="B54" i="13"/>
  <c r="D54" i="13"/>
  <c r="G54" i="13"/>
  <c r="H54" i="13" s="1"/>
  <c r="I43" i="13"/>
  <c r="M43" i="13" s="1" a="1"/>
  <c r="M43" i="13" s="1"/>
  <c r="G43" i="13"/>
  <c r="H43" i="13" s="1"/>
  <c r="D43" i="13"/>
  <c r="B43" i="13"/>
  <c r="I39" i="14"/>
  <c r="M39" i="14" s="1" a="1"/>
  <c r="M39" i="14" s="1"/>
  <c r="G39" i="14"/>
  <c r="H39" i="14" s="1"/>
  <c r="D39" i="14"/>
  <c r="B39" i="14"/>
  <c r="I53" i="13"/>
  <c r="B53" i="13"/>
  <c r="G53" i="13"/>
  <c r="D53" i="13"/>
  <c r="I38" i="14"/>
  <c r="G38" i="14"/>
  <c r="H38" i="14" s="1"/>
  <c r="B38" i="14"/>
  <c r="D38" i="14"/>
  <c r="I59" i="14"/>
  <c r="M59" i="14" s="1" a="1"/>
  <c r="M59" i="14" s="1"/>
  <c r="G59" i="14"/>
  <c r="H59" i="14" s="1"/>
  <c r="B59" i="14"/>
  <c r="D59" i="14"/>
  <c r="I58" i="14"/>
  <c r="M58" i="14" s="1" a="1"/>
  <c r="M58" i="14" s="1"/>
  <c r="D58" i="14"/>
  <c r="G58" i="14"/>
  <c r="H58" i="14" s="1"/>
  <c r="B58" i="14"/>
  <c r="I44" i="14"/>
  <c r="M44" i="14" s="1" a="1"/>
  <c r="M44" i="14" s="1"/>
  <c r="B44" i="14"/>
  <c r="D44" i="14"/>
  <c r="G44" i="14"/>
  <c r="H44" i="14" s="1"/>
  <c r="I58" i="13"/>
  <c r="M58" i="13" s="1" a="1"/>
  <c r="M58" i="13" s="1"/>
  <c r="G58" i="13"/>
  <c r="H58" i="13" s="1"/>
  <c r="D58" i="13"/>
  <c r="B58" i="13"/>
  <c r="I54" i="14"/>
  <c r="B54" i="14"/>
  <c r="G54" i="14"/>
  <c r="H54" i="14" s="1"/>
  <c r="D54" i="14"/>
  <c r="B42" i="13"/>
  <c r="D42" i="13"/>
  <c r="G42" i="13"/>
  <c r="H42" i="13" s="1"/>
  <c r="D40" i="13"/>
  <c r="B40" i="13"/>
  <c r="G40" i="13"/>
  <c r="H40" i="13" s="1"/>
  <c r="I34" i="13"/>
  <c r="B34" i="13"/>
  <c r="G34" i="13"/>
  <c r="D34" i="13"/>
  <c r="G39" i="13"/>
  <c r="H39" i="13" s="1"/>
  <c r="B39" i="13"/>
  <c r="D39" i="13"/>
  <c r="I52" i="13"/>
  <c r="M52" i="13" s="1" a="1"/>
  <c r="M52" i="13" s="1"/>
  <c r="G52" i="13"/>
  <c r="H52" i="13" s="1"/>
  <c r="B52" i="13"/>
  <c r="D52" i="13"/>
  <c r="I36" i="14"/>
  <c r="G36" i="14"/>
  <c r="D36" i="14"/>
  <c r="B36" i="14"/>
  <c r="I36" i="13"/>
  <c r="M36" i="13" s="1" a="1"/>
  <c r="M36" i="13" s="1"/>
  <c r="B36" i="13"/>
  <c r="G36" i="13"/>
  <c r="H36" i="13" s="1"/>
  <c r="D36" i="13"/>
  <c r="I51" i="13"/>
  <c r="G51" i="13"/>
  <c r="B51" i="13"/>
  <c r="D51" i="13"/>
  <c r="I34" i="14"/>
  <c r="G34" i="14"/>
  <c r="H34" i="14" s="1"/>
  <c r="D34" i="14"/>
  <c r="B34" i="14"/>
  <c r="I35" i="14"/>
  <c r="B35" i="14"/>
  <c r="G35" i="14"/>
  <c r="H35" i="14" s="1"/>
  <c r="D35" i="14"/>
  <c r="I57" i="14"/>
  <c r="G57" i="14"/>
  <c r="H57" i="14" s="1"/>
  <c r="D57" i="14"/>
  <c r="B57" i="14"/>
  <c r="I51" i="14"/>
  <c r="G51" i="14"/>
  <c r="B51" i="14"/>
  <c r="D51" i="14"/>
  <c r="I42" i="13"/>
  <c r="I40" i="13"/>
  <c r="M40" i="13" s="1" a="1"/>
  <c r="M40" i="13" s="1"/>
  <c r="I39" i="13"/>
  <c r="H56" i="15"/>
  <c r="H35" i="15"/>
  <c r="H57" i="15"/>
  <c r="H40" i="15"/>
  <c r="H42" i="15"/>
  <c r="H34" i="15"/>
  <c r="H52" i="15"/>
  <c r="H58" i="15"/>
  <c r="H44" i="15"/>
  <c r="H43" i="15"/>
  <c r="H54" i="15"/>
  <c r="H36" i="15"/>
  <c r="L58" i="15"/>
  <c r="M58" i="15" a="1"/>
  <c r="M58" i="15" s="1"/>
  <c r="F58" i="15"/>
  <c r="S58" i="15" s="1"/>
  <c r="L57" i="15"/>
  <c r="F57" i="15"/>
  <c r="S57" i="15" s="1"/>
  <c r="M56" i="15" a="1"/>
  <c r="M56" i="15" s="1"/>
  <c r="L54" i="15"/>
  <c r="F54" i="15"/>
  <c r="S54" i="15" s="1"/>
  <c r="M53" i="15" a="1"/>
  <c r="M53" i="15" s="1"/>
  <c r="M52" i="15" a="1"/>
  <c r="M52" i="15" s="1"/>
  <c r="F52" i="15"/>
  <c r="S52" i="15" s="1"/>
  <c r="F58" i="14"/>
  <c r="S58" i="14" s="1"/>
  <c r="L57" i="14"/>
  <c r="F57" i="14"/>
  <c r="S57" i="14" s="1"/>
  <c r="L54" i="14"/>
  <c r="F54" i="14"/>
  <c r="S54" i="14" s="1"/>
  <c r="L53" i="14"/>
  <c r="F52" i="14"/>
  <c r="S52" i="14" s="1"/>
  <c r="L52" i="14"/>
  <c r="L51" i="14"/>
  <c r="F51" i="14"/>
  <c r="S51" i="14" s="1"/>
  <c r="L58" i="13"/>
  <c r="F58" i="13"/>
  <c r="R58" i="13" s="1"/>
  <c r="L57" i="13"/>
  <c r="F57" i="13"/>
  <c r="R57" i="13" s="1"/>
  <c r="F54" i="13"/>
  <c r="R54" i="13" s="1"/>
  <c r="L54" i="13"/>
  <c r="F52" i="13"/>
  <c r="R52" i="13" s="1"/>
  <c r="L52" i="13"/>
  <c r="L51" i="13"/>
  <c r="A51" i="2"/>
  <c r="P51" i="2" s="1"/>
  <c r="Q51" i="2" s="1"/>
  <c r="A52" i="2"/>
  <c r="P52" i="2" s="1"/>
  <c r="Q52" i="2" s="1"/>
  <c r="A53" i="2"/>
  <c r="P53" i="2" s="1"/>
  <c r="Q53" i="2" s="1"/>
  <c r="A55" i="2"/>
  <c r="P55" i="2" s="1"/>
  <c r="Q55" i="2" s="1"/>
  <c r="A56" i="2"/>
  <c r="P56" i="2" s="1"/>
  <c r="Q56" i="2" s="1"/>
  <c r="A57" i="2"/>
  <c r="P57" i="2" s="1"/>
  <c r="Q57" i="2" s="1"/>
  <c r="A58" i="2"/>
  <c r="P58" i="2" s="1"/>
  <c r="Q58" i="2" s="1"/>
  <c r="A53" i="17"/>
  <c r="A52" i="17"/>
  <c r="M44" i="15" a="1"/>
  <c r="M44" i="15" s="1"/>
  <c r="E44" i="15"/>
  <c r="F44" i="15" s="1"/>
  <c r="S44" i="15" s="1"/>
  <c r="E43" i="15"/>
  <c r="F43" i="15" s="1"/>
  <c r="S43" i="15" s="1"/>
  <c r="E40" i="15"/>
  <c r="F40" i="15" s="1"/>
  <c r="S40" i="15" s="1"/>
  <c r="M38" i="15" a="1"/>
  <c r="M38" i="15" s="1"/>
  <c r="H38" i="15"/>
  <c r="E38" i="15"/>
  <c r="F38" i="15" s="1"/>
  <c r="S38" i="15" s="1"/>
  <c r="E36" i="15"/>
  <c r="F36" i="15" s="1"/>
  <c r="S36" i="15" s="1"/>
  <c r="M35" i="15" a="1"/>
  <c r="M35" i="15" s="1"/>
  <c r="M34" i="15" a="1"/>
  <c r="M34" i="15" s="1"/>
  <c r="E34" i="15"/>
  <c r="F34" i="15" s="1"/>
  <c r="S34" i="15" s="1"/>
  <c r="H5" i="15"/>
  <c r="F5" i="15"/>
  <c r="S5" i="15" s="1"/>
  <c r="M4" i="15" a="1"/>
  <c r="M4" i="15" s="1"/>
  <c r="H4" i="15"/>
  <c r="F4" i="15"/>
  <c r="S4" i="15" s="1"/>
  <c r="L44" i="14"/>
  <c r="F44" i="14"/>
  <c r="S44" i="14" s="1"/>
  <c r="L43" i="14"/>
  <c r="L42" i="14"/>
  <c r="F42" i="14"/>
  <c r="S42" i="14" s="1"/>
  <c r="L40" i="14"/>
  <c r="F40" i="14"/>
  <c r="S40" i="14" s="1"/>
  <c r="S38" i="14"/>
  <c r="F35" i="14"/>
  <c r="S35" i="14" s="1"/>
  <c r="F34" i="14"/>
  <c r="S34" i="14" s="1"/>
  <c r="A4" i="14"/>
  <c r="P4" i="14" s="1"/>
  <c r="Q4" i="14" s="1"/>
  <c r="A5" i="14"/>
  <c r="P5" i="14" s="1"/>
  <c r="Q5" i="14" s="1"/>
  <c r="A6" i="14"/>
  <c r="P6" i="14" s="1"/>
  <c r="Q6" i="14" s="1"/>
  <c r="A8" i="14"/>
  <c r="P8" i="14" s="1"/>
  <c r="Q8" i="14" s="1"/>
  <c r="A9" i="14"/>
  <c r="P9" i="14" s="1"/>
  <c r="Q9" i="14" s="1"/>
  <c r="A10" i="14"/>
  <c r="P10" i="14" s="1"/>
  <c r="Q10" i="14" s="1"/>
  <c r="A12" i="14"/>
  <c r="P12" i="14" s="1"/>
  <c r="Q12" i="14" s="1"/>
  <c r="A13" i="14"/>
  <c r="P13" i="14" s="1"/>
  <c r="Q13" i="14" s="1"/>
  <c r="A15" i="14"/>
  <c r="P15" i="14" s="1"/>
  <c r="Q15" i="14" s="1"/>
  <c r="A16" i="14"/>
  <c r="P16" i="14" s="1"/>
  <c r="Q16" i="14" s="1"/>
  <c r="A18" i="14"/>
  <c r="P18" i="14" s="1"/>
  <c r="Q18" i="14" s="1"/>
  <c r="A19" i="14"/>
  <c r="P19" i="14" s="1"/>
  <c r="Q19" i="14" s="1"/>
  <c r="A20" i="14"/>
  <c r="P20" i="14" s="1"/>
  <c r="Q20" i="14" s="1"/>
  <c r="A22" i="14"/>
  <c r="P22" i="14" s="1"/>
  <c r="Q22" i="14" s="1"/>
  <c r="A26" i="14"/>
  <c r="P26" i="14" s="1"/>
  <c r="Q26" i="14" s="1"/>
  <c r="F43" i="13"/>
  <c r="R43" i="13" s="1"/>
  <c r="L42" i="13"/>
  <c r="F42" i="13"/>
  <c r="R42" i="13" s="1"/>
  <c r="F39" i="13"/>
  <c r="R39" i="13" s="1"/>
  <c r="F36" i="13"/>
  <c r="R36" i="13" s="1"/>
  <c r="F35" i="13"/>
  <c r="R35" i="13" s="1"/>
  <c r="L34" i="13"/>
  <c r="P52" i="17" l="1"/>
  <c r="Q52" i="17" s="1"/>
  <c r="I52" i="17"/>
  <c r="P68" i="17"/>
  <c r="Q68" i="17" s="1"/>
  <c r="I68" i="17"/>
  <c r="M68" i="17" s="1" a="1"/>
  <c r="M68" i="17" s="1"/>
  <c r="I60" i="17"/>
  <c r="P60" i="17"/>
  <c r="Q60" i="17" s="1"/>
  <c r="P61" i="17"/>
  <c r="Q61" i="17" s="1"/>
  <c r="I61" i="17"/>
  <c r="M61" i="17" s="1" a="1"/>
  <c r="M61" i="17" s="1"/>
  <c r="I62" i="17"/>
  <c r="M62" i="17" s="1" a="1"/>
  <c r="M62" i="17" s="1"/>
  <c r="P62" i="17"/>
  <c r="Q62" i="17" s="1"/>
  <c r="P53" i="17"/>
  <c r="Q53" i="17" s="1"/>
  <c r="I53" i="17"/>
  <c r="M53" i="17" s="1" a="1"/>
  <c r="M53" i="17" s="1"/>
  <c r="P63" i="17"/>
  <c r="Q63" i="17" s="1"/>
  <c r="I63" i="17"/>
  <c r="P65" i="17"/>
  <c r="Q65" i="17" s="1"/>
  <c r="I65" i="17"/>
  <c r="M65" i="17" s="1" a="1"/>
  <c r="M65" i="17" s="1"/>
  <c r="P67" i="17"/>
  <c r="Q67" i="17" s="1"/>
  <c r="I67" i="17"/>
  <c r="M67" i="17" s="1" a="1"/>
  <c r="M67" i="17" s="1"/>
  <c r="P66" i="17"/>
  <c r="Q66" i="17" s="1"/>
  <c r="I66" i="17"/>
  <c r="M66" i="17" s="1" a="1"/>
  <c r="M66" i="17" s="1"/>
  <c r="B59" i="16"/>
  <c r="D59" i="16"/>
  <c r="G59" i="16"/>
  <c r="B68" i="17"/>
  <c r="D68" i="17"/>
  <c r="G68" i="17"/>
  <c r="I22" i="14"/>
  <c r="G22" i="14"/>
  <c r="H22" i="14" s="1"/>
  <c r="B22" i="14"/>
  <c r="D22" i="14"/>
  <c r="I6" i="14"/>
  <c r="M6" i="14" s="1" a="1"/>
  <c r="M6" i="14" s="1"/>
  <c r="D6" i="14"/>
  <c r="G6" i="14"/>
  <c r="B6" i="14"/>
  <c r="G35" i="16"/>
  <c r="H35" i="16" s="1"/>
  <c r="D35" i="16"/>
  <c r="B35" i="16"/>
  <c r="G43" i="17"/>
  <c r="H43" i="17" s="1"/>
  <c r="D43" i="17"/>
  <c r="B43" i="17"/>
  <c r="D53" i="17"/>
  <c r="B53" i="17"/>
  <c r="G53" i="17"/>
  <c r="H53" i="17" s="1"/>
  <c r="B51" i="16"/>
  <c r="D51" i="16"/>
  <c r="G51" i="16"/>
  <c r="H51" i="16" s="1"/>
  <c r="B60" i="17"/>
  <c r="D60" i="17"/>
  <c r="G60" i="17"/>
  <c r="H60" i="17" s="1"/>
  <c r="B36" i="16"/>
  <c r="D36" i="16"/>
  <c r="G36" i="16"/>
  <c r="H36" i="16" s="1"/>
  <c r="B44" i="17"/>
  <c r="D44" i="17"/>
  <c r="G44" i="17"/>
  <c r="H44" i="17" s="1"/>
  <c r="G58" i="2"/>
  <c r="H58" i="2" s="1"/>
  <c r="B58" i="2"/>
  <c r="D58" i="2"/>
  <c r="G52" i="16"/>
  <c r="H52" i="16" s="1"/>
  <c r="D52" i="16"/>
  <c r="B52" i="16"/>
  <c r="B61" i="17"/>
  <c r="D61" i="17"/>
  <c r="G61" i="17"/>
  <c r="H61" i="17" s="1"/>
  <c r="G38" i="16"/>
  <c r="H38" i="16" s="1"/>
  <c r="D38" i="16"/>
  <c r="B38" i="16"/>
  <c r="B45" i="17"/>
  <c r="G45" i="17"/>
  <c r="H45" i="17" s="1"/>
  <c r="D45" i="17"/>
  <c r="G57" i="2"/>
  <c r="H57" i="2" s="1"/>
  <c r="B57" i="2"/>
  <c r="D57" i="2"/>
  <c r="D53" i="16"/>
  <c r="G53" i="16"/>
  <c r="H53" i="16" s="1"/>
  <c r="B53" i="16"/>
  <c r="G62" i="17"/>
  <c r="H62" i="17" s="1"/>
  <c r="B62" i="17"/>
  <c r="D62" i="17"/>
  <c r="I26" i="14"/>
  <c r="D26" i="14"/>
  <c r="B26" i="14"/>
  <c r="G26" i="14"/>
  <c r="H26" i="14" s="1"/>
  <c r="I16" i="14"/>
  <c r="G16" i="14"/>
  <c r="H16" i="14" s="1"/>
  <c r="D16" i="14"/>
  <c r="B16" i="14"/>
  <c r="I8" i="14"/>
  <c r="M8" i="14" s="1" a="1"/>
  <c r="M8" i="14" s="1"/>
  <c r="D8" i="14"/>
  <c r="G8" i="14"/>
  <c r="H8" i="14" s="1"/>
  <c r="B8" i="14"/>
  <c r="I15" i="14"/>
  <c r="D15" i="14"/>
  <c r="G15" i="14"/>
  <c r="B15" i="14"/>
  <c r="D34" i="16"/>
  <c r="G34" i="16"/>
  <c r="H34" i="16" s="1"/>
  <c r="B34" i="16"/>
  <c r="G44" i="16"/>
  <c r="H44" i="16" s="1"/>
  <c r="D44" i="16"/>
  <c r="B44" i="16"/>
  <c r="G52" i="17"/>
  <c r="H52" i="17" s="1"/>
  <c r="D52" i="17"/>
  <c r="B52" i="17"/>
  <c r="B51" i="2"/>
  <c r="D51" i="2"/>
  <c r="G51" i="2"/>
  <c r="I13" i="14"/>
  <c r="M13" i="14" s="1" a="1"/>
  <c r="M13" i="14" s="1"/>
  <c r="D13" i="14"/>
  <c r="G13" i="14"/>
  <c r="H13" i="14" s="1"/>
  <c r="B13" i="14"/>
  <c r="I5" i="14"/>
  <c r="G5" i="14"/>
  <c r="H5" i="14" s="1"/>
  <c r="B5" i="14"/>
  <c r="D5" i="14"/>
  <c r="I20" i="14"/>
  <c r="D20" i="14"/>
  <c r="G20" i="14"/>
  <c r="H20" i="14" s="1"/>
  <c r="B20" i="14"/>
  <c r="I12" i="14"/>
  <c r="M12" i="14" s="1" a="1"/>
  <c r="M12" i="14" s="1"/>
  <c r="D12" i="14"/>
  <c r="B12" i="14"/>
  <c r="G12" i="14"/>
  <c r="H12" i="14" s="1"/>
  <c r="I4" i="14"/>
  <c r="B4" i="14"/>
  <c r="D4" i="14"/>
  <c r="G4" i="14"/>
  <c r="H4" i="14" s="1"/>
  <c r="I19" i="14"/>
  <c r="M19" i="14" s="1" a="1"/>
  <c r="M19" i="14" s="1"/>
  <c r="B19" i="14"/>
  <c r="G19" i="14"/>
  <c r="H19" i="14" s="1"/>
  <c r="D19" i="14"/>
  <c r="D39" i="16"/>
  <c r="G39" i="16"/>
  <c r="H39" i="16" s="1"/>
  <c r="B39" i="16"/>
  <c r="D47" i="17"/>
  <c r="B47" i="17"/>
  <c r="G47" i="17"/>
  <c r="H47" i="17" s="1"/>
  <c r="D56" i="2"/>
  <c r="G56" i="2"/>
  <c r="B56" i="2"/>
  <c r="B54" i="16"/>
  <c r="D54" i="16"/>
  <c r="G54" i="16"/>
  <c r="H54" i="16" s="1"/>
  <c r="G63" i="17"/>
  <c r="H63" i="17" s="1"/>
  <c r="B63" i="17"/>
  <c r="D63" i="17"/>
  <c r="I18" i="14"/>
  <c r="M18" i="14" s="1" a="1"/>
  <c r="M18" i="14" s="1"/>
  <c r="G18" i="14"/>
  <c r="H18" i="14" s="1"/>
  <c r="D18" i="14"/>
  <c r="B18" i="14"/>
  <c r="G56" i="16"/>
  <c r="H56" i="16" s="1"/>
  <c r="B56" i="16"/>
  <c r="D56" i="16"/>
  <c r="G65" i="17"/>
  <c r="H65" i="17" s="1"/>
  <c r="D65" i="17"/>
  <c r="B65" i="17"/>
  <c r="I10" i="14"/>
  <c r="D10" i="14"/>
  <c r="G10" i="14"/>
  <c r="H10" i="14" s="1"/>
  <c r="B10" i="14"/>
  <c r="G40" i="16"/>
  <c r="H40" i="16" s="1"/>
  <c r="B40" i="16"/>
  <c r="D40" i="16"/>
  <c r="D48" i="17"/>
  <c r="B48" i="17"/>
  <c r="G48" i="17"/>
  <c r="H48" i="17" s="1"/>
  <c r="G55" i="2"/>
  <c r="D55" i="2"/>
  <c r="B55" i="2"/>
  <c r="I27" i="14"/>
  <c r="M27" i="14" s="1" a="1"/>
  <c r="M27" i="14" s="1"/>
  <c r="D27" i="14"/>
  <c r="G27" i="14"/>
  <c r="H27" i="14" s="1"/>
  <c r="B27" i="14"/>
  <c r="I9" i="14"/>
  <c r="G9" i="14"/>
  <c r="D9" i="14"/>
  <c r="B9" i="14"/>
  <c r="B42" i="16"/>
  <c r="D42" i="16"/>
  <c r="G42" i="16"/>
  <c r="H42" i="16" s="1"/>
  <c r="B49" i="17"/>
  <c r="D49" i="17"/>
  <c r="G49" i="17"/>
  <c r="H49" i="17" s="1"/>
  <c r="D53" i="2"/>
  <c r="B53" i="2"/>
  <c r="G53" i="2"/>
  <c r="B57" i="16"/>
  <c r="G57" i="16"/>
  <c r="H57" i="16" s="1"/>
  <c r="D57" i="16"/>
  <c r="D66" i="17"/>
  <c r="B66" i="17"/>
  <c r="G66" i="17"/>
  <c r="H66" i="17" s="1"/>
  <c r="D43" i="16"/>
  <c r="G43" i="16"/>
  <c r="H43" i="16" s="1"/>
  <c r="B43" i="16"/>
  <c r="B51" i="17"/>
  <c r="G51" i="17"/>
  <c r="H51" i="17" s="1"/>
  <c r="D51" i="17"/>
  <c r="B52" i="2"/>
  <c r="D52" i="2"/>
  <c r="G52" i="2"/>
  <c r="G58" i="16"/>
  <c r="H58" i="16" s="1"/>
  <c r="D58" i="16"/>
  <c r="B58" i="16"/>
  <c r="D67" i="17"/>
  <c r="B67" i="17"/>
  <c r="G67" i="17"/>
  <c r="H67" i="17" s="1"/>
  <c r="H59" i="15"/>
  <c r="H59" i="13"/>
  <c r="E61" i="17"/>
  <c r="F61" i="17" s="1"/>
  <c r="S61" i="17" s="1"/>
  <c r="L5" i="14"/>
  <c r="S16" i="14"/>
  <c r="M34" i="16" a="1"/>
  <c r="M34" i="16" s="1"/>
  <c r="F43" i="16"/>
  <c r="S43" i="16" s="1"/>
  <c r="M44" i="16" a="1"/>
  <c r="M44" i="16" s="1"/>
  <c r="L63" i="17"/>
  <c r="L6" i="14"/>
  <c r="M57" i="16" a="1"/>
  <c r="M57" i="16" s="1"/>
  <c r="S12" i="14"/>
  <c r="F38" i="16"/>
  <c r="S38" i="16" s="1"/>
  <c r="M39" i="16" a="1"/>
  <c r="M39" i="16" s="1"/>
  <c r="M45" i="17" a="1"/>
  <c r="M45" i="17" s="1"/>
  <c r="F58" i="16"/>
  <c r="S58" i="16" s="1"/>
  <c r="E67" i="17"/>
  <c r="F67" i="17" s="1"/>
  <c r="S67" i="17" s="1"/>
  <c r="E68" i="17"/>
  <c r="F68" i="17" s="1"/>
  <c r="S68" i="17" s="1"/>
  <c r="E60" i="17"/>
  <c r="F60" i="17" s="1"/>
  <c r="S60" i="17" s="1"/>
  <c r="S4" i="14"/>
  <c r="F54" i="16"/>
  <c r="S54" i="16" s="1"/>
  <c r="L52" i="17"/>
  <c r="S34" i="16"/>
  <c r="E63" i="17"/>
  <c r="F63" i="17" s="1"/>
  <c r="S63" i="17" s="1"/>
  <c r="M52" i="16" a="1"/>
  <c r="M52" i="16" s="1"/>
  <c r="S27" i="14"/>
  <c r="L66" i="17"/>
  <c r="L10" i="14"/>
  <c r="S19" i="14"/>
  <c r="L4" i="14"/>
  <c r="M38" i="16" a="1"/>
  <c r="M38" i="16" s="1"/>
  <c r="E66" i="17"/>
  <c r="F66" i="17" s="1"/>
  <c r="S66" i="17" s="1"/>
  <c r="M36" i="16" a="1"/>
  <c r="M36" i="16" s="1"/>
  <c r="J57" i="15"/>
  <c r="J57" i="13"/>
  <c r="L60" i="17"/>
  <c r="L9" i="14"/>
  <c r="L16" i="14"/>
  <c r="M42" i="16" a="1"/>
  <c r="M42" i="16" s="1"/>
  <c r="E52" i="17"/>
  <c r="F52" i="17" s="1"/>
  <c r="S52" i="17" s="1"/>
  <c r="S10" i="14"/>
  <c r="S18" i="14"/>
  <c r="F43" i="17"/>
  <c r="S43" i="17" s="1"/>
  <c r="M48" i="17" a="1"/>
  <c r="M48" i="17" s="1"/>
  <c r="S8" i="14"/>
  <c r="J43" i="15"/>
  <c r="F52" i="16"/>
  <c r="S52" i="16" s="1"/>
  <c r="M56" i="16" a="1"/>
  <c r="M56" i="16" s="1"/>
  <c r="F40" i="16"/>
  <c r="S40" i="16" s="1"/>
  <c r="S15" i="14"/>
  <c r="S22" i="14"/>
  <c r="S6" i="14"/>
  <c r="S13" i="14"/>
  <c r="L13" i="14"/>
  <c r="S5" i="14"/>
  <c r="J5" i="15"/>
  <c r="S20" i="14"/>
  <c r="F44" i="16"/>
  <c r="S44" i="16" s="1"/>
  <c r="L47" i="17"/>
  <c r="S26" i="14"/>
  <c r="K34" i="14"/>
  <c r="M35" i="16" a="1"/>
  <c r="M35" i="16" s="1"/>
  <c r="M43" i="16" a="1"/>
  <c r="M43" i="16" s="1"/>
  <c r="F47" i="17"/>
  <c r="S47" i="17" s="1"/>
  <c r="M51" i="17" a="1"/>
  <c r="M51" i="17" s="1"/>
  <c r="S9" i="14"/>
  <c r="F36" i="16"/>
  <c r="S36" i="16" s="1"/>
  <c r="F49" i="17"/>
  <c r="S49" i="17" s="1"/>
  <c r="L27" i="14"/>
  <c r="F56" i="16"/>
  <c r="S56" i="16" s="1"/>
  <c r="E53" i="17"/>
  <c r="F53" i="17" s="1"/>
  <c r="S53" i="17" s="1"/>
  <c r="J54" i="15"/>
  <c r="M54" i="16" a="1"/>
  <c r="M54" i="16" s="1"/>
  <c r="M59" i="16" a="1"/>
  <c r="M59" i="16" s="1"/>
  <c r="L53" i="17"/>
  <c r="I57" i="2"/>
  <c r="F51" i="16"/>
  <c r="S51" i="16" s="1"/>
  <c r="M51" i="16" a="1"/>
  <c r="M51" i="16" s="1"/>
  <c r="K5" i="15"/>
  <c r="K54" i="14"/>
  <c r="M54" i="14" a="1"/>
  <c r="M54" i="14" s="1"/>
  <c r="M43" i="15" a="1"/>
  <c r="M43" i="15" s="1"/>
  <c r="K40" i="15"/>
  <c r="M40" i="15" a="1"/>
  <c r="M40" i="15" s="1"/>
  <c r="K43" i="15"/>
  <c r="K42" i="13"/>
  <c r="K39" i="13"/>
  <c r="M39" i="13" a="1"/>
  <c r="M39" i="13" s="1"/>
  <c r="J42" i="13"/>
  <c r="K35" i="13"/>
  <c r="L62" i="17"/>
  <c r="E62" i="17"/>
  <c r="F62" i="17" s="1"/>
  <c r="S62" i="17" s="1"/>
  <c r="L68" i="17"/>
  <c r="L61" i="17"/>
  <c r="E65" i="17"/>
  <c r="F65" i="17" s="1"/>
  <c r="S65" i="17" s="1"/>
  <c r="L67" i="17"/>
  <c r="L65" i="17"/>
  <c r="M53" i="16" a="1"/>
  <c r="M53" i="16" s="1"/>
  <c r="F57" i="16"/>
  <c r="S57" i="16" s="1"/>
  <c r="F53" i="16"/>
  <c r="S53" i="16" s="1"/>
  <c r="F59" i="16"/>
  <c r="S59" i="16" s="1"/>
  <c r="K53" i="15"/>
  <c r="H53" i="15"/>
  <c r="M51" i="15" a="1"/>
  <c r="M51" i="15" s="1"/>
  <c r="K54" i="15"/>
  <c r="L51" i="15"/>
  <c r="M54" i="15" a="1"/>
  <c r="M54" i="15" s="1"/>
  <c r="K57" i="15"/>
  <c r="M57" i="15" a="1"/>
  <c r="M57" i="15" s="1"/>
  <c r="H51" i="15"/>
  <c r="J52" i="15"/>
  <c r="F53" i="15"/>
  <c r="S53" i="15" s="1"/>
  <c r="K56" i="15"/>
  <c r="L59" i="15"/>
  <c r="K52" i="15"/>
  <c r="F51" i="15"/>
  <c r="S51" i="15" s="1"/>
  <c r="L56" i="15"/>
  <c r="J58" i="15"/>
  <c r="F59" i="15"/>
  <c r="S59" i="15" s="1"/>
  <c r="F56" i="15"/>
  <c r="S56" i="15" s="1"/>
  <c r="K58" i="15"/>
  <c r="J57" i="14"/>
  <c r="M57" i="14" a="1"/>
  <c r="M57" i="14" s="1"/>
  <c r="K57" i="14"/>
  <c r="J51" i="14"/>
  <c r="M51" i="14" a="1"/>
  <c r="M51" i="14" s="1"/>
  <c r="L59" i="14"/>
  <c r="K52" i="14"/>
  <c r="K59" i="14"/>
  <c r="H51" i="14"/>
  <c r="J52" i="14"/>
  <c r="F53" i="14"/>
  <c r="S53" i="14" s="1"/>
  <c r="K56" i="14"/>
  <c r="L56" i="14"/>
  <c r="J58" i="14"/>
  <c r="F59" i="14"/>
  <c r="S59" i="14" s="1"/>
  <c r="H53" i="14"/>
  <c r="J54" i="14"/>
  <c r="F56" i="14"/>
  <c r="S56" i="14" s="1"/>
  <c r="K58" i="14"/>
  <c r="L58" i="14"/>
  <c r="H57" i="13"/>
  <c r="K57" i="13"/>
  <c r="M53" i="13" a="1"/>
  <c r="M53" i="13" s="1"/>
  <c r="K59" i="13"/>
  <c r="L53" i="13"/>
  <c r="F51" i="13"/>
  <c r="R51" i="13" s="1"/>
  <c r="L59" i="13"/>
  <c r="K52" i="13"/>
  <c r="L56" i="13"/>
  <c r="J58" i="13"/>
  <c r="F59" i="13"/>
  <c r="R59" i="13" s="1"/>
  <c r="M59" i="13" a="1"/>
  <c r="M59" i="13" s="1"/>
  <c r="M57" i="13" a="1"/>
  <c r="M57" i="13" s="1"/>
  <c r="H51" i="13"/>
  <c r="J52" i="13"/>
  <c r="F53" i="13"/>
  <c r="R53" i="13" s="1"/>
  <c r="K56" i="13"/>
  <c r="H53" i="13"/>
  <c r="F56" i="13"/>
  <c r="R56" i="13" s="1"/>
  <c r="K58" i="13"/>
  <c r="F58" i="2"/>
  <c r="S58" i="2" s="1"/>
  <c r="F57" i="2"/>
  <c r="S57" i="2" s="1"/>
  <c r="I58" i="2"/>
  <c r="M58" i="2" s="1" a="1"/>
  <c r="M58" i="2" s="1"/>
  <c r="J40" i="14"/>
  <c r="K40" i="14"/>
  <c r="M34" i="14" a="1"/>
  <c r="M34" i="14" s="1"/>
  <c r="L45" i="17"/>
  <c r="F45" i="17"/>
  <c r="S45" i="17" s="1"/>
  <c r="F44" i="17"/>
  <c r="S44" i="17" s="1"/>
  <c r="F48" i="17"/>
  <c r="S48" i="17" s="1"/>
  <c r="L51" i="17"/>
  <c r="F51" i="17"/>
  <c r="S51" i="17" s="1"/>
  <c r="F39" i="16"/>
  <c r="S39" i="16" s="1"/>
  <c r="F35" i="16"/>
  <c r="S35" i="16" s="1"/>
  <c r="F42" i="16"/>
  <c r="S42" i="16" s="1"/>
  <c r="M39" i="15" a="1"/>
  <c r="M39" i="15" s="1"/>
  <c r="K42" i="15"/>
  <c r="K35" i="15"/>
  <c r="J34" i="15"/>
  <c r="E35" i="15"/>
  <c r="F35" i="15" s="1"/>
  <c r="S35" i="15" s="1"/>
  <c r="K38" i="15"/>
  <c r="K34" i="15"/>
  <c r="H39" i="15"/>
  <c r="G45" i="15" s="1"/>
  <c r="R45" i="15" s="1"/>
  <c r="J40" i="15"/>
  <c r="E42" i="15"/>
  <c r="F42" i="15" s="1"/>
  <c r="S42" i="15" s="1"/>
  <c r="M42" i="15" a="1"/>
  <c r="M42" i="15" s="1"/>
  <c r="K44" i="15"/>
  <c r="J38" i="15"/>
  <c r="E39" i="15"/>
  <c r="F39" i="15" s="1"/>
  <c r="S39" i="15" s="1"/>
  <c r="J44" i="15"/>
  <c r="M5" i="15" a="1"/>
  <c r="M5" i="15" s="1"/>
  <c r="J4" i="15"/>
  <c r="K4" i="15"/>
  <c r="L36" i="14"/>
  <c r="K43" i="14"/>
  <c r="F36" i="14"/>
  <c r="S36" i="14" s="1"/>
  <c r="K39" i="14"/>
  <c r="L39" i="14"/>
  <c r="J42" i="14"/>
  <c r="F43" i="14"/>
  <c r="S43" i="14" s="1"/>
  <c r="M43" i="14" a="1"/>
  <c r="M43" i="14" s="1"/>
  <c r="L35" i="14"/>
  <c r="H36" i="14"/>
  <c r="G45" i="14" s="1"/>
  <c r="R45" i="14" s="1"/>
  <c r="F39" i="14"/>
  <c r="S39" i="14" s="1"/>
  <c r="K42" i="14"/>
  <c r="J34" i="14"/>
  <c r="J44" i="14"/>
  <c r="K44" i="14"/>
  <c r="M38" i="13" a="1"/>
  <c r="M38" i="13" s="1"/>
  <c r="L38" i="13"/>
  <c r="M42" i="13" a="1"/>
  <c r="M42" i="13" s="1"/>
  <c r="K44" i="13"/>
  <c r="L44" i="13"/>
  <c r="J36" i="13"/>
  <c r="F38" i="13"/>
  <c r="R38" i="13" s="1"/>
  <c r="L40" i="13"/>
  <c r="J43" i="13"/>
  <c r="F44" i="13"/>
  <c r="R44" i="13" s="1"/>
  <c r="K40" i="13"/>
  <c r="F34" i="13"/>
  <c r="R34" i="13" s="1"/>
  <c r="M34" i="13" a="1"/>
  <c r="M34" i="13" s="1"/>
  <c r="K36" i="13"/>
  <c r="L36" i="13"/>
  <c r="H38" i="13"/>
  <c r="J39" i="13"/>
  <c r="F40" i="13"/>
  <c r="R40" i="13" s="1"/>
  <c r="K43" i="13"/>
  <c r="H34" i="13"/>
  <c r="J35" i="13"/>
  <c r="L43" i="13"/>
  <c r="K9" i="14" l="1"/>
  <c r="K57" i="2"/>
  <c r="K20" i="14"/>
  <c r="G54" i="17"/>
  <c r="K66" i="17"/>
  <c r="K63" i="17"/>
  <c r="G45" i="16"/>
  <c r="K26" i="14"/>
  <c r="H68" i="17"/>
  <c r="G69" i="17" s="1"/>
  <c r="R69" i="17" s="1"/>
  <c r="K19" i="14"/>
  <c r="K8" i="14"/>
  <c r="H59" i="16"/>
  <c r="G60" i="16" s="1"/>
  <c r="R60" i="16" s="1"/>
  <c r="G60" i="15"/>
  <c r="R60" i="15" s="1"/>
  <c r="H9" i="14"/>
  <c r="K10" i="14"/>
  <c r="J34" i="16"/>
  <c r="K60" i="17"/>
  <c r="J43" i="17"/>
  <c r="J4" i="14"/>
  <c r="M4" i="14" a="1"/>
  <c r="M4" i="14" s="1"/>
  <c r="K18" i="14"/>
  <c r="M63" i="17" a="1"/>
  <c r="M63" i="17" s="1"/>
  <c r="K52" i="16"/>
  <c r="J18" i="14"/>
  <c r="J12" i="14"/>
  <c r="J63" i="17"/>
  <c r="J52" i="17"/>
  <c r="K12" i="14"/>
  <c r="K4" i="14"/>
  <c r="J66" i="17"/>
  <c r="J19" i="14"/>
  <c r="J27" i="14"/>
  <c r="J38" i="16"/>
  <c r="M57" i="2" a="1"/>
  <c r="M57" i="2" s="1"/>
  <c r="J43" i="16"/>
  <c r="J40" i="16"/>
  <c r="K16" i="14"/>
  <c r="K36" i="16"/>
  <c r="K53" i="17"/>
  <c r="K38" i="16"/>
  <c r="K44" i="16"/>
  <c r="J6" i="14"/>
  <c r="M26" i="14" a="1"/>
  <c r="M26" i="14" s="1"/>
  <c r="K47" i="17"/>
  <c r="K56" i="16"/>
  <c r="J26" i="14"/>
  <c r="J52" i="16"/>
  <c r="M20" i="14" a="1"/>
  <c r="M20" i="14" s="1"/>
  <c r="J10" i="14"/>
  <c r="M10" i="14" a="1"/>
  <c r="M10" i="14" s="1"/>
  <c r="J16" i="14"/>
  <c r="J54" i="16"/>
  <c r="K65" i="17"/>
  <c r="J13" i="14"/>
  <c r="M16" i="14" a="1"/>
  <c r="M16" i="14" s="1"/>
  <c r="K59" i="16"/>
  <c r="K22" i="14"/>
  <c r="K42" i="16"/>
  <c r="K53" i="16"/>
  <c r="K39" i="16"/>
  <c r="K51" i="17"/>
  <c r="J56" i="16"/>
  <c r="J68" i="17"/>
  <c r="K48" i="17"/>
  <c r="J60" i="17"/>
  <c r="M60" i="17" a="1"/>
  <c r="M60" i="17" s="1"/>
  <c r="K27" i="14"/>
  <c r="J8" i="14"/>
  <c r="J51" i="16"/>
  <c r="J53" i="17"/>
  <c r="J45" i="17"/>
  <c r="K62" i="17"/>
  <c r="K43" i="17"/>
  <c r="M43" i="17" a="1"/>
  <c r="M43" i="17" s="1"/>
  <c r="K6" i="14"/>
  <c r="H6" i="14"/>
  <c r="J5" i="14"/>
  <c r="K5" i="14"/>
  <c r="K35" i="16"/>
  <c r="K15" i="14"/>
  <c r="H15" i="14"/>
  <c r="M5" i="14" a="1"/>
  <c r="M5" i="14" s="1"/>
  <c r="K52" i="17"/>
  <c r="J67" i="17"/>
  <c r="J61" i="17"/>
  <c r="J36" i="16"/>
  <c r="K13" i="14"/>
  <c r="J20" i="14"/>
  <c r="J15" i="14"/>
  <c r="M15" i="14" a="1"/>
  <c r="M15" i="14" s="1"/>
  <c r="K34" i="16"/>
  <c r="J49" i="17"/>
  <c r="M49" i="17" a="1"/>
  <c r="M49" i="17" s="1"/>
  <c r="K49" i="17"/>
  <c r="J22" i="14"/>
  <c r="K51" i="16"/>
  <c r="J42" i="16"/>
  <c r="G45" i="13"/>
  <c r="Q45" i="13" s="1"/>
  <c r="M22" i="14" a="1"/>
  <c r="M22" i="14" s="1"/>
  <c r="J44" i="16"/>
  <c r="M52" i="17" a="1"/>
  <c r="M52" i="17" s="1"/>
  <c r="G60" i="13"/>
  <c r="Q60" i="13" s="1"/>
  <c r="K57" i="16"/>
  <c r="K67" i="17"/>
  <c r="K61" i="17"/>
  <c r="J9" i="14"/>
  <c r="M9" i="14" a="1"/>
  <c r="M9" i="14" s="1"/>
  <c r="K40" i="16"/>
  <c r="M40" i="16" a="1"/>
  <c r="M40" i="16" s="1"/>
  <c r="J47" i="17"/>
  <c r="M47" i="17" a="1"/>
  <c r="M47" i="17" s="1"/>
  <c r="G60" i="14"/>
  <c r="R60" i="14" s="1"/>
  <c r="J53" i="15"/>
  <c r="J51" i="15"/>
  <c r="J35" i="15"/>
  <c r="J59" i="13"/>
  <c r="J53" i="13"/>
  <c r="J62" i="17"/>
  <c r="K68" i="17"/>
  <c r="J65" i="17"/>
  <c r="J57" i="16"/>
  <c r="J53" i="16"/>
  <c r="M58" i="16" a="1"/>
  <c r="M58" i="16" s="1"/>
  <c r="K58" i="16"/>
  <c r="J58" i="16"/>
  <c r="J59" i="16"/>
  <c r="K54" i="16"/>
  <c r="J56" i="15"/>
  <c r="M59" i="15" a="1"/>
  <c r="M59" i="15" s="1"/>
  <c r="K59" i="15"/>
  <c r="J59" i="15"/>
  <c r="K51" i="15"/>
  <c r="J59" i="14"/>
  <c r="J56" i="14"/>
  <c r="J53" i="14"/>
  <c r="K53" i="14"/>
  <c r="K51" i="14"/>
  <c r="K54" i="13"/>
  <c r="J54" i="13"/>
  <c r="M54" i="13" a="1"/>
  <c r="M54" i="13" s="1"/>
  <c r="K51" i="13"/>
  <c r="J51" i="13"/>
  <c r="M51" i="13" a="1"/>
  <c r="M51" i="13" s="1"/>
  <c r="J56" i="13"/>
  <c r="K53" i="13"/>
  <c r="J58" i="2"/>
  <c r="K58" i="2"/>
  <c r="J57" i="2"/>
  <c r="J51" i="17"/>
  <c r="J48" i="17"/>
  <c r="K45" i="17"/>
  <c r="M44" i="17" a="1"/>
  <c r="M44" i="17" s="1"/>
  <c r="J44" i="17"/>
  <c r="K44" i="17"/>
  <c r="J35" i="16"/>
  <c r="K43" i="16"/>
  <c r="J39" i="16"/>
  <c r="J39" i="15"/>
  <c r="K39" i="15"/>
  <c r="J42" i="15"/>
  <c r="K36" i="15"/>
  <c r="J36" i="15"/>
  <c r="M36" i="15" a="1"/>
  <c r="M36" i="15" s="1"/>
  <c r="K36" i="14"/>
  <c r="J36" i="14"/>
  <c r="M36" i="14" a="1"/>
  <c r="M36" i="14" s="1"/>
  <c r="M35" i="14" a="1"/>
  <c r="M35" i="14" s="1"/>
  <c r="K35" i="14"/>
  <c r="J35" i="14"/>
  <c r="J43" i="14"/>
  <c r="J39" i="14"/>
  <c r="M38" i="14" a="1"/>
  <c r="M38" i="14" s="1"/>
  <c r="K38" i="14"/>
  <c r="J38" i="14"/>
  <c r="J40" i="13"/>
  <c r="J44" i="13"/>
  <c r="K34" i="13"/>
  <c r="J34" i="13"/>
  <c r="K38" i="13"/>
  <c r="J38" i="13"/>
  <c r="J45" i="16" l="1"/>
  <c r="J60" i="16"/>
  <c r="J45" i="15"/>
  <c r="J69" i="17"/>
  <c r="J60" i="13"/>
  <c r="J60" i="15"/>
  <c r="J60" i="14"/>
  <c r="G28" i="14"/>
  <c r="R28" i="14" s="1"/>
  <c r="R63" i="14" s="1"/>
  <c r="J45" i="13"/>
  <c r="J28" i="14"/>
  <c r="J45" i="14"/>
  <c r="A50" i="2" l="1"/>
  <c r="P50" i="2" s="1"/>
  <c r="Q50" i="2" s="1"/>
  <c r="F52" i="2"/>
  <c r="S52" i="2" s="1"/>
  <c r="I53" i="2"/>
  <c r="H55" i="2"/>
  <c r="H56" i="2"/>
  <c r="D50" i="2" l="1"/>
  <c r="G50" i="2"/>
  <c r="H50" i="2" s="1"/>
  <c r="B50" i="2"/>
  <c r="I50" i="2"/>
  <c r="M50" i="2" s="1" a="1"/>
  <c r="M50" i="2" s="1"/>
  <c r="H51" i="2"/>
  <c r="F56" i="2"/>
  <c r="S56" i="2" s="1"/>
  <c r="F53" i="2"/>
  <c r="S53" i="2" s="1"/>
  <c r="L53" i="2"/>
  <c r="I51" i="2"/>
  <c r="H53" i="2"/>
  <c r="F55" i="2"/>
  <c r="S55" i="2" s="1"/>
  <c r="I56" i="2"/>
  <c r="M56" i="2" s="1" a="1"/>
  <c r="M56" i="2" s="1"/>
  <c r="F51" i="2"/>
  <c r="S51" i="2" s="1"/>
  <c r="L55" i="2"/>
  <c r="F50" i="2"/>
  <c r="S50" i="2" s="1"/>
  <c r="M53" i="2" a="1"/>
  <c r="M53" i="2" s="1"/>
  <c r="I55" i="2"/>
  <c r="H52" i="2"/>
  <c r="I52" i="2"/>
  <c r="G59" i="2" l="1"/>
  <c r="K53" i="2"/>
  <c r="J53" i="2"/>
  <c r="K56" i="2"/>
  <c r="J51" i="2"/>
  <c r="K51" i="2"/>
  <c r="M51" i="2" a="1"/>
  <c r="M51" i="2" s="1"/>
  <c r="J56" i="2"/>
  <c r="K50" i="2"/>
  <c r="J50" i="2"/>
  <c r="J55" i="2"/>
  <c r="K55" i="2"/>
  <c r="M55" i="2" a="1"/>
  <c r="M55" i="2" s="1"/>
  <c r="M52" i="2" a="1"/>
  <c r="M52" i="2" s="1"/>
  <c r="J52" i="2"/>
  <c r="K52" i="2"/>
  <c r="A5" i="18" l="1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4" i="18"/>
  <c r="A5" i="17"/>
  <c r="A6" i="17"/>
  <c r="A8" i="17"/>
  <c r="A9" i="17"/>
  <c r="A10" i="17"/>
  <c r="A12" i="17"/>
  <c r="A13" i="17"/>
  <c r="A15" i="17"/>
  <c r="A16" i="17"/>
  <c r="A18" i="17"/>
  <c r="A19" i="17"/>
  <c r="A20" i="17"/>
  <c r="A22" i="17"/>
  <c r="A4" i="17"/>
  <c r="A5" i="16"/>
  <c r="A6" i="16"/>
  <c r="A8" i="16"/>
  <c r="A9" i="16"/>
  <c r="A10" i="16"/>
  <c r="A12" i="16"/>
  <c r="A13" i="16"/>
  <c r="A15" i="16"/>
  <c r="A16" i="16"/>
  <c r="A18" i="16"/>
  <c r="A19" i="16"/>
  <c r="A20" i="16"/>
  <c r="A22" i="16"/>
  <c r="A26" i="16"/>
  <c r="A4" i="16"/>
  <c r="A6" i="15"/>
  <c r="A8" i="15"/>
  <c r="A9" i="15"/>
  <c r="A10" i="15"/>
  <c r="A12" i="15"/>
  <c r="A13" i="15"/>
  <c r="A15" i="15"/>
  <c r="A16" i="15"/>
  <c r="A18" i="15"/>
  <c r="A19" i="15"/>
  <c r="A20" i="15"/>
  <c r="A22" i="15"/>
  <c r="A28" i="15"/>
  <c r="I28" i="15" s="1"/>
  <c r="A5" i="2"/>
  <c r="P5" i="2" s="1"/>
  <c r="Q5" i="2" s="1"/>
  <c r="A6" i="2"/>
  <c r="P6" i="2" s="1"/>
  <c r="Q6" i="2" s="1"/>
  <c r="A8" i="2"/>
  <c r="P8" i="2" s="1"/>
  <c r="Q8" i="2" s="1"/>
  <c r="A9" i="2"/>
  <c r="P9" i="2" s="1"/>
  <c r="Q9" i="2" s="1"/>
  <c r="A10" i="2"/>
  <c r="P10" i="2" s="1"/>
  <c r="Q10" i="2" s="1"/>
  <c r="A12" i="2"/>
  <c r="P12" i="2" s="1"/>
  <c r="Q12" i="2" s="1"/>
  <c r="A13" i="2"/>
  <c r="P13" i="2" s="1"/>
  <c r="Q13" i="2" s="1"/>
  <c r="A15" i="2"/>
  <c r="P15" i="2" s="1"/>
  <c r="Q15" i="2" s="1"/>
  <c r="A16" i="2"/>
  <c r="P16" i="2" s="1"/>
  <c r="Q16" i="2" s="1"/>
  <c r="A18" i="2"/>
  <c r="P18" i="2" s="1"/>
  <c r="Q18" i="2" s="1"/>
  <c r="A19" i="2"/>
  <c r="P19" i="2" s="1"/>
  <c r="Q19" i="2" s="1"/>
  <c r="A20" i="2"/>
  <c r="P20" i="2" s="1"/>
  <c r="Q20" i="2" s="1"/>
  <c r="A4" i="2"/>
  <c r="P4" i="2" s="1"/>
  <c r="Q4" i="2" s="1"/>
  <c r="A5" i="13"/>
  <c r="O5" i="13" s="1"/>
  <c r="P5" i="13" s="1"/>
  <c r="A6" i="13"/>
  <c r="O6" i="13" s="1"/>
  <c r="P6" i="13" s="1"/>
  <c r="A7" i="13"/>
  <c r="A8" i="13"/>
  <c r="O8" i="13" s="1"/>
  <c r="P8" i="13" s="1"/>
  <c r="A9" i="13"/>
  <c r="O9" i="13" s="1"/>
  <c r="P9" i="13" s="1"/>
  <c r="A10" i="13"/>
  <c r="O10" i="13" s="1"/>
  <c r="P10" i="13" s="1"/>
  <c r="A11" i="13"/>
  <c r="A12" i="13"/>
  <c r="O12" i="13" s="1"/>
  <c r="P12" i="13" s="1"/>
  <c r="A13" i="13"/>
  <c r="O13" i="13" s="1"/>
  <c r="P13" i="13" s="1"/>
  <c r="A14" i="13"/>
  <c r="A15" i="13"/>
  <c r="O15" i="13" s="1"/>
  <c r="P15" i="13" s="1"/>
  <c r="A16" i="13"/>
  <c r="O16" i="13" s="1"/>
  <c r="P16" i="13" s="1"/>
  <c r="A17" i="13"/>
  <c r="A18" i="13"/>
  <c r="O18" i="13" s="1"/>
  <c r="P18" i="13" s="1"/>
  <c r="A19" i="13"/>
  <c r="O19" i="13" s="1"/>
  <c r="P19" i="13" s="1"/>
  <c r="A20" i="13"/>
  <c r="O20" i="13" s="1"/>
  <c r="P20" i="13" s="1"/>
  <c r="A21" i="13"/>
  <c r="A22" i="13"/>
  <c r="O22" i="13" s="1"/>
  <c r="P22" i="13" s="1"/>
  <c r="A25" i="13"/>
  <c r="A26" i="13"/>
  <c r="O26" i="13" s="1"/>
  <c r="P26" i="13" s="1"/>
  <c r="A28" i="13"/>
  <c r="A4" i="13"/>
  <c r="O4" i="13" s="1"/>
  <c r="P4" i="13" s="1"/>
  <c r="AZ2" i="4"/>
  <c r="AW102" i="4"/>
  <c r="AW3" i="4"/>
  <c r="AW95" i="4"/>
  <c r="AW103" i="4"/>
  <c r="AW5" i="4"/>
  <c r="AW97" i="4"/>
  <c r="AW81" i="4"/>
  <c r="AW32" i="4"/>
  <c r="AW62" i="4"/>
  <c r="AW50" i="4"/>
  <c r="AW100" i="4"/>
  <c r="AW24" i="4"/>
  <c r="AW99" i="4"/>
  <c r="AW27" i="4"/>
  <c r="AW40" i="4"/>
  <c r="AW85" i="4"/>
  <c r="AW54" i="4"/>
  <c r="AW51" i="4"/>
  <c r="AW25" i="4"/>
  <c r="AW44" i="4"/>
  <c r="AW29" i="4"/>
  <c r="AW101" i="4"/>
  <c r="AW90" i="4"/>
  <c r="AW67" i="4"/>
  <c r="AW33" i="4"/>
  <c r="AW48" i="4"/>
  <c r="AW98" i="4"/>
  <c r="AW83" i="4"/>
  <c r="AW23" i="4"/>
  <c r="AW20" i="4"/>
  <c r="AW18" i="4"/>
  <c r="AW49" i="4"/>
  <c r="AW26" i="4"/>
  <c r="AW22" i="4"/>
  <c r="AW19" i="4"/>
  <c r="AW31" i="4"/>
  <c r="AW66" i="4"/>
  <c r="AW92" i="4"/>
  <c r="AW86" i="4"/>
  <c r="AW43" i="4"/>
  <c r="AW17" i="4"/>
  <c r="AW11" i="4"/>
  <c r="AW7" i="4"/>
  <c r="AW56" i="4"/>
  <c r="AW46" i="4"/>
  <c r="AW34" i="4"/>
  <c r="AW41" i="4"/>
  <c r="AW77" i="4"/>
  <c r="AW79" i="4"/>
  <c r="AW72" i="4"/>
  <c r="AW76" i="4"/>
  <c r="AW16" i="4"/>
  <c r="AW12" i="4"/>
  <c r="AW96" i="4"/>
  <c r="AW70" i="4"/>
  <c r="AW88" i="4"/>
  <c r="AW73" i="4"/>
  <c r="AW55" i="4"/>
  <c r="AW53" i="4"/>
  <c r="AW4" i="4"/>
  <c r="AW104" i="4"/>
  <c r="AW14" i="4"/>
  <c r="AW69" i="4"/>
  <c r="AW57" i="4"/>
  <c r="AW38" i="4"/>
  <c r="AW105" i="4"/>
  <c r="AW87" i="4"/>
  <c r="AW71" i="4"/>
  <c r="AW39" i="4"/>
  <c r="AW84" i="4"/>
  <c r="AW8" i="4"/>
  <c r="AW15" i="4"/>
  <c r="AW80" i="4"/>
  <c r="AW6" i="4"/>
  <c r="AW13" i="4"/>
  <c r="AW65" i="4"/>
  <c r="AW68" i="4"/>
  <c r="AW45" i="4"/>
  <c r="AW42" i="4"/>
  <c r="AW74" i="4"/>
  <c r="AW21" i="4"/>
  <c r="AW59" i="4"/>
  <c r="AW37" i="4"/>
  <c r="AW60" i="4"/>
  <c r="AW78" i="4"/>
  <c r="AW52" i="4"/>
  <c r="AW75" i="4"/>
  <c r="AW58" i="4"/>
  <c r="AW10" i="4"/>
  <c r="AW82" i="4"/>
  <c r="AW93" i="4"/>
  <c r="AW89" i="4"/>
  <c r="AW91" i="4"/>
  <c r="AW64" i="4"/>
  <c r="AW94" i="4"/>
  <c r="AW47" i="4"/>
  <c r="AW36" i="4"/>
  <c r="AW35" i="4"/>
  <c r="AW30" i="4"/>
  <c r="AW9" i="4"/>
  <c r="AW28" i="4"/>
  <c r="AW61" i="4"/>
  <c r="AV102" i="4"/>
  <c r="AV3" i="4"/>
  <c r="AV95" i="4"/>
  <c r="AV103" i="4"/>
  <c r="AV5" i="4"/>
  <c r="AV97" i="4"/>
  <c r="AV81" i="4"/>
  <c r="AV32" i="4"/>
  <c r="AV62" i="4"/>
  <c r="AV50" i="4"/>
  <c r="AV100" i="4"/>
  <c r="AV24" i="4"/>
  <c r="AV99" i="4"/>
  <c r="AV27" i="4"/>
  <c r="AV40" i="4"/>
  <c r="AV85" i="4"/>
  <c r="AV54" i="4"/>
  <c r="AV51" i="4"/>
  <c r="AV25" i="4"/>
  <c r="AV44" i="4"/>
  <c r="AV29" i="4"/>
  <c r="AV101" i="4"/>
  <c r="AV90" i="4"/>
  <c r="AV67" i="4"/>
  <c r="AV33" i="4"/>
  <c r="AV48" i="4"/>
  <c r="AV98" i="4"/>
  <c r="AV83" i="4"/>
  <c r="AV23" i="4"/>
  <c r="AV20" i="4"/>
  <c r="AV18" i="4"/>
  <c r="AV49" i="4"/>
  <c r="AV26" i="4"/>
  <c r="AV22" i="4"/>
  <c r="AV19" i="4"/>
  <c r="AV31" i="4"/>
  <c r="AV66" i="4"/>
  <c r="AV92" i="4"/>
  <c r="AV86" i="4"/>
  <c r="AV43" i="4"/>
  <c r="AV17" i="4"/>
  <c r="AV11" i="4"/>
  <c r="AV7" i="4"/>
  <c r="AV56" i="4"/>
  <c r="AV46" i="4"/>
  <c r="AV34" i="4"/>
  <c r="AV41" i="4"/>
  <c r="AV77" i="4"/>
  <c r="AV79" i="4"/>
  <c r="AV72" i="4"/>
  <c r="AV76" i="4"/>
  <c r="AV16" i="4"/>
  <c r="AV12" i="4"/>
  <c r="AV96" i="4"/>
  <c r="AV70" i="4"/>
  <c r="AV88" i="4"/>
  <c r="AV73" i="4"/>
  <c r="AV55" i="4"/>
  <c r="AV53" i="4"/>
  <c r="AV4" i="4"/>
  <c r="AV104" i="4"/>
  <c r="AV14" i="4"/>
  <c r="AV69" i="4"/>
  <c r="AV57" i="4"/>
  <c r="AV38" i="4"/>
  <c r="AV105" i="4"/>
  <c r="AV87" i="4"/>
  <c r="AV71" i="4"/>
  <c r="AV39" i="4"/>
  <c r="AV84" i="4"/>
  <c r="AV8" i="4"/>
  <c r="AV15" i="4"/>
  <c r="AV80" i="4"/>
  <c r="AV6" i="4"/>
  <c r="AV13" i="4"/>
  <c r="AV65" i="4"/>
  <c r="AV68" i="4"/>
  <c r="AV45" i="4"/>
  <c r="AV42" i="4"/>
  <c r="AV74" i="4"/>
  <c r="AV21" i="4"/>
  <c r="AV59" i="4"/>
  <c r="AV37" i="4"/>
  <c r="AV60" i="4"/>
  <c r="AV78" i="4"/>
  <c r="AV52" i="4"/>
  <c r="AV75" i="4"/>
  <c r="AV58" i="4"/>
  <c r="AV10" i="4"/>
  <c r="AV82" i="4"/>
  <c r="AV93" i="4"/>
  <c r="AV89" i="4"/>
  <c r="AV91" i="4"/>
  <c r="AV64" i="4"/>
  <c r="AV94" i="4"/>
  <c r="AV47" i="4"/>
  <c r="AV36" i="4"/>
  <c r="AV35" i="4"/>
  <c r="AV30" i="4"/>
  <c r="AV9" i="4"/>
  <c r="AV28" i="4"/>
  <c r="AV61" i="4"/>
  <c r="AW63" i="4"/>
  <c r="AV63" i="4"/>
  <c r="AO4" i="4"/>
  <c r="AO5" i="4" s="1"/>
  <c r="AO6" i="4" s="1"/>
  <c r="AO7" i="4" s="1"/>
  <c r="AO8" i="4" s="1"/>
  <c r="AO9" i="4" s="1"/>
  <c r="AO10" i="4" s="1"/>
  <c r="AO11" i="4" s="1"/>
  <c r="AO12" i="4" s="1"/>
  <c r="AO13" i="4" s="1"/>
  <c r="AO14" i="4" s="1"/>
  <c r="AO15" i="4" s="1"/>
  <c r="AO16" i="4" s="1"/>
  <c r="AO17" i="4" s="1"/>
  <c r="AO18" i="4" s="1"/>
  <c r="AO19" i="4" s="1"/>
  <c r="AO20" i="4" s="1"/>
  <c r="AO21" i="4" s="1"/>
  <c r="AO22" i="4" s="1"/>
  <c r="AO23" i="4" s="1"/>
  <c r="AO24" i="4" s="1"/>
  <c r="AO25" i="4" s="1"/>
  <c r="AO26" i="4" s="1"/>
  <c r="AO27" i="4" s="1"/>
  <c r="AO28" i="4" s="1"/>
  <c r="AO29" i="4" s="1"/>
  <c r="AO30" i="4" s="1"/>
  <c r="AO31" i="4" s="1"/>
  <c r="AO32" i="4" s="1"/>
  <c r="AO33" i="4" s="1"/>
  <c r="AO34" i="4" s="1"/>
  <c r="AO35" i="4" s="1"/>
  <c r="AO36" i="4" s="1"/>
  <c r="AO37" i="4" s="1"/>
  <c r="AO38" i="4" s="1"/>
  <c r="AO39" i="4" s="1"/>
  <c r="AO40" i="4" s="1"/>
  <c r="AO41" i="4" s="1"/>
  <c r="AO42" i="4" s="1"/>
  <c r="AO43" i="4" s="1"/>
  <c r="AO44" i="4" s="1"/>
  <c r="AO45" i="4" s="1"/>
  <c r="AO46" i="4" s="1"/>
  <c r="AO47" i="4" s="1"/>
  <c r="AO48" i="4" s="1"/>
  <c r="AO49" i="4" s="1"/>
  <c r="AO50" i="4" s="1"/>
  <c r="AO51" i="4" s="1"/>
  <c r="AO52" i="4" s="1"/>
  <c r="AO53" i="4" s="1"/>
  <c r="AO54" i="4" s="1"/>
  <c r="AO55" i="4" s="1"/>
  <c r="AO56" i="4" s="1"/>
  <c r="AO57" i="4" s="1"/>
  <c r="AO58" i="4" s="1"/>
  <c r="AO59" i="4" s="1"/>
  <c r="AO60" i="4" s="1"/>
  <c r="AO61" i="4" s="1"/>
  <c r="AO62" i="4" s="1"/>
  <c r="AO63" i="4" s="1"/>
  <c r="AO64" i="4" s="1"/>
  <c r="AO65" i="4" s="1"/>
  <c r="AO66" i="4" s="1"/>
  <c r="AO67" i="4" s="1"/>
  <c r="AO68" i="4" s="1"/>
  <c r="AO69" i="4" s="1"/>
  <c r="AO70" i="4" s="1"/>
  <c r="AO71" i="4" s="1"/>
  <c r="AO72" i="4" s="1"/>
  <c r="AO73" i="4" s="1"/>
  <c r="AO74" i="4" s="1"/>
  <c r="AO75" i="4" s="1"/>
  <c r="AO76" i="4" s="1"/>
  <c r="AO77" i="4" s="1"/>
  <c r="AO78" i="4" s="1"/>
  <c r="AO79" i="4" s="1"/>
  <c r="AO80" i="4" s="1"/>
  <c r="AO81" i="4" s="1"/>
  <c r="AO82" i="4" s="1"/>
  <c r="AO83" i="4" s="1"/>
  <c r="AO84" i="4" s="1"/>
  <c r="AO85" i="4" s="1"/>
  <c r="AO86" i="4" s="1"/>
  <c r="AO87" i="4" s="1"/>
  <c r="AO88" i="4" s="1"/>
  <c r="AO89" i="4" s="1"/>
  <c r="AO90" i="4" s="1"/>
  <c r="AO91" i="4" s="1"/>
  <c r="AO92" i="4" s="1"/>
  <c r="AO93" i="4" s="1"/>
  <c r="AO94" i="4" s="1"/>
  <c r="AO95" i="4" s="1"/>
  <c r="AO96" i="4" s="1"/>
  <c r="AO97" i="4" s="1"/>
  <c r="AO98" i="4" s="1"/>
  <c r="AO99" i="4" s="1"/>
  <c r="AO100" i="4" s="1"/>
  <c r="AI4" i="4"/>
  <c r="AI5" i="4" s="1"/>
  <c r="AI6" i="4" s="1"/>
  <c r="AI7" i="4" s="1"/>
  <c r="AI8" i="4" s="1"/>
  <c r="AI9" i="4" s="1"/>
  <c r="AI10" i="4" s="1"/>
  <c r="AI11" i="4" s="1"/>
  <c r="AI12" i="4" s="1"/>
  <c r="AI13" i="4" s="1"/>
  <c r="AI14" i="4" s="1"/>
  <c r="AI15" i="4" s="1"/>
  <c r="AI16" i="4" s="1"/>
  <c r="AC4" i="4"/>
  <c r="AC5" i="4" s="1"/>
  <c r="AC6" i="4" s="1"/>
  <c r="AC7" i="4" s="1"/>
  <c r="AC8" i="4" s="1"/>
  <c r="AC9" i="4" s="1"/>
  <c r="AC10" i="4" s="1"/>
  <c r="AC11" i="4" s="1"/>
  <c r="AC12" i="4" s="1"/>
  <c r="AC13" i="4" s="1"/>
  <c r="AC14" i="4" s="1"/>
  <c r="AC15" i="4" s="1"/>
  <c r="AC16" i="4" s="1"/>
  <c r="AC17" i="4" s="1"/>
  <c r="AC18" i="4" s="1"/>
  <c r="AC19" i="4" s="1"/>
  <c r="AC20" i="4" s="1"/>
  <c r="AC21" i="4" s="1"/>
  <c r="AC22" i="4" s="1"/>
  <c r="AC23" i="4" s="1"/>
  <c r="AC24" i="4" s="1"/>
  <c r="AC25" i="4" s="1"/>
  <c r="L40" i="16" s="1"/>
  <c r="W4" i="4"/>
  <c r="Q4" i="4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K4" i="4"/>
  <c r="K5" i="4" s="1"/>
  <c r="E4" i="4"/>
  <c r="W5" i="4" l="1"/>
  <c r="W6" i="4" s="1"/>
  <c r="L4" i="15"/>
  <c r="AC26" i="4"/>
  <c r="AC27" i="4" s="1"/>
  <c r="AC28" i="4" s="1"/>
  <c r="AC29" i="4" s="1"/>
  <c r="AC30" i="4" s="1"/>
  <c r="AC31" i="4" s="1"/>
  <c r="AC32" i="4" s="1"/>
  <c r="AC33" i="4" s="1"/>
  <c r="AC34" i="4" s="1"/>
  <c r="AC35" i="4" s="1"/>
  <c r="L39" i="16"/>
  <c r="P13" i="17"/>
  <c r="Q13" i="17" s="1"/>
  <c r="I13" i="17"/>
  <c r="I19" i="17"/>
  <c r="P19" i="17"/>
  <c r="Q19" i="17" s="1"/>
  <c r="I18" i="17"/>
  <c r="P18" i="17"/>
  <c r="Q18" i="17" s="1"/>
  <c r="I10" i="17"/>
  <c r="P10" i="17"/>
  <c r="Q10" i="17" s="1"/>
  <c r="P27" i="17"/>
  <c r="Q27" i="17" s="1"/>
  <c r="I9" i="17"/>
  <c r="P9" i="17"/>
  <c r="Q9" i="17" s="1"/>
  <c r="P26" i="17"/>
  <c r="Q26" i="17" s="1"/>
  <c r="I26" i="17"/>
  <c r="I16" i="17"/>
  <c r="P16" i="17"/>
  <c r="Q16" i="17" s="1"/>
  <c r="I8" i="17"/>
  <c r="P8" i="17"/>
  <c r="Q8" i="17" s="1"/>
  <c r="P15" i="17"/>
  <c r="Q15" i="17" s="1"/>
  <c r="I15" i="17"/>
  <c r="I6" i="17"/>
  <c r="P6" i="17"/>
  <c r="Q6" i="17" s="1"/>
  <c r="I5" i="17"/>
  <c r="P5" i="17"/>
  <c r="Q5" i="17" s="1"/>
  <c r="I20" i="17"/>
  <c r="P20" i="17"/>
  <c r="Q20" i="17" s="1"/>
  <c r="P12" i="17"/>
  <c r="Q12" i="17" s="1"/>
  <c r="I12" i="17"/>
  <c r="I22" i="17"/>
  <c r="P22" i="17"/>
  <c r="Q22" i="17" s="1"/>
  <c r="P4" i="17"/>
  <c r="Q4" i="17" s="1"/>
  <c r="I4" i="17"/>
  <c r="L16" i="16"/>
  <c r="P16" i="16"/>
  <c r="Q16" i="16" s="1"/>
  <c r="I16" i="16"/>
  <c r="L5" i="16"/>
  <c r="P5" i="16"/>
  <c r="Q5" i="16" s="1"/>
  <c r="I5" i="16"/>
  <c r="P4" i="16"/>
  <c r="Q4" i="16" s="1"/>
  <c r="I4" i="16"/>
  <c r="P15" i="16"/>
  <c r="Q15" i="16" s="1"/>
  <c r="L15" i="16"/>
  <c r="I15" i="16"/>
  <c r="I26" i="16"/>
  <c r="P26" i="16"/>
  <c r="Q26" i="16" s="1"/>
  <c r="L26" i="16"/>
  <c r="I12" i="16"/>
  <c r="P12" i="16"/>
  <c r="Q12" i="16" s="1"/>
  <c r="L12" i="16"/>
  <c r="I22" i="16"/>
  <c r="P22" i="16"/>
  <c r="Q22" i="16" s="1"/>
  <c r="L22" i="16"/>
  <c r="I10" i="16"/>
  <c r="P10" i="16"/>
  <c r="Q10" i="16" s="1"/>
  <c r="L10" i="16"/>
  <c r="I13" i="16"/>
  <c r="P13" i="16"/>
  <c r="Q13" i="16" s="1"/>
  <c r="L13" i="16"/>
  <c r="L20" i="16"/>
  <c r="I20" i="16"/>
  <c r="P20" i="16"/>
  <c r="Q20" i="16" s="1"/>
  <c r="L9" i="16"/>
  <c r="I9" i="16"/>
  <c r="P9" i="16"/>
  <c r="Q9" i="16" s="1"/>
  <c r="P27" i="16"/>
  <c r="Q27" i="16" s="1"/>
  <c r="L27" i="16"/>
  <c r="I27" i="16"/>
  <c r="L19" i="16"/>
  <c r="I19" i="16"/>
  <c r="P19" i="16"/>
  <c r="Q19" i="16" s="1"/>
  <c r="L8" i="16"/>
  <c r="I8" i="16"/>
  <c r="P8" i="16"/>
  <c r="Q8" i="16" s="1"/>
  <c r="L18" i="16"/>
  <c r="P18" i="16"/>
  <c r="Q18" i="16" s="1"/>
  <c r="I18" i="16"/>
  <c r="L6" i="16"/>
  <c r="P6" i="16"/>
  <c r="Q6" i="16" s="1"/>
  <c r="I6" i="16"/>
  <c r="I4" i="13"/>
  <c r="B4" i="13"/>
  <c r="G4" i="13"/>
  <c r="D4" i="13"/>
  <c r="I19" i="13"/>
  <c r="G19" i="13"/>
  <c r="H19" i="13" s="1"/>
  <c r="B19" i="13"/>
  <c r="D19" i="13"/>
  <c r="G27" i="2"/>
  <c r="B27" i="2"/>
  <c r="D27" i="2"/>
  <c r="B12" i="2"/>
  <c r="G12" i="2"/>
  <c r="H12" i="2" s="1"/>
  <c r="D12" i="2"/>
  <c r="G20" i="15"/>
  <c r="H20" i="15" s="1"/>
  <c r="B20" i="15"/>
  <c r="D20" i="15"/>
  <c r="D9" i="15"/>
  <c r="G9" i="15"/>
  <c r="H9" i="15" s="1"/>
  <c r="B9" i="15"/>
  <c r="G13" i="16"/>
  <c r="B13" i="16"/>
  <c r="D13" i="16"/>
  <c r="G5" i="16"/>
  <c r="B5" i="16"/>
  <c r="D5" i="16"/>
  <c r="D19" i="17"/>
  <c r="B19" i="17"/>
  <c r="G19" i="17"/>
  <c r="B19" i="18"/>
  <c r="D19" i="18"/>
  <c r="G19" i="18"/>
  <c r="G44" i="2"/>
  <c r="H44" i="2" s="1"/>
  <c r="D44" i="2"/>
  <c r="B44" i="2"/>
  <c r="I5" i="13"/>
  <c r="G5" i="13"/>
  <c r="H5" i="13" s="1"/>
  <c r="D5" i="13"/>
  <c r="B5" i="13"/>
  <c r="I18" i="13"/>
  <c r="B18" i="13"/>
  <c r="G18" i="13"/>
  <c r="H18" i="13" s="1"/>
  <c r="D18" i="13"/>
  <c r="I10" i="13"/>
  <c r="D10" i="13"/>
  <c r="G10" i="13"/>
  <c r="H10" i="13" s="1"/>
  <c r="B10" i="13"/>
  <c r="D26" i="2"/>
  <c r="G26" i="2"/>
  <c r="B26" i="2"/>
  <c r="G10" i="2"/>
  <c r="H10" i="2" s="1"/>
  <c r="B10" i="2"/>
  <c r="D10" i="2"/>
  <c r="B19" i="15"/>
  <c r="G19" i="15"/>
  <c r="H19" i="15" s="1"/>
  <c r="D19" i="15"/>
  <c r="B8" i="15"/>
  <c r="G8" i="15"/>
  <c r="H8" i="15" s="1"/>
  <c r="D8" i="15"/>
  <c r="G20" i="16"/>
  <c r="H20" i="16" s="1"/>
  <c r="D20" i="16"/>
  <c r="B20" i="16"/>
  <c r="B12" i="16"/>
  <c r="D12" i="16"/>
  <c r="G12" i="16"/>
  <c r="H12" i="16" s="1"/>
  <c r="D4" i="17"/>
  <c r="G4" i="17"/>
  <c r="H4" i="17" s="1"/>
  <c r="B4" i="17"/>
  <c r="B18" i="17"/>
  <c r="G18" i="17"/>
  <c r="H18" i="17" s="1"/>
  <c r="D18" i="17"/>
  <c r="B10" i="17"/>
  <c r="G10" i="17"/>
  <c r="D10" i="17"/>
  <c r="G26" i="18"/>
  <c r="H26" i="18" s="1"/>
  <c r="D26" i="18"/>
  <c r="B26" i="18"/>
  <c r="B18" i="18"/>
  <c r="G18" i="18"/>
  <c r="D18" i="18"/>
  <c r="B10" i="18"/>
  <c r="G10" i="18"/>
  <c r="D10" i="18"/>
  <c r="G43" i="2"/>
  <c r="H43" i="2" s="1"/>
  <c r="D43" i="2"/>
  <c r="B43" i="2"/>
  <c r="I13" i="13"/>
  <c r="G13" i="13"/>
  <c r="H13" i="13" s="1"/>
  <c r="B13" i="13"/>
  <c r="D13" i="13"/>
  <c r="I27" i="13"/>
  <c r="D27" i="13"/>
  <c r="G27" i="13"/>
  <c r="H27" i="13" s="1"/>
  <c r="B27" i="13"/>
  <c r="I9" i="13"/>
  <c r="B9" i="13"/>
  <c r="G9" i="13"/>
  <c r="H9" i="13" s="1"/>
  <c r="D9" i="13"/>
  <c r="B20" i="2"/>
  <c r="D20" i="2"/>
  <c r="G20" i="2"/>
  <c r="G9" i="2"/>
  <c r="D9" i="2"/>
  <c r="B9" i="2"/>
  <c r="B18" i="15"/>
  <c r="D18" i="15"/>
  <c r="G18" i="15"/>
  <c r="H18" i="15" s="1"/>
  <c r="B6" i="15"/>
  <c r="G6" i="15"/>
  <c r="H6" i="15" s="1"/>
  <c r="D6" i="15"/>
  <c r="G19" i="16"/>
  <c r="B19" i="16"/>
  <c r="D19" i="16"/>
  <c r="G9" i="17"/>
  <c r="B9" i="17"/>
  <c r="D9" i="17"/>
  <c r="B25" i="18"/>
  <c r="D25" i="18"/>
  <c r="G25" i="18"/>
  <c r="G9" i="18"/>
  <c r="H9" i="18" s="1"/>
  <c r="D9" i="18"/>
  <c r="B9" i="18"/>
  <c r="B42" i="2"/>
  <c r="D42" i="2"/>
  <c r="G42" i="2"/>
  <c r="H42" i="2" s="1"/>
  <c r="I26" i="13"/>
  <c r="D26" i="13"/>
  <c r="G26" i="13"/>
  <c r="H26" i="13" s="1"/>
  <c r="B26" i="13"/>
  <c r="I16" i="13"/>
  <c r="G16" i="13"/>
  <c r="H16" i="13" s="1"/>
  <c r="D16" i="13"/>
  <c r="B16" i="13"/>
  <c r="I8" i="13"/>
  <c r="G8" i="13"/>
  <c r="H8" i="13" s="1"/>
  <c r="B8" i="13"/>
  <c r="D8" i="13"/>
  <c r="D19" i="2"/>
  <c r="B19" i="2"/>
  <c r="G19" i="2"/>
  <c r="H19" i="2" s="1"/>
  <c r="G8" i="2"/>
  <c r="D8" i="2"/>
  <c r="B8" i="2"/>
  <c r="G16" i="15"/>
  <c r="H16" i="15" s="1"/>
  <c r="D16" i="15"/>
  <c r="B16" i="15"/>
  <c r="G4" i="16"/>
  <c r="H4" i="16" s="1"/>
  <c r="B4" i="16"/>
  <c r="D4" i="16"/>
  <c r="G18" i="16"/>
  <c r="H18" i="16" s="1"/>
  <c r="D18" i="16"/>
  <c r="B18" i="16"/>
  <c r="G10" i="16"/>
  <c r="B10" i="16"/>
  <c r="D10" i="16"/>
  <c r="B26" i="17"/>
  <c r="G26" i="17"/>
  <c r="H26" i="17" s="1"/>
  <c r="D26" i="17"/>
  <c r="G16" i="17"/>
  <c r="B16" i="17"/>
  <c r="D16" i="17"/>
  <c r="B8" i="17"/>
  <c r="D8" i="17"/>
  <c r="G8" i="17"/>
  <c r="H8" i="17" s="1"/>
  <c r="D16" i="18"/>
  <c r="B16" i="18"/>
  <c r="G16" i="18"/>
  <c r="B8" i="18"/>
  <c r="D8" i="18"/>
  <c r="G8" i="18"/>
  <c r="B40" i="2"/>
  <c r="D40" i="2"/>
  <c r="G40" i="2"/>
  <c r="H40" i="2" s="1"/>
  <c r="I15" i="13"/>
  <c r="G15" i="13"/>
  <c r="H15" i="13" s="1"/>
  <c r="D15" i="13"/>
  <c r="B15" i="13"/>
  <c r="G18" i="2"/>
  <c r="B18" i="2"/>
  <c r="D18" i="2"/>
  <c r="G6" i="2"/>
  <c r="H6" i="2" s="1"/>
  <c r="D6" i="2"/>
  <c r="B6" i="2"/>
  <c r="G15" i="15"/>
  <c r="H15" i="15" s="1"/>
  <c r="B15" i="15"/>
  <c r="D15" i="15"/>
  <c r="G27" i="16"/>
  <c r="H27" i="16" s="1"/>
  <c r="D27" i="16"/>
  <c r="B27" i="16"/>
  <c r="D9" i="16"/>
  <c r="B9" i="16"/>
  <c r="G9" i="16"/>
  <c r="H9" i="16" s="1"/>
  <c r="G15" i="17"/>
  <c r="H15" i="17" s="1"/>
  <c r="D15" i="17"/>
  <c r="B15" i="17"/>
  <c r="D23" i="18"/>
  <c r="G23" i="18"/>
  <c r="H23" i="18" s="1"/>
  <c r="B23" i="18"/>
  <c r="D15" i="18"/>
  <c r="B15" i="18"/>
  <c r="G15" i="18"/>
  <c r="D39" i="2"/>
  <c r="G39" i="2"/>
  <c r="H39" i="2" s="1"/>
  <c r="B39" i="2"/>
  <c r="I22" i="13"/>
  <c r="G22" i="13"/>
  <c r="H22" i="13" s="1"/>
  <c r="D22" i="13"/>
  <c r="B22" i="13"/>
  <c r="I6" i="13"/>
  <c r="B6" i="13"/>
  <c r="G6" i="13"/>
  <c r="H6" i="13" s="1"/>
  <c r="D6" i="13"/>
  <c r="D16" i="2"/>
  <c r="B16" i="2"/>
  <c r="G16" i="2"/>
  <c r="H16" i="2" s="1"/>
  <c r="G5" i="2"/>
  <c r="H5" i="2" s="1"/>
  <c r="D5" i="2"/>
  <c r="B5" i="2"/>
  <c r="B13" i="15"/>
  <c r="G13" i="15"/>
  <c r="H13" i="15" s="1"/>
  <c r="D13" i="15"/>
  <c r="B26" i="16"/>
  <c r="G26" i="16"/>
  <c r="D26" i="16"/>
  <c r="D16" i="16"/>
  <c r="G16" i="16"/>
  <c r="B16" i="16"/>
  <c r="B8" i="16"/>
  <c r="G8" i="16"/>
  <c r="D8" i="16"/>
  <c r="B22" i="17"/>
  <c r="D22" i="17"/>
  <c r="G22" i="17"/>
  <c r="G6" i="17"/>
  <c r="H6" i="17" s="1"/>
  <c r="D6" i="17"/>
  <c r="B6" i="17"/>
  <c r="D22" i="18"/>
  <c r="B22" i="18"/>
  <c r="G22" i="18"/>
  <c r="D6" i="18"/>
  <c r="G6" i="18"/>
  <c r="B6" i="18"/>
  <c r="D38" i="2"/>
  <c r="G38" i="2"/>
  <c r="H38" i="2" s="1"/>
  <c r="B38" i="2"/>
  <c r="B12" i="15"/>
  <c r="G12" i="15"/>
  <c r="H12" i="15" s="1"/>
  <c r="D12" i="15"/>
  <c r="B15" i="16"/>
  <c r="G15" i="16"/>
  <c r="H15" i="16" s="1"/>
  <c r="D15" i="16"/>
  <c r="D13" i="17"/>
  <c r="B13" i="17"/>
  <c r="G13" i="17"/>
  <c r="B5" i="17"/>
  <c r="G5" i="17"/>
  <c r="D5" i="17"/>
  <c r="B13" i="18"/>
  <c r="G13" i="18"/>
  <c r="D13" i="18"/>
  <c r="B5" i="18"/>
  <c r="G5" i="18"/>
  <c r="H5" i="18" s="1"/>
  <c r="D5" i="18"/>
  <c r="G36" i="2"/>
  <c r="H36" i="2" s="1"/>
  <c r="D36" i="2"/>
  <c r="B36" i="2"/>
  <c r="B15" i="2"/>
  <c r="D15" i="2"/>
  <c r="G15" i="2"/>
  <c r="H15" i="2" s="1"/>
  <c r="I20" i="13"/>
  <c r="B20" i="13"/>
  <c r="D20" i="13"/>
  <c r="G20" i="13"/>
  <c r="H20" i="13" s="1"/>
  <c r="I12" i="13"/>
  <c r="G12" i="13"/>
  <c r="H12" i="13" s="1"/>
  <c r="B12" i="13"/>
  <c r="D12" i="13"/>
  <c r="D4" i="2"/>
  <c r="G4" i="2"/>
  <c r="B4" i="2"/>
  <c r="B13" i="2"/>
  <c r="G13" i="2"/>
  <c r="H13" i="2" s="1"/>
  <c r="D13" i="2"/>
  <c r="G22" i="15"/>
  <c r="H22" i="15" s="1"/>
  <c r="B22" i="15"/>
  <c r="D22" i="15"/>
  <c r="G10" i="15"/>
  <c r="H10" i="15" s="1"/>
  <c r="B10" i="15"/>
  <c r="D10" i="15"/>
  <c r="B22" i="16"/>
  <c r="D22" i="16"/>
  <c r="G22" i="16"/>
  <c r="G6" i="16"/>
  <c r="H6" i="16" s="1"/>
  <c r="D6" i="16"/>
  <c r="B6" i="16"/>
  <c r="D20" i="17"/>
  <c r="G20" i="17"/>
  <c r="H20" i="17" s="1"/>
  <c r="B20" i="17"/>
  <c r="B12" i="17"/>
  <c r="D12" i="17"/>
  <c r="G12" i="17"/>
  <c r="B4" i="18"/>
  <c r="D4" i="18"/>
  <c r="G4" i="18"/>
  <c r="H4" i="18" s="1"/>
  <c r="D20" i="18"/>
  <c r="B20" i="18"/>
  <c r="G20" i="18"/>
  <c r="H20" i="18" s="1"/>
  <c r="B12" i="18"/>
  <c r="D12" i="18"/>
  <c r="G12" i="18"/>
  <c r="D34" i="2"/>
  <c r="G34" i="2"/>
  <c r="H34" i="2" s="1"/>
  <c r="B34" i="2"/>
  <c r="D35" i="2"/>
  <c r="G35" i="2"/>
  <c r="H35" i="2" s="1"/>
  <c r="I15" i="15"/>
  <c r="P15" i="15"/>
  <c r="Q15" i="15" s="1"/>
  <c r="P20" i="15"/>
  <c r="Q20" i="15" s="1"/>
  <c r="I20" i="15"/>
  <c r="P9" i="15"/>
  <c r="Q9" i="15" s="1"/>
  <c r="I9" i="15"/>
  <c r="I19" i="15"/>
  <c r="P19" i="15"/>
  <c r="Q19" i="15" s="1"/>
  <c r="I8" i="15"/>
  <c r="P8" i="15"/>
  <c r="Q8" i="15" s="1"/>
  <c r="I18" i="15"/>
  <c r="P18" i="15"/>
  <c r="Q18" i="15" s="1"/>
  <c r="L6" i="15"/>
  <c r="I6" i="15"/>
  <c r="P6" i="15"/>
  <c r="Q6" i="15" s="1"/>
  <c r="I16" i="15"/>
  <c r="L16" i="15"/>
  <c r="P16" i="15"/>
  <c r="Q16" i="15" s="1"/>
  <c r="P13" i="15"/>
  <c r="Q13" i="15" s="1"/>
  <c r="L13" i="15"/>
  <c r="I13" i="15"/>
  <c r="P12" i="15"/>
  <c r="Q12" i="15" s="1"/>
  <c r="I12" i="15"/>
  <c r="P22" i="15"/>
  <c r="Q22" i="15" s="1"/>
  <c r="I22" i="15"/>
  <c r="L22" i="15"/>
  <c r="P10" i="15"/>
  <c r="Q10" i="15" s="1"/>
  <c r="L10" i="15"/>
  <c r="I10" i="15"/>
  <c r="W7" i="4"/>
  <c r="W8" i="4" s="1"/>
  <c r="L5" i="15"/>
  <c r="H27" i="15"/>
  <c r="H24" i="2"/>
  <c r="H26" i="15"/>
  <c r="H24" i="13"/>
  <c r="F19" i="2"/>
  <c r="S19" i="2" s="1"/>
  <c r="F6" i="2"/>
  <c r="S6" i="2" s="1"/>
  <c r="F4" i="2"/>
  <c r="S4" i="2" s="1"/>
  <c r="I27" i="2"/>
  <c r="M27" i="2" s="1" a="1"/>
  <c r="M27" i="2" s="1"/>
  <c r="I40" i="2"/>
  <c r="M40" i="2" s="1" a="1"/>
  <c r="M40" i="2" s="1"/>
  <c r="F39" i="2"/>
  <c r="S39" i="2" s="1"/>
  <c r="F38" i="2"/>
  <c r="S38" i="2" s="1"/>
  <c r="F15" i="16"/>
  <c r="S15" i="16" s="1"/>
  <c r="F22" i="17"/>
  <c r="S22" i="17" s="1"/>
  <c r="L22" i="18"/>
  <c r="I22" i="18"/>
  <c r="E22" i="18"/>
  <c r="F22" i="18" s="1"/>
  <c r="S22" i="18" s="1"/>
  <c r="L5" i="17"/>
  <c r="F5" i="17"/>
  <c r="S5" i="17" s="1"/>
  <c r="F5" i="13"/>
  <c r="R5" i="13" s="1"/>
  <c r="F4" i="13"/>
  <c r="R4" i="13" s="1"/>
  <c r="F20" i="13"/>
  <c r="R20" i="13" s="1"/>
  <c r="F12" i="13"/>
  <c r="R12" i="13" s="1"/>
  <c r="F22" i="15"/>
  <c r="S22" i="15" s="1"/>
  <c r="F6" i="15"/>
  <c r="S6" i="15" s="1"/>
  <c r="F20" i="16"/>
  <c r="S20" i="16" s="1"/>
  <c r="F12" i="16"/>
  <c r="S12" i="16" s="1"/>
  <c r="F4" i="17"/>
  <c r="S4" i="17" s="1"/>
  <c r="L4" i="17"/>
  <c r="F19" i="17"/>
  <c r="S19" i="17" s="1"/>
  <c r="I19" i="18"/>
  <c r="E19" i="18"/>
  <c r="F19" i="18" s="1"/>
  <c r="S19" i="18" s="1"/>
  <c r="L19" i="18"/>
  <c r="F26" i="15"/>
  <c r="S26" i="15" s="1"/>
  <c r="F6" i="17"/>
  <c r="S6" i="17" s="1"/>
  <c r="L6" i="17"/>
  <c r="F16" i="15"/>
  <c r="S16" i="15" s="1"/>
  <c r="F22" i="16"/>
  <c r="S22" i="16" s="1"/>
  <c r="F6" i="16"/>
  <c r="S6" i="16" s="1"/>
  <c r="F13" i="17"/>
  <c r="S13" i="17" s="1"/>
  <c r="L13" i="17"/>
  <c r="L13" i="13"/>
  <c r="F13" i="13"/>
  <c r="R13" i="13" s="1"/>
  <c r="F15" i="15"/>
  <c r="S15" i="15" s="1"/>
  <c r="F19" i="13"/>
  <c r="R19" i="13" s="1"/>
  <c r="F13" i="15"/>
  <c r="S13" i="15" s="1"/>
  <c r="F4" i="16"/>
  <c r="S4" i="16" s="1"/>
  <c r="F19" i="16"/>
  <c r="S19" i="16" s="1"/>
  <c r="S27" i="17"/>
  <c r="F18" i="17"/>
  <c r="S18" i="17" s="1"/>
  <c r="F10" i="17"/>
  <c r="S10" i="17" s="1"/>
  <c r="L10" i="17"/>
  <c r="L26" i="18"/>
  <c r="I26" i="18"/>
  <c r="E26" i="18"/>
  <c r="F26" i="18" s="1"/>
  <c r="S26" i="18" s="1"/>
  <c r="L18" i="18"/>
  <c r="I18" i="18"/>
  <c r="E18" i="18"/>
  <c r="F18" i="18" s="1"/>
  <c r="S18" i="18" s="1"/>
  <c r="E10" i="18"/>
  <c r="F10" i="18" s="1"/>
  <c r="S10" i="18" s="1"/>
  <c r="I10" i="18"/>
  <c r="L10" i="18"/>
  <c r="F26" i="13"/>
  <c r="R26" i="13" s="1"/>
  <c r="F9" i="13"/>
  <c r="R9" i="13" s="1"/>
  <c r="F24" i="13"/>
  <c r="R24" i="13" s="1"/>
  <c r="F15" i="13"/>
  <c r="R15" i="13" s="1"/>
  <c r="F9" i="15"/>
  <c r="S9" i="15" s="1"/>
  <c r="L6" i="18"/>
  <c r="I6" i="18"/>
  <c r="E6" i="18"/>
  <c r="F6" i="18" s="1"/>
  <c r="S6" i="18" s="1"/>
  <c r="F22" i="13"/>
  <c r="R22" i="13" s="1"/>
  <c r="L6" i="13"/>
  <c r="F6" i="13"/>
  <c r="R6" i="13" s="1"/>
  <c r="F8" i="15"/>
  <c r="S8" i="15" s="1"/>
  <c r="F13" i="16"/>
  <c r="S13" i="16" s="1"/>
  <c r="F5" i="16"/>
  <c r="S5" i="16" s="1"/>
  <c r="F20" i="17"/>
  <c r="S20" i="17" s="1"/>
  <c r="F12" i="17"/>
  <c r="S12" i="17" s="1"/>
  <c r="I4" i="18"/>
  <c r="E4" i="18"/>
  <c r="F4" i="18" s="1"/>
  <c r="S4" i="18" s="1"/>
  <c r="L20" i="18"/>
  <c r="I20" i="18"/>
  <c r="E20" i="18"/>
  <c r="F20" i="18" s="1"/>
  <c r="S20" i="18" s="1"/>
  <c r="L12" i="18"/>
  <c r="I12" i="18"/>
  <c r="E12" i="18"/>
  <c r="F12" i="18" s="1"/>
  <c r="S12" i="18" s="1"/>
  <c r="L27" i="13"/>
  <c r="F27" i="13"/>
  <c r="R27" i="13" s="1"/>
  <c r="F18" i="13"/>
  <c r="R18" i="13" s="1"/>
  <c r="F10" i="13"/>
  <c r="R10" i="13" s="1"/>
  <c r="L10" i="13"/>
  <c r="F35" i="2"/>
  <c r="S35" i="2" s="1"/>
  <c r="F20" i="15"/>
  <c r="S20" i="15" s="1"/>
  <c r="F12" i="15"/>
  <c r="S12" i="15" s="1"/>
  <c r="F27" i="16"/>
  <c r="S27" i="16" s="1"/>
  <c r="F18" i="16"/>
  <c r="S18" i="16" s="1"/>
  <c r="F10" i="16"/>
  <c r="S10" i="16" s="1"/>
  <c r="L26" i="17"/>
  <c r="F26" i="17"/>
  <c r="S26" i="17" s="1"/>
  <c r="F9" i="17"/>
  <c r="S9" i="17" s="1"/>
  <c r="E25" i="18"/>
  <c r="F25" i="18" s="1"/>
  <c r="I25" i="18"/>
  <c r="I9" i="18"/>
  <c r="L9" i="18"/>
  <c r="E9" i="18"/>
  <c r="F9" i="18" s="1"/>
  <c r="S9" i="18" s="1"/>
  <c r="F19" i="15"/>
  <c r="S19" i="15" s="1"/>
  <c r="F26" i="16"/>
  <c r="S26" i="16" s="1"/>
  <c r="F9" i="16"/>
  <c r="S9" i="16" s="1"/>
  <c r="F16" i="17"/>
  <c r="S16" i="17" s="1"/>
  <c r="L8" i="17"/>
  <c r="F8" i="17"/>
  <c r="S8" i="17" s="1"/>
  <c r="I16" i="18"/>
  <c r="E16" i="18"/>
  <c r="F16" i="18" s="1"/>
  <c r="S16" i="18" s="1"/>
  <c r="L16" i="18"/>
  <c r="L8" i="18"/>
  <c r="I8" i="18"/>
  <c r="E8" i="18"/>
  <c r="F8" i="18" s="1"/>
  <c r="S8" i="18" s="1"/>
  <c r="L16" i="13"/>
  <c r="F16" i="13"/>
  <c r="R16" i="13" s="1"/>
  <c r="F8" i="13"/>
  <c r="R8" i="13" s="1"/>
  <c r="F27" i="15"/>
  <c r="S27" i="15" s="1"/>
  <c r="F18" i="15"/>
  <c r="S18" i="15" s="1"/>
  <c r="F10" i="15"/>
  <c r="S10" i="15" s="1"/>
  <c r="F16" i="16"/>
  <c r="S16" i="16" s="1"/>
  <c r="F8" i="16"/>
  <c r="S8" i="16" s="1"/>
  <c r="F15" i="17"/>
  <c r="S15" i="17" s="1"/>
  <c r="I23" i="18"/>
  <c r="L23" i="18"/>
  <c r="E23" i="18"/>
  <c r="F23" i="18" s="1"/>
  <c r="S23" i="18" s="1"/>
  <c r="E15" i="18"/>
  <c r="F15" i="18" s="1"/>
  <c r="S15" i="18" s="1"/>
  <c r="I15" i="18"/>
  <c r="L15" i="18"/>
  <c r="L13" i="18"/>
  <c r="I13" i="18"/>
  <c r="E13" i="18"/>
  <c r="F13" i="18" s="1"/>
  <c r="S13" i="18" s="1"/>
  <c r="L5" i="18"/>
  <c r="I5" i="18"/>
  <c r="E5" i="18"/>
  <c r="F5" i="18" s="1"/>
  <c r="S5" i="18" s="1"/>
  <c r="F15" i="2"/>
  <c r="S15" i="2" s="1"/>
  <c r="L43" i="2"/>
  <c r="L39" i="2"/>
  <c r="I38" i="2"/>
  <c r="M38" i="2" s="1" a="1"/>
  <c r="M38" i="2" s="1"/>
  <c r="F43" i="2"/>
  <c r="S43" i="2" s="1"/>
  <c r="L40" i="2"/>
  <c r="I43" i="2"/>
  <c r="F42" i="2"/>
  <c r="S42" i="2" s="1"/>
  <c r="F40" i="2"/>
  <c r="S40" i="2" s="1"/>
  <c r="L42" i="2"/>
  <c r="I44" i="2"/>
  <c r="I42" i="2"/>
  <c r="I39" i="2"/>
  <c r="F44" i="2"/>
  <c r="S44" i="2" s="1"/>
  <c r="L44" i="2"/>
  <c r="F5" i="2"/>
  <c r="S5" i="2" s="1"/>
  <c r="F10" i="2"/>
  <c r="S10" i="2" s="1"/>
  <c r="F18" i="2"/>
  <c r="S18" i="2" s="1"/>
  <c r="F36" i="2"/>
  <c r="S36" i="2" s="1"/>
  <c r="F13" i="2"/>
  <c r="S13" i="2" s="1"/>
  <c r="F8" i="2"/>
  <c r="S8" i="2" s="1"/>
  <c r="F16" i="2"/>
  <c r="S16" i="2" s="1"/>
  <c r="F9" i="2"/>
  <c r="S9" i="2" s="1"/>
  <c r="F26" i="2"/>
  <c r="S26" i="2" s="1"/>
  <c r="F34" i="2"/>
  <c r="S34" i="2" s="1"/>
  <c r="F12" i="2"/>
  <c r="S12" i="2" s="1"/>
  <c r="F20" i="2"/>
  <c r="S20" i="2" s="1"/>
  <c r="F24" i="2"/>
  <c r="S24" i="2" s="1"/>
  <c r="I8" i="2"/>
  <c r="M8" i="2" s="1" a="1"/>
  <c r="M8" i="2" s="1"/>
  <c r="I16" i="2"/>
  <c r="M16" i="2" s="1" a="1"/>
  <c r="M16" i="2" s="1"/>
  <c r="L13" i="2"/>
  <c r="I13" i="2"/>
  <c r="M13" i="2" s="1" a="1"/>
  <c r="M13" i="2" s="1"/>
  <c r="I10" i="2"/>
  <c r="M10" i="2" s="1" a="1"/>
  <c r="M10" i="2" s="1"/>
  <c r="L35" i="2"/>
  <c r="L36" i="2"/>
  <c r="I24" i="2"/>
  <c r="M24" i="2" s="1" a="1"/>
  <c r="M24" i="2" s="1"/>
  <c r="I15" i="2"/>
  <c r="M15" i="2" s="1" a="1"/>
  <c r="M15" i="2" s="1"/>
  <c r="I26" i="2"/>
  <c r="M26" i="2" s="1" a="1"/>
  <c r="M26" i="2" s="1"/>
  <c r="I9" i="2"/>
  <c r="M9" i="2" s="1" a="1"/>
  <c r="M9" i="2" s="1"/>
  <c r="I35" i="2"/>
  <c r="M35" i="2" s="1" a="1"/>
  <c r="M35" i="2" s="1"/>
  <c r="I18" i="2"/>
  <c r="M18" i="2" s="1" a="1"/>
  <c r="M18" i="2" s="1"/>
  <c r="I34" i="2"/>
  <c r="M34" i="2" s="1" a="1"/>
  <c r="M34" i="2" s="1"/>
  <c r="L26" i="2"/>
  <c r="I5" i="2"/>
  <c r="M5" i="2" s="1" a="1"/>
  <c r="M5" i="2" s="1"/>
  <c r="I4" i="2"/>
  <c r="M4" i="2" s="1" a="1"/>
  <c r="M4" i="2" s="1"/>
  <c r="I20" i="2"/>
  <c r="M20" i="2" s="1" a="1"/>
  <c r="M20" i="2" s="1"/>
  <c r="I12" i="2"/>
  <c r="M12" i="2" s="1" a="1"/>
  <c r="M12" i="2" s="1"/>
  <c r="L16" i="2"/>
  <c r="I6" i="2"/>
  <c r="M6" i="2" s="1" a="1"/>
  <c r="M6" i="2" s="1"/>
  <c r="I36" i="2"/>
  <c r="M36" i="2" s="1" a="1"/>
  <c r="M36" i="2" s="1"/>
  <c r="I19" i="2"/>
  <c r="M19" i="2" s="1" a="1"/>
  <c r="M19" i="2" s="1"/>
  <c r="AI17" i="4"/>
  <c r="K6" i="4"/>
  <c r="E5" i="4"/>
  <c r="L4" i="16" l="1"/>
  <c r="AC36" i="4"/>
  <c r="AC37" i="4" s="1"/>
  <c r="AC38" i="4" s="1"/>
  <c r="AC39" i="4" s="1"/>
  <c r="AC40" i="4" s="1"/>
  <c r="AC41" i="4" s="1"/>
  <c r="AC42" i="4" s="1"/>
  <c r="L54" i="16"/>
  <c r="G45" i="2"/>
  <c r="L34" i="16"/>
  <c r="W9" i="4"/>
  <c r="W10" i="4" s="1"/>
  <c r="L9" i="15"/>
  <c r="K27" i="2"/>
  <c r="J27" i="2"/>
  <c r="R59" i="2"/>
  <c r="J22" i="17"/>
  <c r="M22" i="17" a="1"/>
  <c r="M22" i="17" s="1"/>
  <c r="J22" i="18"/>
  <c r="M22" i="18" a="1"/>
  <c r="M22" i="18" s="1"/>
  <c r="M12" i="18" a="1"/>
  <c r="M12" i="18" s="1"/>
  <c r="J12" i="18"/>
  <c r="K26" i="13"/>
  <c r="J26" i="13"/>
  <c r="M26" i="13" a="1"/>
  <c r="M26" i="13" s="1"/>
  <c r="K13" i="15"/>
  <c r="J13" i="15"/>
  <c r="M13" i="15" a="1"/>
  <c r="M13" i="15" s="1"/>
  <c r="J19" i="17"/>
  <c r="M19" i="17" a="1"/>
  <c r="M19" i="17" s="1"/>
  <c r="G28" i="15"/>
  <c r="R28" i="15" s="1"/>
  <c r="R63" i="15" s="1"/>
  <c r="M15" i="17" a="1"/>
  <c r="M15" i="17" s="1"/>
  <c r="K15" i="17"/>
  <c r="J15" i="17"/>
  <c r="J16" i="16"/>
  <c r="M16" i="16" a="1"/>
  <c r="M16" i="16" s="1"/>
  <c r="J26" i="16"/>
  <c r="M26" i="16" a="1"/>
  <c r="M26" i="16" s="1"/>
  <c r="K10" i="16"/>
  <c r="H10" i="16"/>
  <c r="M20" i="17" a="1"/>
  <c r="M20" i="17" s="1"/>
  <c r="K20" i="17"/>
  <c r="J20" i="17"/>
  <c r="K8" i="15"/>
  <c r="M8" i="15" a="1"/>
  <c r="M8" i="15" s="1"/>
  <c r="J8" i="15"/>
  <c r="J15" i="13"/>
  <c r="M15" i="13" a="1"/>
  <c r="M15" i="13" s="1"/>
  <c r="K15" i="13"/>
  <c r="J9" i="13"/>
  <c r="K9" i="13"/>
  <c r="M9" i="13" a="1"/>
  <c r="M9" i="13" s="1"/>
  <c r="K13" i="13"/>
  <c r="M13" i="13" a="1"/>
  <c r="M13" i="13" s="1"/>
  <c r="J13" i="13"/>
  <c r="J19" i="18"/>
  <c r="M19" i="18" a="1"/>
  <c r="M19" i="18" s="1"/>
  <c r="M6" i="15" a="1"/>
  <c r="M6" i="15" s="1"/>
  <c r="J6" i="15"/>
  <c r="K6" i="15"/>
  <c r="K8" i="13"/>
  <c r="M8" i="13" a="1"/>
  <c r="M8" i="13" s="1"/>
  <c r="J8" i="13"/>
  <c r="J16" i="17"/>
  <c r="M16" i="17" a="1"/>
  <c r="M16" i="17" s="1"/>
  <c r="K19" i="15"/>
  <c r="M19" i="15" a="1"/>
  <c r="M19" i="15" s="1"/>
  <c r="J19" i="15"/>
  <c r="M9" i="18" a="1"/>
  <c r="M9" i="18" s="1"/>
  <c r="J9" i="18"/>
  <c r="K9" i="18"/>
  <c r="K26" i="17"/>
  <c r="M26" i="17" a="1"/>
  <c r="M26" i="17" s="1"/>
  <c r="J26" i="17"/>
  <c r="K12" i="17"/>
  <c r="H12" i="17"/>
  <c r="J13" i="16"/>
  <c r="M13" i="16" a="1"/>
  <c r="M13" i="16" s="1"/>
  <c r="M6" i="18" a="1"/>
  <c r="M6" i="18" s="1"/>
  <c r="J6" i="18"/>
  <c r="M26" i="18" a="1"/>
  <c r="M26" i="18" s="1"/>
  <c r="J26" i="18"/>
  <c r="K26" i="18"/>
  <c r="M4" i="16" a="1"/>
  <c r="M4" i="16" s="1"/>
  <c r="K4" i="16"/>
  <c r="J4" i="16"/>
  <c r="K22" i="15"/>
  <c r="M22" i="15" a="1"/>
  <c r="M22" i="15" s="1"/>
  <c r="J22" i="15"/>
  <c r="K5" i="17"/>
  <c r="H5" i="17"/>
  <c r="K8" i="18"/>
  <c r="H8" i="18"/>
  <c r="J19" i="16"/>
  <c r="M19" i="16" a="1"/>
  <c r="M19" i="16" s="1"/>
  <c r="K22" i="16"/>
  <c r="H22" i="16"/>
  <c r="J20" i="13"/>
  <c r="M20" i="13" a="1"/>
  <c r="M20" i="13" s="1"/>
  <c r="K20" i="13"/>
  <c r="K22" i="18"/>
  <c r="H22" i="18"/>
  <c r="K16" i="16"/>
  <c r="H16" i="16"/>
  <c r="M18" i="16" a="1"/>
  <c r="M18" i="16" s="1"/>
  <c r="K18" i="16"/>
  <c r="J18" i="16"/>
  <c r="K13" i="16"/>
  <c r="H13" i="16"/>
  <c r="K18" i="18"/>
  <c r="H18" i="18"/>
  <c r="J22" i="16"/>
  <c r="M22" i="16" a="1"/>
  <c r="M22" i="16" s="1"/>
  <c r="J13" i="18"/>
  <c r="M13" i="18" a="1"/>
  <c r="M13" i="18" s="1"/>
  <c r="M15" i="18" a="1"/>
  <c r="M15" i="18" s="1"/>
  <c r="J15" i="18"/>
  <c r="M18" i="15" a="1"/>
  <c r="M18" i="15" s="1"/>
  <c r="K18" i="15"/>
  <c r="J18" i="15"/>
  <c r="K16" i="13"/>
  <c r="M16" i="13" a="1"/>
  <c r="M16" i="13" s="1"/>
  <c r="J16" i="13"/>
  <c r="M9" i="16" a="1"/>
  <c r="M9" i="16" s="1"/>
  <c r="K9" i="16"/>
  <c r="J9" i="16"/>
  <c r="K25" i="18"/>
  <c r="H25" i="18"/>
  <c r="J10" i="16"/>
  <c r="M10" i="16" a="1"/>
  <c r="M10" i="16" s="1"/>
  <c r="K5" i="16"/>
  <c r="H5" i="16"/>
  <c r="M18" i="18" a="1"/>
  <c r="M18" i="18" s="1"/>
  <c r="J18" i="18"/>
  <c r="K19" i="16"/>
  <c r="H19" i="16"/>
  <c r="K19" i="13"/>
  <c r="J19" i="13"/>
  <c r="M19" i="13" a="1"/>
  <c r="M19" i="13" s="1"/>
  <c r="M15" i="15" a="1"/>
  <c r="M15" i="15" s="1"/>
  <c r="J15" i="15"/>
  <c r="K15" i="15"/>
  <c r="K13" i="17"/>
  <c r="H13" i="17"/>
  <c r="J12" i="13"/>
  <c r="M12" i="13" a="1"/>
  <c r="M12" i="13" s="1"/>
  <c r="K12" i="13"/>
  <c r="J4" i="13"/>
  <c r="M4" i="13" a="1"/>
  <c r="M4" i="13" s="1"/>
  <c r="K5" i="13"/>
  <c r="J5" i="13"/>
  <c r="M5" i="13" a="1"/>
  <c r="M5" i="13" s="1"/>
  <c r="K22" i="17"/>
  <c r="H22" i="17"/>
  <c r="R54" i="17" s="1"/>
  <c r="J6" i="16"/>
  <c r="M6" i="16" a="1"/>
  <c r="M6" i="16" s="1"/>
  <c r="K6" i="16"/>
  <c r="K19" i="18"/>
  <c r="H19" i="18"/>
  <c r="M23" i="18" a="1"/>
  <c r="M23" i="18" s="1"/>
  <c r="K23" i="18"/>
  <c r="J23" i="18"/>
  <c r="K16" i="18"/>
  <c r="H16" i="18"/>
  <c r="M4" i="18" a="1"/>
  <c r="M4" i="18" s="1"/>
  <c r="J4" i="18"/>
  <c r="K4" i="18"/>
  <c r="K22" i="13"/>
  <c r="M22" i="13" a="1"/>
  <c r="M22" i="13" s="1"/>
  <c r="J22" i="13"/>
  <c r="K26" i="15"/>
  <c r="J26" i="15"/>
  <c r="M26" i="15" a="1"/>
  <c r="M26" i="15" s="1"/>
  <c r="M12" i="16" a="1"/>
  <c r="M12" i="16" s="1"/>
  <c r="K12" i="16"/>
  <c r="J12" i="16"/>
  <c r="K13" i="18"/>
  <c r="H13" i="18"/>
  <c r="K8" i="16"/>
  <c r="H8" i="16"/>
  <c r="K10" i="15"/>
  <c r="J10" i="15"/>
  <c r="M10" i="15" a="1"/>
  <c r="M10" i="15" s="1"/>
  <c r="M27" i="15" a="1"/>
  <c r="M27" i="15" s="1"/>
  <c r="J27" i="15"/>
  <c r="K27" i="15"/>
  <c r="J8" i="18"/>
  <c r="M8" i="18" a="1"/>
  <c r="M8" i="18" s="1"/>
  <c r="J16" i="18"/>
  <c r="M16" i="18" a="1"/>
  <c r="M16" i="18" s="1"/>
  <c r="J25" i="18"/>
  <c r="M25" i="18" a="1"/>
  <c r="M25" i="18" s="1"/>
  <c r="M20" i="15" a="1"/>
  <c r="M20" i="15" s="1"/>
  <c r="J20" i="15"/>
  <c r="K20" i="15"/>
  <c r="K10" i="13"/>
  <c r="J10" i="13"/>
  <c r="M10" i="13" a="1"/>
  <c r="M10" i="13" s="1"/>
  <c r="M20" i="18" a="1"/>
  <c r="M20" i="18" s="1"/>
  <c r="K20" i="18"/>
  <c r="J20" i="18"/>
  <c r="J5" i="16"/>
  <c r="M5" i="16" a="1"/>
  <c r="M5" i="16" s="1"/>
  <c r="K10" i="18"/>
  <c r="H10" i="18"/>
  <c r="J10" i="17"/>
  <c r="M10" i="17" a="1"/>
  <c r="M10" i="17" s="1"/>
  <c r="M18" i="17" a="1"/>
  <c r="M18" i="17" s="1"/>
  <c r="K18" i="17"/>
  <c r="J18" i="17"/>
  <c r="J13" i="17"/>
  <c r="M13" i="17" a="1"/>
  <c r="M13" i="17" s="1"/>
  <c r="K16" i="15"/>
  <c r="M16" i="15" a="1"/>
  <c r="M16" i="15" s="1"/>
  <c r="J16" i="15"/>
  <c r="M6" i="17" a="1"/>
  <c r="M6" i="17" s="1"/>
  <c r="J6" i="17"/>
  <c r="K6" i="17"/>
  <c r="M4" i="17" a="1"/>
  <c r="M4" i="17" s="1"/>
  <c r="K4" i="17"/>
  <c r="J4" i="17"/>
  <c r="J20" i="16"/>
  <c r="M20" i="16" a="1"/>
  <c r="M20" i="16" s="1"/>
  <c r="K20" i="16"/>
  <c r="J15" i="16"/>
  <c r="M15" i="16" a="1"/>
  <c r="M15" i="16" s="1"/>
  <c r="K15" i="16"/>
  <c r="K15" i="18"/>
  <c r="H15" i="18"/>
  <c r="K26" i="16"/>
  <c r="H26" i="16"/>
  <c r="K9" i="17"/>
  <c r="H9" i="17"/>
  <c r="M12" i="15" a="1"/>
  <c r="M12" i="15" s="1"/>
  <c r="J12" i="15"/>
  <c r="K12" i="15"/>
  <c r="K27" i="13"/>
  <c r="M27" i="13" a="1"/>
  <c r="M27" i="13" s="1"/>
  <c r="J27" i="13"/>
  <c r="K12" i="18"/>
  <c r="H12" i="18"/>
  <c r="K6" i="18"/>
  <c r="H6" i="18"/>
  <c r="K10" i="17"/>
  <c r="H10" i="17"/>
  <c r="J5" i="17"/>
  <c r="M5" i="17" a="1"/>
  <c r="M5" i="17" s="1"/>
  <c r="J8" i="16"/>
  <c r="M8" i="16" a="1"/>
  <c r="M8" i="16" s="1"/>
  <c r="J8" i="17"/>
  <c r="M8" i="17" a="1"/>
  <c r="M8" i="17" s="1"/>
  <c r="K8" i="17"/>
  <c r="M9" i="17" a="1"/>
  <c r="M9" i="17" s="1"/>
  <c r="J9" i="17"/>
  <c r="M27" i="16" a="1"/>
  <c r="M27" i="16" s="1"/>
  <c r="J27" i="16"/>
  <c r="K27" i="16"/>
  <c r="M12" i="17" a="1"/>
  <c r="M12" i="17" s="1"/>
  <c r="J12" i="17"/>
  <c r="J5" i="18"/>
  <c r="K5" i="18"/>
  <c r="M5" i="18" a="1"/>
  <c r="M5" i="18" s="1"/>
  <c r="K16" i="17"/>
  <c r="H16" i="17"/>
  <c r="J18" i="13"/>
  <c r="M18" i="13" a="1"/>
  <c r="M18" i="13" s="1"/>
  <c r="K18" i="13"/>
  <c r="J6" i="13"/>
  <c r="K6" i="13"/>
  <c r="M6" i="13" a="1"/>
  <c r="M6" i="13" s="1"/>
  <c r="M9" i="15" a="1"/>
  <c r="M9" i="15" s="1"/>
  <c r="J9" i="15"/>
  <c r="K9" i="15"/>
  <c r="J24" i="13"/>
  <c r="M24" i="13" a="1"/>
  <c r="M24" i="13" s="1"/>
  <c r="K24" i="13"/>
  <c r="J10" i="18"/>
  <c r="M10" i="18" a="1"/>
  <c r="M10" i="18" s="1"/>
  <c r="K19" i="17"/>
  <c r="H19" i="17"/>
  <c r="K4" i="13"/>
  <c r="H4" i="13"/>
  <c r="G28" i="13" s="1"/>
  <c r="Q28" i="13" s="1"/>
  <c r="Q63" i="13" s="1"/>
  <c r="K26" i="2"/>
  <c r="J38" i="2"/>
  <c r="J15" i="2"/>
  <c r="K15" i="2"/>
  <c r="K8" i="2"/>
  <c r="J43" i="2"/>
  <c r="K43" i="2"/>
  <c r="K40" i="2"/>
  <c r="K38" i="2"/>
  <c r="J40" i="2"/>
  <c r="M43" i="2" a="1"/>
  <c r="M43" i="2" s="1"/>
  <c r="K44" i="2"/>
  <c r="M44" i="2" a="1"/>
  <c r="M44" i="2" s="1"/>
  <c r="J44" i="2"/>
  <c r="M39" i="2" a="1"/>
  <c r="M39" i="2" s="1"/>
  <c r="J39" i="2"/>
  <c r="K39" i="2"/>
  <c r="M42" i="2" a="1"/>
  <c r="M42" i="2" s="1"/>
  <c r="J42" i="2"/>
  <c r="K42" i="2"/>
  <c r="K20" i="2"/>
  <c r="F27" i="2"/>
  <c r="S27" i="2" s="1"/>
  <c r="K18" i="2"/>
  <c r="J8" i="2"/>
  <c r="J9" i="2"/>
  <c r="J16" i="2"/>
  <c r="J20" i="2"/>
  <c r="J18" i="2"/>
  <c r="J26" i="2"/>
  <c r="J36" i="2"/>
  <c r="J35" i="2"/>
  <c r="K9" i="2"/>
  <c r="J24" i="2"/>
  <c r="K24" i="2"/>
  <c r="K12" i="2"/>
  <c r="J12" i="2"/>
  <c r="J34" i="2"/>
  <c r="H9" i="2"/>
  <c r="K16" i="2"/>
  <c r="H18" i="2"/>
  <c r="K10" i="2"/>
  <c r="H8" i="2"/>
  <c r="E6" i="4"/>
  <c r="L4" i="13" s="1"/>
  <c r="H27" i="2"/>
  <c r="H20" i="2"/>
  <c r="J10" i="2"/>
  <c r="H26" i="2"/>
  <c r="J19" i="2"/>
  <c r="K19" i="2"/>
  <c r="K34" i="2"/>
  <c r="K35" i="2"/>
  <c r="K36" i="2"/>
  <c r="K13" i="2"/>
  <c r="J13" i="2"/>
  <c r="K4" i="2"/>
  <c r="J4" i="2"/>
  <c r="K6" i="2"/>
  <c r="J6" i="2"/>
  <c r="K5" i="2"/>
  <c r="J5" i="2"/>
  <c r="AI18" i="4"/>
  <c r="AI19" i="4" s="1"/>
  <c r="AI20" i="4" s="1"/>
  <c r="K7" i="4"/>
  <c r="H4" i="2"/>
  <c r="AC43" i="4" l="1"/>
  <c r="AC44" i="4" s="1"/>
  <c r="AC45" i="4" s="1"/>
  <c r="AC46" i="4" s="1"/>
  <c r="AC47" i="4" s="1"/>
  <c r="L35" i="16"/>
  <c r="L38" i="16"/>
  <c r="E7" i="4"/>
  <c r="L5" i="13"/>
  <c r="G36" i="17"/>
  <c r="R36" i="17" s="1"/>
  <c r="R72" i="17" s="1"/>
  <c r="W11" i="4"/>
  <c r="L12" i="15"/>
  <c r="J54" i="17"/>
  <c r="J36" i="17"/>
  <c r="J28" i="15"/>
  <c r="J28" i="13"/>
  <c r="J27" i="18"/>
  <c r="J28" i="16"/>
  <c r="J59" i="2"/>
  <c r="R45" i="16"/>
  <c r="G28" i="16"/>
  <c r="R28" i="16" s="1"/>
  <c r="G27" i="18"/>
  <c r="G28" i="2"/>
  <c r="R28" i="2" s="1"/>
  <c r="R45" i="2"/>
  <c r="J45" i="2"/>
  <c r="J28" i="2"/>
  <c r="AI21" i="4"/>
  <c r="K8" i="4"/>
  <c r="K9" i="4" s="1"/>
  <c r="K10" i="4" s="1"/>
  <c r="AC48" i="4" l="1"/>
  <c r="AC49" i="4" s="1"/>
  <c r="AC50" i="4" s="1"/>
  <c r="AC51" i="4" s="1"/>
  <c r="AC52" i="4" s="1"/>
  <c r="AC53" i="4" s="1"/>
  <c r="AC54" i="4" s="1"/>
  <c r="AC55" i="4" s="1"/>
  <c r="AC56" i="4" s="1"/>
  <c r="AC57" i="4" s="1"/>
  <c r="AC58" i="4" s="1"/>
  <c r="AC59" i="4" s="1"/>
  <c r="AC60" i="4" s="1"/>
  <c r="AC61" i="4" s="1"/>
  <c r="AC62" i="4" s="1"/>
  <c r="AC63" i="4" s="1"/>
  <c r="AC64" i="4" s="1"/>
  <c r="AC65" i="4" s="1"/>
  <c r="AC66" i="4" s="1"/>
  <c r="AC67" i="4" s="1"/>
  <c r="AC68" i="4" s="1"/>
  <c r="AC69" i="4" s="1"/>
  <c r="AC70" i="4" s="1"/>
  <c r="AC71" i="4" s="1"/>
  <c r="AC72" i="4" s="1"/>
  <c r="AC73" i="4" s="1"/>
  <c r="AC74" i="4" s="1"/>
  <c r="AC75" i="4" s="1"/>
  <c r="AC76" i="4" s="1"/>
  <c r="AC77" i="4" s="1"/>
  <c r="AC78" i="4" s="1"/>
  <c r="AC79" i="4" s="1"/>
  <c r="AC80" i="4" s="1"/>
  <c r="AC81" i="4" s="1"/>
  <c r="AC82" i="4" s="1"/>
  <c r="AC83" i="4" s="1"/>
  <c r="AC84" i="4" s="1"/>
  <c r="AC85" i="4" s="1"/>
  <c r="AC86" i="4" s="1"/>
  <c r="AC87" i="4" s="1"/>
  <c r="AC88" i="4" s="1"/>
  <c r="AC89" i="4" s="1"/>
  <c r="AC90" i="4" s="1"/>
  <c r="AC91" i="4" s="1"/>
  <c r="AC92" i="4" s="1"/>
  <c r="AC93" i="4" s="1"/>
  <c r="AC94" i="4" s="1"/>
  <c r="AC95" i="4" s="1"/>
  <c r="AC96" i="4" s="1"/>
  <c r="AC97" i="4" s="1"/>
  <c r="AC98" i="4" s="1"/>
  <c r="AC99" i="4" s="1"/>
  <c r="AC100" i="4" s="1"/>
  <c r="L23" i="16"/>
  <c r="R62" i="2"/>
  <c r="R63" i="16"/>
  <c r="E8" i="4"/>
  <c r="W12" i="4"/>
  <c r="W13" i="4" s="1"/>
  <c r="W14" i="4" s="1"/>
  <c r="W15" i="4" s="1"/>
  <c r="W16" i="4" s="1"/>
  <c r="W17" i="4" s="1"/>
  <c r="W18" i="4" s="1"/>
  <c r="W19" i="4" s="1"/>
  <c r="L19" i="15"/>
  <c r="AI22" i="4"/>
  <c r="AI23" i="4" s="1"/>
  <c r="K11" i="4"/>
  <c r="K12" i="4" s="1"/>
  <c r="E9" i="4" l="1"/>
  <c r="L23" i="2" s="1"/>
  <c r="W20" i="4"/>
  <c r="L20" i="15"/>
  <c r="AI24" i="4"/>
  <c r="AI25" i="4" s="1"/>
  <c r="AI26" i="4" s="1"/>
  <c r="AI27" i="4" s="1"/>
  <c r="AI28" i="4" s="1"/>
  <c r="AI29" i="4" s="1"/>
  <c r="AI30" i="4" s="1"/>
  <c r="AI31" i="4" s="1"/>
  <c r="AI32" i="4" s="1"/>
  <c r="AI33" i="4" s="1"/>
  <c r="AI34" i="4" s="1"/>
  <c r="AI35" i="4" s="1"/>
  <c r="K13" i="4"/>
  <c r="E10" i="4" l="1"/>
  <c r="L12" i="14" s="1"/>
  <c r="W21" i="4"/>
  <c r="W22" i="4" s="1"/>
  <c r="W23" i="4" s="1"/>
  <c r="L15" i="15"/>
  <c r="AI36" i="4"/>
  <c r="AI37" i="4" s="1"/>
  <c r="AI38" i="4" s="1"/>
  <c r="AI39" i="4" s="1"/>
  <c r="AI40" i="4" s="1"/>
  <c r="AI41" i="4" s="1"/>
  <c r="AI42" i="4" s="1"/>
  <c r="AI43" i="4" s="1"/>
  <c r="AI44" i="4" s="1"/>
  <c r="AI45" i="4" s="1"/>
  <c r="K14" i="4"/>
  <c r="K15" i="4" s="1"/>
  <c r="K16" i="4" s="1"/>
  <c r="L12" i="17" l="1"/>
  <c r="L12" i="2"/>
  <c r="L12" i="13"/>
  <c r="E11" i="4"/>
  <c r="L18" i="13" s="1"/>
  <c r="L53" i="15"/>
  <c r="L51" i="2"/>
  <c r="W24" i="4"/>
  <c r="W25" i="4" s="1"/>
  <c r="W26" i="4" s="1"/>
  <c r="W27" i="4" s="1"/>
  <c r="W28" i="4" s="1"/>
  <c r="W29" i="4" s="1"/>
  <c r="W30" i="4" s="1"/>
  <c r="L39" i="15"/>
  <c r="AI46" i="4"/>
  <c r="AI47" i="4" s="1"/>
  <c r="AI48" i="4" s="1"/>
  <c r="K17" i="4"/>
  <c r="L52" i="2" l="1"/>
  <c r="E12" i="4"/>
  <c r="W31" i="4"/>
  <c r="W32" i="4" s="1"/>
  <c r="W33" i="4" s="1"/>
  <c r="L8" i="15"/>
  <c r="AI49" i="4"/>
  <c r="K18" i="4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W34" i="4" l="1"/>
  <c r="L18" i="15"/>
  <c r="L20" i="14"/>
  <c r="L20" i="17"/>
  <c r="E13" i="4"/>
  <c r="L6" i="2"/>
  <c r="AI50" i="4"/>
  <c r="AI51" i="4" s="1"/>
  <c r="AI52" i="4" s="1"/>
  <c r="AI53" i="4" s="1"/>
  <c r="K30" i="4"/>
  <c r="K31" i="4" s="1"/>
  <c r="K32" i="4" s="1"/>
  <c r="L19" i="13" l="1"/>
  <c r="L18" i="2"/>
  <c r="E14" i="4"/>
  <c r="AI54" i="4"/>
  <c r="K33" i="4"/>
  <c r="K34" i="4" s="1"/>
  <c r="E15" i="4" l="1"/>
  <c r="E16" i="4" s="1"/>
  <c r="E17" i="4" s="1"/>
  <c r="L27" i="2" s="1"/>
  <c r="L25" i="18"/>
  <c r="L50" i="2"/>
  <c r="AI55" i="4"/>
  <c r="L4" i="2"/>
  <c r="K35" i="4"/>
  <c r="K36" i="4" s="1"/>
  <c r="K37" i="4" s="1"/>
  <c r="E18" i="4" l="1"/>
  <c r="E19" i="4" s="1"/>
  <c r="L22" i="14"/>
  <c r="AI56" i="4"/>
  <c r="L5" i="2"/>
  <c r="K38" i="4"/>
  <c r="K39" i="4" s="1"/>
  <c r="K40" i="4" s="1"/>
  <c r="E20" i="4" l="1"/>
  <c r="L22" i="17"/>
  <c r="AI57" i="4"/>
  <c r="AI58" i="4" s="1"/>
  <c r="L10" i="2"/>
  <c r="K41" i="4"/>
  <c r="L20" i="13" l="1"/>
  <c r="L18" i="14"/>
  <c r="L19" i="2"/>
  <c r="L18" i="17"/>
  <c r="E21" i="4"/>
  <c r="E22" i="4" s="1"/>
  <c r="L48" i="17"/>
  <c r="AI59" i="4"/>
  <c r="K42" i="4"/>
  <c r="E23" i="4" l="1"/>
  <c r="L15" i="2"/>
  <c r="L15" i="13"/>
  <c r="L15" i="14"/>
  <c r="L15" i="17"/>
  <c r="AI60" i="4"/>
  <c r="AI61" i="4" s="1"/>
  <c r="AI62" i="4" s="1"/>
  <c r="AI63" i="4" s="1"/>
  <c r="AI64" i="4" s="1"/>
  <c r="AI65" i="4" s="1"/>
  <c r="AI66" i="4" s="1"/>
  <c r="K43" i="4"/>
  <c r="E24" i="4" l="1"/>
  <c r="E25" i="4" s="1"/>
  <c r="L16" i="17"/>
  <c r="AI67" i="4"/>
  <c r="AI68" i="4" s="1"/>
  <c r="AI69" i="4" s="1"/>
  <c r="AI70" i="4" s="1"/>
  <c r="AI71" i="4" s="1"/>
  <c r="AI72" i="4" s="1"/>
  <c r="AI73" i="4" s="1"/>
  <c r="AI74" i="4" s="1"/>
  <c r="AI75" i="4" s="1"/>
  <c r="AI76" i="4" s="1"/>
  <c r="AI77" i="4" s="1"/>
  <c r="K44" i="4"/>
  <c r="K45" i="4" s="1"/>
  <c r="K46" i="4" s="1"/>
  <c r="K47" i="4" s="1"/>
  <c r="L38" i="2" l="1"/>
  <c r="L38" i="14"/>
  <c r="E26" i="4"/>
  <c r="AI78" i="4"/>
  <c r="AI79" i="4" s="1"/>
  <c r="K48" i="4"/>
  <c r="K49" i="4" s="1"/>
  <c r="K50" i="4" s="1"/>
  <c r="K51" i="4" s="1"/>
  <c r="K52" i="4" s="1"/>
  <c r="K53" i="4" s="1"/>
  <c r="K54" i="4" s="1"/>
  <c r="E27" i="4" l="1"/>
  <c r="L19" i="14"/>
  <c r="L19" i="17"/>
  <c r="L8" i="14"/>
  <c r="L8" i="2"/>
  <c r="L9" i="17"/>
  <c r="L8" i="13"/>
  <c r="L4" i="18"/>
  <c r="AI80" i="4"/>
  <c r="AI81" i="4" s="1"/>
  <c r="AI82" i="4" s="1"/>
  <c r="AI83" i="4" s="1"/>
  <c r="AI84" i="4" s="1"/>
  <c r="AI85" i="4" s="1"/>
  <c r="AI86" i="4" s="1"/>
  <c r="AI87" i="4" s="1"/>
  <c r="AI88" i="4" s="1"/>
  <c r="K55" i="4"/>
  <c r="E28" i="4" l="1"/>
  <c r="L24" i="2"/>
  <c r="L56" i="2"/>
  <c r="AI89" i="4"/>
  <c r="K56" i="4"/>
  <c r="E29" i="4" l="1"/>
  <c r="L20" i="2"/>
  <c r="L43" i="17"/>
  <c r="AI90" i="4"/>
  <c r="AI91" i="4" s="1"/>
  <c r="K57" i="4"/>
  <c r="L22" i="2" l="1"/>
  <c r="E30" i="4"/>
  <c r="L26" i="14"/>
  <c r="AI92" i="4"/>
  <c r="AI93" i="4" s="1"/>
  <c r="AI94" i="4" s="1"/>
  <c r="AI95" i="4" s="1"/>
  <c r="AI96" i="4" s="1"/>
  <c r="AI97" i="4" s="1"/>
  <c r="AI98" i="4" s="1"/>
  <c r="AI99" i="4" s="1"/>
  <c r="AI100" i="4" s="1"/>
  <c r="K58" i="4"/>
  <c r="K59" i="4" s="1"/>
  <c r="K60" i="4" s="1"/>
  <c r="K61" i="4" s="1"/>
  <c r="E31" i="4" l="1"/>
  <c r="K62" i="4"/>
  <c r="L9" i="2" l="1"/>
  <c r="E32" i="4"/>
  <c r="L57" i="2" s="1"/>
  <c r="K63" i="4"/>
  <c r="K64" i="4" s="1"/>
  <c r="L9" i="13" l="1"/>
  <c r="E33" i="4"/>
  <c r="E34" i="4" s="1"/>
  <c r="E35" i="4" s="1"/>
  <c r="E36" i="4" s="1"/>
  <c r="K65" i="4"/>
  <c r="K66" i="4" s="1"/>
  <c r="K67" i="4" s="1"/>
  <c r="K68" i="4" s="1"/>
  <c r="K69" i="4" s="1"/>
  <c r="L22" i="13" l="1"/>
  <c r="E37" i="4"/>
  <c r="E38" i="4" s="1"/>
  <c r="K70" i="4"/>
  <c r="K71" i="4" s="1"/>
  <c r="K72" i="4" s="1"/>
  <c r="K73" i="4" s="1"/>
  <c r="K74" i="4" s="1"/>
  <c r="L58" i="2" l="1"/>
  <c r="E39" i="4"/>
  <c r="E40" i="4" s="1"/>
  <c r="K75" i="4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E41" i="4" l="1"/>
  <c r="L52" i="15"/>
  <c r="K90" i="4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E42" i="4" l="1"/>
  <c r="L35" i="13"/>
  <c r="L44" i="17"/>
  <c r="L34" i="2"/>
  <c r="L34" i="14"/>
  <c r="E43" i="4" l="1"/>
  <c r="E44" i="4" s="1"/>
  <c r="E45" i="4" s="1"/>
  <c r="E46" i="4" s="1"/>
  <c r="L26" i="13"/>
  <c r="E47" i="4" l="1"/>
  <c r="L24" i="13"/>
  <c r="E48" i="4" l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L39" i="13"/>
  <c r="L49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<sst xmlns="http://schemas.openxmlformats.org/spreadsheetml/2006/main" count="2158" uniqueCount="296">
  <si>
    <t>SEGUNDA</t>
  </si>
  <si>
    <t>Produto</t>
  </si>
  <si>
    <t>QTD</t>
  </si>
  <si>
    <t>PREÇO</t>
  </si>
  <si>
    <t>P.PADRÃO</t>
  </si>
  <si>
    <t>TOTAL</t>
  </si>
  <si>
    <t>Q.PCT</t>
  </si>
  <si>
    <t>Código de Barras</t>
  </si>
  <si>
    <t>COD</t>
  </si>
  <si>
    <t>Descrição</t>
  </si>
  <si>
    <t>Quantidade</t>
  </si>
  <si>
    <t>BOLO BANANA BENDITO KG</t>
  </si>
  <si>
    <t>BOLO CENOURA COBERTURA CHOCOLATE BENDITO KG</t>
  </si>
  <si>
    <t>BOLO COCO BENDITO KG</t>
  </si>
  <si>
    <t>BOLO FUBA C/MILHO BENDITO KG</t>
  </si>
  <si>
    <t>BOLO LEITE NINHO VALSA BENDITO KG</t>
  </si>
  <si>
    <t>BOLO LIMAO C COBERTURA BENDITO KG</t>
  </si>
  <si>
    <t>BOLO MACA BENDITO KG</t>
  </si>
  <si>
    <t>BOLO NOZES BENDITO KG</t>
  </si>
  <si>
    <t>BOLO PISCINA CENOURA BENDITO KG</t>
  </si>
  <si>
    <t>BOLO RECH.BRIGADEIRO C/LEITE NINHO BENDITO KG</t>
  </si>
  <si>
    <t>BOLO RECHEADO BRIGADEIRO BENDITO  KG</t>
  </si>
  <si>
    <t>BOLO RECHEADO DOCE LEITE C/AMEIXA BENDITO KG</t>
  </si>
  <si>
    <t>BOLO RECHEADO LEITE NINHO ABACAXI BENDITO  KG</t>
  </si>
  <si>
    <t>BRIGADEIRAO BENDITO KG</t>
  </si>
  <si>
    <t>BROA DE  ERVA DOCE KG</t>
  </si>
  <si>
    <t>BROA DE FUBA C/GOTAS DE CHOCOLATE KG</t>
  </si>
  <si>
    <t>COOKIES CHOCOLATE KG</t>
  </si>
  <si>
    <t xml:space="preserve">ESFIRRA CALABRESA BENDITO KG </t>
  </si>
  <si>
    <t xml:space="preserve">ESFIRRA CARNE BENDITO KG </t>
  </si>
  <si>
    <t xml:space="preserve">ESFIRRA FRANGO BENDITO KG </t>
  </si>
  <si>
    <t xml:space="preserve">ESFIRRA PRESUNTO E QUEIJO BENDITO KG </t>
  </si>
  <si>
    <t xml:space="preserve">ESFIRRA QUEIJO BENDITO KG </t>
  </si>
  <si>
    <t xml:space="preserve">FORROZINHO COCADA BENDITO KG </t>
  </si>
  <si>
    <t>F.PROPRIA BOLO FUBA C/ ERVA DOCE KG</t>
  </si>
  <si>
    <t>F.PROPRIA BOLO LARANJA BEDNITO KG</t>
  </si>
  <si>
    <t>F.PROPRIA BOLO RECHEADO LEITE NINHO C/MORANGO KG</t>
  </si>
  <si>
    <t>F.PROPRIA CHIPS KG</t>
  </si>
  <si>
    <t>F.PROPRIA ESFIRRA ABERTA UN</t>
  </si>
  <si>
    <t xml:space="preserve">F.PROPRIA ESFIRRA BRCOLIS QJO E BACON KG </t>
  </si>
  <si>
    <t>F.PROPRIA FORROZINHO GOTAS CHOCOLATE KG</t>
  </si>
  <si>
    <t>F.PROPRIA LANCHE PEITO PERU C/MUSSARELA KG</t>
  </si>
  <si>
    <t>F.PROPRIA LANCHE PRESUNTO E QUEIJO KG</t>
  </si>
  <si>
    <t>F.PROPRIA LANCHE SALAME COM QUEIJO PRATO KG</t>
  </si>
  <si>
    <t>F.PROPRIA LUA DE MEL DOCE LEITE POLVILHADA COM NINHO  KG</t>
  </si>
  <si>
    <t>F.PROPRIA PAO BISNAGUINHA  FP KG</t>
  </si>
  <si>
    <t>F.PROPRIA PAO CASEIRINHO  KG</t>
  </si>
  <si>
    <t>F.PROPRIA PAO  DE CALABREZA KG</t>
  </si>
  <si>
    <t>F.PROPRIA PAO DE MILHO KG</t>
  </si>
  <si>
    <t>F.PROPRIA PAO HAMBURGUER KG</t>
  </si>
  <si>
    <t>F.PROPRIA ROCAMBOLE DOCE LEITE KG</t>
  </si>
  <si>
    <t>F.PROPRIA ROCAMBOLE GOIABADA KG</t>
  </si>
  <si>
    <t>F.PROPRIA ROCAMBOLE LEITE NINHO KG</t>
  </si>
  <si>
    <t>F.PROPRIA ROSCA CASEIRA COCO KG</t>
  </si>
  <si>
    <t>F.PROPRIA ROSCA CASEIRA NINHO KG</t>
  </si>
  <si>
    <t>F.PROPRIA ROSCA CREME C/ GOIABADA</t>
  </si>
  <si>
    <t>F.PROPRIA ROSCA RECHEADA COCO KG</t>
  </si>
  <si>
    <t>F.PROPRIA ROSQUINHA COCO  KG</t>
  </si>
  <si>
    <t>F.PROPRIA ROSQUINHA DE LEITE NINHO  KG</t>
  </si>
  <si>
    <t>F. PROPRIA SEQUILHOS KG</t>
  </si>
  <si>
    <t>F.PROPRIA SONHO CREME  KG</t>
  </si>
  <si>
    <t>F.PROPRIA TORTA DE FRANGO KG</t>
  </si>
  <si>
    <t>GELATINA COLORIDA BENDITO KG</t>
  </si>
  <si>
    <t>LANCHE PATE FRANGO RICOTA BENDITO KG</t>
  </si>
  <si>
    <t>LUA DE MEL LEITE CONDENSADO BENDITO KG</t>
  </si>
  <si>
    <t>MANJAR BENDITO KG</t>
  </si>
  <si>
    <t>MARIA MOLE BENDITO KG</t>
  </si>
  <si>
    <t>MINI PUDIM BENDITO 100G</t>
  </si>
  <si>
    <t>PAO ABOBORA BENDITO KG</t>
  </si>
  <si>
    <t>PAO AZEITONA BENDITO  KG</t>
  </si>
  <si>
    <t>PAO BATATA DOCE BENDITO KG</t>
  </si>
  <si>
    <t>PAO BISNAGUINHA BENDITO  KG</t>
  </si>
  <si>
    <t>PAO BRIOCHE CALABRESA BENDITO KG</t>
  </si>
  <si>
    <t xml:space="preserve">PAO CASEIRAO 250 GR </t>
  </si>
  <si>
    <t xml:space="preserve">PAO CASEIRAO BENDITO 250GR </t>
  </si>
  <si>
    <t>PAO CASEIRINHO BENDITO  KG</t>
  </si>
  <si>
    <t>PAO DE LEITE BENDITO KG</t>
  </si>
  <si>
    <t>PAO DE LEMON PAPPER BENDITO KG</t>
  </si>
  <si>
    <t>PAO DE MILHO BENDITO KG</t>
  </si>
  <si>
    <t>PAO FOFINHO BENDITO KG</t>
  </si>
  <si>
    <t>PAO GRATINADO KG</t>
  </si>
  <si>
    <t>PAO HAMBURGUER BENDITO KG</t>
  </si>
  <si>
    <t>PAO HOT DOG BENDITO  KG</t>
  </si>
  <si>
    <t>PAO HOT DOG  KG</t>
  </si>
  <si>
    <t>PAO MANDIOQUINHA BENDITO KG</t>
  </si>
  <si>
    <t>PAO MANDIOQUINHA KG</t>
  </si>
  <si>
    <t>PAO MINI BAGUETE KG</t>
  </si>
  <si>
    <t>PUDIM LEITE COND.TRIANGULO BENDITO KG</t>
  </si>
  <si>
    <t>ROCAMBOLE BRIGADEIRO BENDITO KG</t>
  </si>
  <si>
    <t>ROCAMBOLE GOIABADA BENDITO KG</t>
  </si>
  <si>
    <t>ROCAMBOLE LEITE NINHO BENDITO KG</t>
  </si>
  <si>
    <t>ROSCA CASEIRA COCO BENDITO KG</t>
  </si>
  <si>
    <t>ROSCA CASEIRA NINHO BENDITO KG</t>
  </si>
  <si>
    <t>ROSCA RECHEADA CHOCOLATE BENDITO KG</t>
  </si>
  <si>
    <t>ROSCA RECHEADA COCO BENDITO  KG</t>
  </si>
  <si>
    <t>ROSCA RECHEADA GOTAS CHOCOLATE BENDITO KG</t>
  </si>
  <si>
    <t>ROSQUINHA COCO BENDITO  KG</t>
  </si>
  <si>
    <t>ROSQUINHA DE LEITE NINHO BENDITO  KG</t>
  </si>
  <si>
    <t>SONHO CREME BENDITO KG</t>
  </si>
  <si>
    <t xml:space="preserve">SONHO DOCE LEITE BENDITO KG </t>
  </si>
  <si>
    <t>TORRADA FABRICACAO PROPRIA KG</t>
  </si>
  <si>
    <t>TORTA DE FRANGO BENDITO KG</t>
  </si>
  <si>
    <t>DATA</t>
  </si>
  <si>
    <t>20/10 A 23/10</t>
  </si>
  <si>
    <t>PERIODO BASE</t>
  </si>
  <si>
    <t>STATUS</t>
  </si>
  <si>
    <t>KG/UN</t>
  </si>
  <si>
    <t>TERÇA</t>
  </si>
  <si>
    <t>QUARTA</t>
  </si>
  <si>
    <t>QUINTA</t>
  </si>
  <si>
    <t>SEXTA</t>
  </si>
  <si>
    <t>SABADO</t>
  </si>
  <si>
    <t>DOMINGO</t>
  </si>
  <si>
    <t>BOLO FUBA  BENDITO KG</t>
  </si>
  <si>
    <t>BOLO LARANJA BEDNITO KG</t>
  </si>
  <si>
    <t>COLOMBA FRUTA BENDITO KG</t>
  </si>
  <si>
    <t>COOKIES BAUNILHA COM GOTAS KG</t>
  </si>
  <si>
    <t>DOGUINHO BENDITO KG</t>
  </si>
  <si>
    <t xml:space="preserve">ESFIRRA CARNE, BROCOLIS E QUEIJO BENDITO KG </t>
  </si>
  <si>
    <t>PANETTONE FRUTA BENDITO  KG</t>
  </si>
  <si>
    <t>PAO CENOURINHA BENDITO KG</t>
  </si>
  <si>
    <t xml:space="preserve">PAO DE FRIOS BENDITO KG </t>
  </si>
  <si>
    <t>PAO DONUTS CHOCOLATE BENDITO KG</t>
  </si>
  <si>
    <t>PAVE CHOCOLATE BENDITO KG</t>
  </si>
  <si>
    <t>PAVE DE PESSEGO BENDITO KG</t>
  </si>
  <si>
    <t>PUDIM DE LEITE CONDENSADO BENDITO 400GR</t>
  </si>
  <si>
    <t>PUDIM DE LEITE CONDENSADO BENDITO KG</t>
  </si>
  <si>
    <t>ROSCA C/ CREME E  FRUTAS BENDITO KG</t>
  </si>
  <si>
    <t xml:space="preserve">ROSCA CREME C/ GOIABADA BENDITO KG </t>
  </si>
  <si>
    <t>ROSQUINHA SAMANTA BENDITO KG</t>
  </si>
  <si>
    <t>BOLO DE CHURROS CHOCOLATE BENDITO KG</t>
  </si>
  <si>
    <t>COOKIES CHOCOLATE BENDITO KG</t>
  </si>
  <si>
    <t>LUA DE MEL DOCE LEITE C/NINHO BENDITO KG</t>
  </si>
  <si>
    <t>PAO BRIOCHE BENDITO  KG</t>
  </si>
  <si>
    <t>PAO  DE CALABREZA BENDITO KG</t>
  </si>
  <si>
    <t>BOLO FUBA C/ GOIABADA BENDITO KG</t>
  </si>
  <si>
    <t>BOLO NINHO C/OURO BRC BENDITO  KG</t>
  </si>
  <si>
    <t>BOLO RECHEADO LEITE NINHO C/MORANGO BENDITO KG</t>
  </si>
  <si>
    <t>F.PROPRIA SALGADO DE  CALABRESA ASSADO KG</t>
  </si>
  <si>
    <t xml:space="preserve">HOT DOG BENDITO KG </t>
  </si>
  <si>
    <t>HOT DOG COM MOSTARDA BENDITO KG</t>
  </si>
  <si>
    <t>QUEIJADINHA BENDITO KG</t>
  </si>
  <si>
    <t>QUICHE 4 QUEIJO BENDITO 400GR</t>
  </si>
  <si>
    <t>TORTA DE FRIOS BENDITO KG</t>
  </si>
  <si>
    <t>CROUTONS  FABRICACAO PROPRIA KG</t>
  </si>
  <si>
    <t>FP BROA DE FUBA KG</t>
  </si>
  <si>
    <t>LUA DE MEL DOCE C/NINHO BENDITO  KG</t>
  </si>
  <si>
    <t>PAO BATATA BENDITO KG</t>
  </si>
  <si>
    <t>PAO DONUTS DOCE DE LEITE BENDITO KG</t>
  </si>
  <si>
    <t>PUDIM DE PADARIA BENDITO KG</t>
  </si>
  <si>
    <t>QUICHE FRANGO C/REQUEIJAO BENDITO 400GR</t>
  </si>
  <si>
    <t>ROCAMBOLE PRESTIGIO BENDITO KG</t>
  </si>
  <si>
    <t>EM PCT</t>
  </si>
  <si>
    <t>EM VALORES</t>
  </si>
  <si>
    <t>DESCRIÇÃO PRODUTO</t>
  </si>
  <si>
    <t>INFORMAÇÕES DO PEDIDO</t>
  </si>
  <si>
    <t>INFORMAÇÕES SUGESTÃO DE PEDIDO</t>
  </si>
  <si>
    <t>VENDA QTD</t>
  </si>
  <si>
    <t>Venda Líquida</t>
  </si>
  <si>
    <t>MEDIA QTD</t>
  </si>
  <si>
    <t>MEDIA VALOR</t>
  </si>
  <si>
    <t>MEDIA DO PERIODO 03/11 A 10/11</t>
  </si>
  <si>
    <t>QUINTA (LOJA 1 DESCONTÃO-PRODUÇÃO PADARIA)</t>
  </si>
  <si>
    <t>DOMINGO (LOJA 1 DESCONTÃO-PRODUÇÃO PADARIA)</t>
  </si>
  <si>
    <t>MARMITA 3 DIVISORIAS</t>
  </si>
  <si>
    <t>MACARRÃO</t>
  </si>
  <si>
    <t>MONO ARROZ</t>
  </si>
  <si>
    <t>MONO FEIJÃO</t>
  </si>
  <si>
    <t>MONO GUARNIÇÃO</t>
  </si>
  <si>
    <t>MONO PROTEINAS</t>
  </si>
  <si>
    <t>SALADAS COZIDAS</t>
  </si>
  <si>
    <t>SUJESTÃO DE PEDIDO</t>
  </si>
  <si>
    <t>SEGUNDA (LOJA 1 DESCONTÃO-ROTISSERIA)</t>
  </si>
  <si>
    <t>META</t>
  </si>
  <si>
    <t>PEDIDO</t>
  </si>
  <si>
    <t>ULT.VENDA</t>
  </si>
  <si>
    <t>VALORES</t>
  </si>
  <si>
    <t>SALADAS PROTEICAS</t>
  </si>
  <si>
    <t>SALADAS C/PROTEINAS</t>
  </si>
  <si>
    <t>SUSHI</t>
  </si>
  <si>
    <t>POKE /TEMAKI</t>
  </si>
  <si>
    <t>MASSAS/MOLHOS/GELEIAS</t>
  </si>
  <si>
    <t>MASSAS</t>
  </si>
  <si>
    <t>QUARTA (LOJA 1 DESCONTÃO-ROTISSERIA)</t>
  </si>
  <si>
    <t>QUINTA (LOJA 1 DESCONTÃO-ROTISSERIA)</t>
  </si>
  <si>
    <t>REFEICAO STROGONOFF CARNE BENDITO UN</t>
  </si>
  <si>
    <t>ROTISSERIA ARROZ BRANCO BENDITO KG</t>
  </si>
  <si>
    <t>SUI PROD.TORRESMO FRITO KG</t>
  </si>
  <si>
    <t>ROTISSERIA CAPONATA BERINJELA BENDITO KG</t>
  </si>
  <si>
    <t>ROTISSERIA MACARRAO C/BROCOLIS E BACON KG</t>
  </si>
  <si>
    <t>MOLHOS</t>
  </si>
  <si>
    <t>pedido</t>
  </si>
  <si>
    <t>ALMOÇO</t>
  </si>
  <si>
    <t>TERÇA FEIRA (LOJA 1 DESCONTÃO-ROTISSERIA)</t>
  </si>
  <si>
    <t>SABADO (LOJA 1 DESCONTÃO-ROTISSERIA)</t>
  </si>
  <si>
    <t>SEXTA (LOJA 1 DESCONTÃO-ROTISSERIA)</t>
  </si>
  <si>
    <t>REFEICAO CARNE PANELA BENDITO UN</t>
  </si>
  <si>
    <t>REFEICAO FILE FRANGO PARMEGIANA BENDITO UN</t>
  </si>
  <si>
    <t>REFEICAO MEDALHAO FRANGO BENDITO UN</t>
  </si>
  <si>
    <t>REFEICAO TIRINHA CARNE CHINESA BENDITO UN</t>
  </si>
  <si>
    <t>ROT.ESPAGUETE A BOLONHESA + POLPETONE RECHEADO BENDITO</t>
  </si>
  <si>
    <t>ROT.ISCA DE FRANGO A MILANESA BENDITO KG</t>
  </si>
  <si>
    <t>ROTISSERIA BANANA BENDITO KG</t>
  </si>
  <si>
    <t>ROTISSERIA BATATA ASSADA BENDITO KG</t>
  </si>
  <si>
    <t>ROTISSERIA BERINJELA PIZZAOLA BENDITO KG</t>
  </si>
  <si>
    <t>ROTISSERIA BOLINHO DE ARROZ BENDITO KG</t>
  </si>
  <si>
    <t>ROTISSERIA FAROFA BENDITO KG</t>
  </si>
  <si>
    <t>ROTISSERIA FEIJAO BENDITO KG</t>
  </si>
  <si>
    <t>ROTISSERIA GELEIA DE PIMENTA C/ABACAXI BENDITO KG</t>
  </si>
  <si>
    <t>ROTISSERIA HOT HOLL BENDITO UN</t>
  </si>
  <si>
    <t>ROTISSERIA JILO FRITO BENDITO KG</t>
  </si>
  <si>
    <t>ROTISSERIA LINGUICA ASSADA BENDITO KG</t>
  </si>
  <si>
    <t>ROTISSERIA LINGUICA RECHEADA ASSADA BENDITO KG</t>
  </si>
  <si>
    <t>ROTISSERIA LINGUICINHA FINININHA BENDITO KG</t>
  </si>
  <si>
    <t>ROTISSERIA MACARRAO C/CALABRESA MOLHO ROSE BENDITO KG</t>
  </si>
  <si>
    <t>ROTISSERIA MACARRONADA A BOLONHESA BENDITO KG</t>
  </si>
  <si>
    <t>ROTISSERIA MIX LEGUMES ASSADO BENDITO KG</t>
  </si>
  <si>
    <t>ROTISSERIA MOLHO PIMENTA ARTESANAL BENDITO KG</t>
  </si>
  <si>
    <t>ROTISSERIA PATE ALHO BENDITO KG</t>
  </si>
  <si>
    <t>ROTISSERIA PURE DE BATATA BENDITO KG</t>
  </si>
  <si>
    <t>ROTISSERIA SALADA BATATONESE BENDITO KG</t>
  </si>
  <si>
    <t>ROTISSERIA SALADA CEASER C/FRANGO BENDITO</t>
  </si>
  <si>
    <t>ROTISSERIA TABULE BENDITO KG</t>
  </si>
  <si>
    <t>ROTISSERIA TIRINHA DE CARNE BENDITO KG</t>
  </si>
  <si>
    <t>SUI PROD.BANHA KG</t>
  </si>
  <si>
    <t>TOTAL ROTISSERIA</t>
  </si>
  <si>
    <t>REFEICAO ISCA DE  FRANGO A MILANESA BENDITO</t>
  </si>
  <si>
    <t>ROTISSERIA FRANGO XADREZ BENDITO KG</t>
  </si>
  <si>
    <t>ROTISSERIA REPOLHO REFOGADO BENDITO KG</t>
  </si>
  <si>
    <t>ASS.FRANGO METADE BENDITO UNIDADE</t>
  </si>
  <si>
    <t>REFEICAO FEIJOADA BENDITO UN</t>
  </si>
  <si>
    <t>ROTISSERIA FEIJOADA BENDITO KG</t>
  </si>
  <si>
    <t>ROTISSERIA TULIPA BUFALO WINGS KG</t>
  </si>
  <si>
    <t>ROTISSERIA COUVE REFOGADA BENDITO KG</t>
  </si>
  <si>
    <t>REFEICAO LAGARTO M.MADEIRA + BATATA ASSADA BENDITO</t>
  </si>
  <si>
    <t>ROTISSERIA CABOTIA REFOGADA BENDITO KG</t>
  </si>
  <si>
    <t>ROTISSERIA FILE SOBRECOXA ASSADA BENDITO KG</t>
  </si>
  <si>
    <t>ROTISSERIA TUTU DE FEIJAO BENDITO KG</t>
  </si>
  <si>
    <t>REF COPA LOMBO ACEBOLADA BENDITO</t>
  </si>
  <si>
    <t>ROTISSERIA FILE FRANGO PARMEGIANA BENDITO KG</t>
  </si>
  <si>
    <t>ROTISSERIA SALADA SUNOMONO BENDITOKG</t>
  </si>
  <si>
    <t>ROTISSERIA SALADA DE BROCOLIS C/COUVE FLOR BENDITO KG</t>
  </si>
  <si>
    <t>ROTISSERIA DOBRADINHA BENDITO KG</t>
  </si>
  <si>
    <t>ROTISSERIA MAIONESE BENDITO KG</t>
  </si>
  <si>
    <t>ROTISSERIA MAIONESE DE LEGUMES COM FRANGO BENDITO KG</t>
  </si>
  <si>
    <t>ROTISSERIA SUSHI KANI C/CREAM CHEESE BENDITO UN</t>
  </si>
  <si>
    <t>ROTISSERIA ARROZ A GREGA BENDITO KG</t>
  </si>
  <si>
    <t>ROTISSERIA JOELHO PORCO ASSADO BENDITO KG</t>
  </si>
  <si>
    <t>ROTISSERIA LASANHA A BOLONHESA BENDITO  KG</t>
  </si>
  <si>
    <t>TERÇA (LOJA 1 DESCONTÃO-ROTISSERIA)</t>
  </si>
  <si>
    <t>u</t>
  </si>
  <si>
    <t>,</t>
  </si>
  <si>
    <t>REFEICAO STROGONOFF FRANGO BENDITO UN</t>
  </si>
  <si>
    <t>ROTISSERIA ARROZ TEMPERADO BENDITO KG</t>
  </si>
  <si>
    <t>ROTISSERIA  MACARRAO PRIMAVERA BENDITO KG</t>
  </si>
  <si>
    <t>ROTISSERIA PERNIL ACEBOLADO BENDITO  KG</t>
  </si>
  <si>
    <t>ROTISSERIA SALADA DE BATATA CURTINHA BENDITO KG</t>
  </si>
  <si>
    <t>ROTISSERIA SALADA DE BETERRABA BENDITO KG</t>
  </si>
  <si>
    <t>ROTISSERIA STROGONOFF DE FRANGO BENDITO KG</t>
  </si>
  <si>
    <t>ROTISSERIA CANELONE PRE/QUEIJO E M.BRANCO BENDITO KG</t>
  </si>
  <si>
    <t>ROTISSERIA MACARRAO ESPECIAL BENDITO KG</t>
  </si>
  <si>
    <t>ROTISSERIA MAMINHA ASSADA BENDITO KG</t>
  </si>
  <si>
    <t>ROTISSERIA SALADA FRESH HONEY PERU BENDITO</t>
  </si>
  <si>
    <t>ROTISSERIA CANELONE FRANGO COM REQUEIJAO BENDITO KG</t>
  </si>
  <si>
    <t>ROTISSERIA MEDALHAO FRANGO BENDITO KG</t>
  </si>
  <si>
    <t xml:space="preserve">PATE DE AZEITONA PRETA BENDITO KG </t>
  </si>
  <si>
    <t>REFEICAO ISCA DE  FRANGO A ACEBOLADA BENDITO UN</t>
  </si>
  <si>
    <t>ROTISSERIA ISCA DE FRANGO ACEBOLADA BENDITO KG</t>
  </si>
  <si>
    <t>ROTISSERIA PANQUECA DE CARNE AO POMODORO BENDITO KG</t>
  </si>
  <si>
    <t>ROTISSERIA PANQUECA DE FRANGO BENDITO KG</t>
  </si>
  <si>
    <t>ROTISSERIA STROGONOFF DE CARNE BENDITO KG</t>
  </si>
  <si>
    <t>15/01 a 016/01</t>
  </si>
  <si>
    <t>ROTISSERIA COXINHA BUFALO WINGS KG</t>
  </si>
  <si>
    <t>ROTISSERIA MACARRAO AO MOLHO BRANCO BENDITO KG</t>
  </si>
  <si>
    <t>ROTISSERIA NHOQUE AO MOLHO SUGO BENDITO  KG</t>
  </si>
  <si>
    <t>ROTISSERIA YAKISSOBA BENDITO KG</t>
  </si>
  <si>
    <t>16/01 a 17/01</t>
  </si>
  <si>
    <t xml:space="preserve">ASS.FRANGO BENDITO INTEIRO </t>
  </si>
  <si>
    <t>ROTISSERIA ARROZ CARRETEIRO BENDITO KG</t>
  </si>
  <si>
    <t>ROTISSERIA MAIONESE DE LEGUMES COM FRANGO</t>
  </si>
  <si>
    <t>17/01 a 18/01</t>
  </si>
  <si>
    <t>ROTISSERIA BATATA  DOCE ASSADA BENDITO KG</t>
  </si>
  <si>
    <t>ROTISSERIA CALDO DE MANDIOCA BENDITO KG</t>
  </si>
  <si>
    <t>ROTISSERIA CREME DE MILHO BENDITO KG</t>
  </si>
  <si>
    <t xml:space="preserve">ROTISSERIA GELEIA DE PIMENTA BENDITO KG </t>
  </si>
  <si>
    <t>ROTISSERIA LEGUMES BENDITO KG</t>
  </si>
  <si>
    <t>ROTISSERIA POLENTA AO MOLHO CARNE MOIDA BENDITO KG</t>
  </si>
  <si>
    <t>19/01 a20/01</t>
  </si>
  <si>
    <t xml:space="preserve"> </t>
  </si>
  <si>
    <t>20/01 a 21/01</t>
  </si>
  <si>
    <t>ROTISSERIA COPA LOMBO ACEBOLADO BENDITO KG</t>
  </si>
  <si>
    <t>ROTISSERIA MACARRAO C/CHEDDAR E BACON</t>
  </si>
  <si>
    <t>ROTISSERIA NHOQUE DE BATATA C/ CARNE BENDITO KG</t>
  </si>
  <si>
    <t>COMBO SUSHI KANI/HOTHOLL/CALIFORNIA BENDITO UN</t>
  </si>
  <si>
    <t>ROTISSERIA FILE FRANGO GRELHADO BENDITO KG</t>
  </si>
  <si>
    <t>21/01 a 22/01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</si>
</sst>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0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6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</fills>
  <borders count="68">
    <border>
      <left/>
      <right/>
      <top/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2"/>
      </bottom>
      <diagonal/>
    </border>
    <border>
      <left/>
      <right style="thin">
        <color theme="0"/>
      </right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/>
      <diagonal/>
    </border>
    <border>
      <left style="thin">
        <color theme="2"/>
      </left>
      <right style="medium">
        <color indexed="64"/>
      </right>
      <top style="thin">
        <color theme="2"/>
      </top>
      <bottom/>
      <diagonal/>
    </border>
    <border>
      <left style="medium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/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2"/>
      </bottom>
      <diagonal/>
    </border>
    <border>
      <left/>
      <right/>
      <top style="medium">
        <color indexed="64"/>
      </top>
      <bottom style="thin">
        <color theme="2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6">
    <xf numFmtId="0" fontId="0" fillId="0" borderId="0" xfId="0"/>
    <xf numFmtId="16" fontId="0" fillId="0" borderId="0" xfId="0" applyNumberFormat="1"/>
    <xf numFmtId="44" fontId="0" fillId="0" borderId="0" xfId="1" applyFont="1"/>
    <xf numFmtId="0" fontId="2" fillId="2" borderId="2" xfId="0" applyFont="1" applyFill="1" applyBorder="1" applyAlignment="1">
      <alignment horizontal="center" vertical="center"/>
    </xf>
    <xf numFmtId="44" fontId="2" fillId="2" borderId="2" xfId="1" applyFont="1" applyFill="1" applyBorder="1" applyAlignment="1">
      <alignment horizontal="center" vertical="center"/>
    </xf>
    <xf numFmtId="0" fontId="2" fillId="2" borderId="10" xfId="0" applyFont="1" applyFill="1" applyBorder="1"/>
    <xf numFmtId="0" fontId="2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7" fillId="6" borderId="11" xfId="0" applyFont="1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0" fillId="5" borderId="12" xfId="0" applyFill="1" applyBorder="1"/>
    <xf numFmtId="0" fontId="7" fillId="3" borderId="11" xfId="0" applyFont="1" applyFill="1" applyBorder="1"/>
    <xf numFmtId="0" fontId="0" fillId="5" borderId="13" xfId="0" applyFill="1" applyBorder="1"/>
    <xf numFmtId="0" fontId="0" fillId="5" borderId="14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7" fillId="9" borderId="11" xfId="0" applyFont="1" applyFill="1" applyBorder="1"/>
    <xf numFmtId="0" fontId="0" fillId="11" borderId="12" xfId="0" applyFill="1" applyBorder="1"/>
    <xf numFmtId="0" fontId="7" fillId="10" borderId="11" xfId="0" applyFont="1" applyFill="1" applyBorder="1"/>
    <xf numFmtId="0" fontId="0" fillId="11" borderId="13" xfId="0" applyFill="1" applyBorder="1"/>
    <xf numFmtId="0" fontId="0" fillId="11" borderId="14" xfId="0" applyFill="1" applyBorder="1"/>
    <xf numFmtId="0" fontId="0" fillId="12" borderId="12" xfId="0" applyFill="1" applyBorder="1"/>
    <xf numFmtId="0" fontId="0" fillId="12" borderId="13" xfId="0" applyFill="1" applyBorder="1"/>
    <xf numFmtId="0" fontId="0" fillId="12" borderId="14" xfId="0" applyFill="1" applyBorder="1"/>
    <xf numFmtId="0" fontId="7" fillId="5" borderId="11" xfId="0" applyFont="1" applyFill="1" applyBorder="1"/>
    <xf numFmtId="0" fontId="0" fillId="4" borderId="6" xfId="0" applyFill="1" applyBorder="1"/>
    <xf numFmtId="0" fontId="0" fillId="4" borderId="9" xfId="0" applyFill="1" applyBorder="1"/>
    <xf numFmtId="44" fontId="0" fillId="4" borderId="6" xfId="1" applyFont="1" applyFill="1" applyBorder="1"/>
    <xf numFmtId="44" fontId="0" fillId="4" borderId="9" xfId="1" applyFont="1" applyFill="1" applyBorder="1"/>
    <xf numFmtId="0" fontId="0" fillId="4" borderId="7" xfId="0" applyFill="1" applyBorder="1"/>
    <xf numFmtId="44" fontId="0" fillId="4" borderId="5" xfId="1" applyFont="1" applyFill="1" applyBorder="1"/>
    <xf numFmtId="0" fontId="7" fillId="13" borderId="11" xfId="0" applyFont="1" applyFill="1" applyBorder="1"/>
    <xf numFmtId="0" fontId="0" fillId="14" borderId="12" xfId="0" applyFill="1" applyBorder="1"/>
    <xf numFmtId="0" fontId="0" fillId="14" borderId="13" xfId="0" applyFill="1" applyBorder="1"/>
    <xf numFmtId="0" fontId="0" fillId="14" borderId="14" xfId="0" applyFill="1" applyBorder="1"/>
    <xf numFmtId="0" fontId="0" fillId="16" borderId="12" xfId="0" applyFill="1" applyBorder="1"/>
    <xf numFmtId="0" fontId="7" fillId="16" borderId="11" xfId="0" applyFont="1" applyFill="1" applyBorder="1"/>
    <xf numFmtId="0" fontId="0" fillId="16" borderId="13" xfId="0" applyFill="1" applyBorder="1"/>
    <xf numFmtId="0" fontId="0" fillId="16" borderId="14" xfId="0" applyFill="1" applyBorder="1"/>
    <xf numFmtId="2" fontId="0" fillId="18" borderId="19" xfId="0" applyNumberFormat="1" applyFill="1" applyBorder="1" applyAlignment="1">
      <alignment horizontal="center" vertical="center"/>
    </xf>
    <xf numFmtId="44" fontId="0" fillId="18" borderId="19" xfId="1" applyFont="1" applyFill="1" applyBorder="1" applyAlignment="1">
      <alignment horizontal="center" vertical="center"/>
    </xf>
    <xf numFmtId="164" fontId="9" fillId="9" borderId="20" xfId="0" applyNumberFormat="1" applyFont="1" applyFill="1" applyBorder="1"/>
    <xf numFmtId="1" fontId="9" fillId="4" borderId="20" xfId="0" applyNumberFormat="1" applyFont="1" applyFill="1" applyBorder="1"/>
    <xf numFmtId="2" fontId="0" fillId="18" borderId="22" xfId="0" applyNumberFormat="1" applyFill="1" applyBorder="1"/>
    <xf numFmtId="2" fontId="0" fillId="18" borderId="23" xfId="0" applyNumberFormat="1" applyFill="1" applyBorder="1" applyAlignment="1">
      <alignment horizontal="center" vertical="center"/>
    </xf>
    <xf numFmtId="44" fontId="0" fillId="18" borderId="23" xfId="1" applyFont="1" applyFill="1" applyBorder="1" applyAlignment="1">
      <alignment horizontal="center" vertical="center"/>
    </xf>
    <xf numFmtId="0" fontId="0" fillId="18" borderId="8" xfId="0" applyFill="1" applyBorder="1"/>
    <xf numFmtId="2" fontId="0" fillId="18" borderId="21" xfId="0" applyNumberFormat="1" applyFill="1" applyBorder="1"/>
    <xf numFmtId="0" fontId="0" fillId="18" borderId="4" xfId="0" applyFill="1" applyBorder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12" fontId="10" fillId="0" borderId="0" xfId="0" applyNumberFormat="1" applyFont="1" applyAlignment="1">
      <alignment horizontal="right" wrapText="1"/>
    </xf>
    <xf numFmtId="0" fontId="10" fillId="0" borderId="0" xfId="0" applyFont="1" applyAlignment="1">
      <alignment horizontal="right" wrapText="1"/>
    </xf>
    <xf numFmtId="0" fontId="11" fillId="0" borderId="0" xfId="0" applyFont="1" applyAlignment="1">
      <alignment vertical="center"/>
    </xf>
    <xf numFmtId="2" fontId="11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44" fontId="1" fillId="0" borderId="0" xfId="1" applyFont="1" applyFill="1" applyBorder="1" applyAlignment="1"/>
    <xf numFmtId="0" fontId="1" fillId="0" borderId="0" xfId="1" applyNumberFormat="1" applyFont="1" applyFill="1" applyBorder="1" applyAlignment="1"/>
    <xf numFmtId="0" fontId="1" fillId="0" borderId="0" xfId="0" applyFont="1"/>
    <xf numFmtId="0" fontId="0" fillId="19" borderId="0" xfId="0" applyFill="1" applyAlignment="1">
      <alignment horizontal="center" vertical="center"/>
    </xf>
    <xf numFmtId="2" fontId="11" fillId="19" borderId="0" xfId="0" applyNumberFormat="1" applyFont="1" applyFill="1" applyAlignment="1">
      <alignment vertical="center"/>
    </xf>
    <xf numFmtId="0" fontId="0" fillId="19" borderId="0" xfId="0" applyFill="1"/>
    <xf numFmtId="0" fontId="2" fillId="20" borderId="0" xfId="0" applyFont="1" applyFill="1"/>
    <xf numFmtId="0" fontId="6" fillId="0" borderId="15" xfId="0" applyFont="1" applyBorder="1"/>
    <xf numFmtId="0" fontId="0" fillId="4" borderId="24" xfId="0" applyFill="1" applyBorder="1"/>
    <xf numFmtId="0" fontId="0" fillId="4" borderId="25" xfId="0" applyFill="1" applyBorder="1"/>
    <xf numFmtId="164" fontId="9" fillId="9" borderId="26" xfId="0" applyNumberFormat="1" applyFont="1" applyFill="1" applyBorder="1"/>
    <xf numFmtId="0" fontId="0" fillId="4" borderId="27" xfId="0" applyFill="1" applyBorder="1"/>
    <xf numFmtId="1" fontId="9" fillId="4" borderId="26" xfId="0" applyNumberFormat="1" applyFont="1" applyFill="1" applyBorder="1"/>
    <xf numFmtId="44" fontId="0" fillId="4" borderId="24" xfId="1" applyFont="1" applyFill="1" applyBorder="1"/>
    <xf numFmtId="44" fontId="0" fillId="4" borderId="28" xfId="1" applyFont="1" applyFill="1" applyBorder="1"/>
    <xf numFmtId="2" fontId="0" fillId="18" borderId="29" xfId="0" applyNumberFormat="1" applyFill="1" applyBorder="1"/>
    <xf numFmtId="2" fontId="0" fillId="18" borderId="30" xfId="0" applyNumberFormat="1" applyFill="1" applyBorder="1" applyAlignment="1">
      <alignment horizontal="center" vertical="center"/>
    </xf>
    <xf numFmtId="44" fontId="0" fillId="18" borderId="30" xfId="1" applyFont="1" applyFill="1" applyBorder="1" applyAlignment="1">
      <alignment horizontal="center" vertical="center"/>
    </xf>
    <xf numFmtId="0" fontId="0" fillId="18" borderId="31" xfId="0" applyFill="1" applyBorder="1"/>
    <xf numFmtId="164" fontId="9" fillId="0" borderId="0" xfId="0" applyNumberFormat="1" applyFont="1"/>
    <xf numFmtId="1" fontId="9" fillId="0" borderId="0" xfId="0" applyNumberFormat="1" applyFont="1"/>
    <xf numFmtId="44" fontId="0" fillId="0" borderId="0" xfId="1" applyFont="1" applyFill="1" applyBorder="1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2" borderId="37" xfId="0" applyFont="1" applyFill="1" applyBorder="1"/>
    <xf numFmtId="0" fontId="2" fillId="2" borderId="38" xfId="0" applyFont="1" applyFill="1" applyBorder="1" applyAlignment="1">
      <alignment horizontal="center" vertical="center"/>
    </xf>
    <xf numFmtId="0" fontId="0" fillId="4" borderId="39" xfId="0" applyFill="1" applyBorder="1"/>
    <xf numFmtId="0" fontId="3" fillId="4" borderId="40" xfId="0" applyFont="1" applyFill="1" applyBorder="1" applyAlignment="1">
      <alignment horizontal="center" vertical="top"/>
    </xf>
    <xf numFmtId="0" fontId="0" fillId="4" borderId="41" xfId="0" applyFill="1" applyBorder="1"/>
    <xf numFmtId="0" fontId="0" fillId="4" borderId="42" xfId="0" applyFill="1" applyBorder="1"/>
    <xf numFmtId="164" fontId="9" fillId="9" borderId="43" xfId="0" applyNumberFormat="1" applyFont="1" applyFill="1" applyBorder="1"/>
    <xf numFmtId="0" fontId="0" fillId="4" borderId="44" xfId="0" applyFill="1" applyBorder="1"/>
    <xf numFmtId="0" fontId="0" fillId="4" borderId="45" xfId="0" applyFill="1" applyBorder="1"/>
    <xf numFmtId="1" fontId="9" fillId="4" borderId="43" xfId="0" applyNumberFormat="1" applyFont="1" applyFill="1" applyBorder="1"/>
    <xf numFmtId="44" fontId="0" fillId="4" borderId="44" xfId="1" applyFont="1" applyFill="1" applyBorder="1"/>
    <xf numFmtId="44" fontId="0" fillId="4" borderId="46" xfId="1" applyFont="1" applyFill="1" applyBorder="1"/>
    <xf numFmtId="2" fontId="0" fillId="18" borderId="47" xfId="0" applyNumberFormat="1" applyFill="1" applyBorder="1"/>
    <xf numFmtId="2" fontId="0" fillId="18" borderId="48" xfId="0" applyNumberFormat="1" applyFill="1" applyBorder="1" applyAlignment="1">
      <alignment horizontal="center" vertical="center"/>
    </xf>
    <xf numFmtId="44" fontId="0" fillId="18" borderId="48" xfId="1" applyFont="1" applyFill="1" applyBorder="1" applyAlignment="1">
      <alignment horizontal="center" vertical="center"/>
    </xf>
    <xf numFmtId="0" fontId="0" fillId="18" borderId="49" xfId="0" applyFill="1" applyBorder="1"/>
    <xf numFmtId="0" fontId="3" fillId="4" borderId="50" xfId="0" applyFont="1" applyFill="1" applyBorder="1" applyAlignment="1">
      <alignment horizontal="center" vertical="top"/>
    </xf>
    <xf numFmtId="0" fontId="3" fillId="4" borderId="52" xfId="0" applyFont="1" applyFill="1" applyBorder="1" applyAlignment="1">
      <alignment horizontal="center" vertical="top"/>
    </xf>
    <xf numFmtId="164" fontId="9" fillId="0" borderId="51" xfId="0" applyNumberFormat="1" applyFont="1" applyBorder="1"/>
    <xf numFmtId="0" fontId="0" fillId="0" borderId="51" xfId="0" applyBorder="1"/>
    <xf numFmtId="1" fontId="9" fillId="0" borderId="51" xfId="0" applyNumberFormat="1" applyFont="1" applyBorder="1"/>
    <xf numFmtId="0" fontId="0" fillId="0" borderId="35" xfId="0" applyBorder="1"/>
    <xf numFmtId="0" fontId="3" fillId="0" borderId="55" xfId="0" applyFont="1" applyBorder="1" applyAlignment="1">
      <alignment horizontal="center" vertical="top"/>
    </xf>
    <xf numFmtId="0" fontId="3" fillId="0" borderId="56" xfId="0" applyFont="1" applyBorder="1" applyAlignment="1">
      <alignment horizontal="center" vertical="top"/>
    </xf>
    <xf numFmtId="0" fontId="0" fillId="4" borderId="57" xfId="0" applyFill="1" applyBorder="1"/>
    <xf numFmtId="164" fontId="9" fillId="0" borderId="58" xfId="0" applyNumberFormat="1" applyFont="1" applyBorder="1"/>
    <xf numFmtId="1" fontId="9" fillId="0" borderId="58" xfId="0" applyNumberFormat="1" applyFont="1" applyBorder="1"/>
    <xf numFmtId="0" fontId="0" fillId="0" borderId="58" xfId="0" applyBorder="1"/>
    <xf numFmtId="0" fontId="3" fillId="0" borderId="6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0" fontId="12" fillId="0" borderId="0" xfId="0" applyFont="1"/>
    <xf numFmtId="1" fontId="5" fillId="0" borderId="0" xfId="0" applyNumberFormat="1" applyFont="1"/>
    <xf numFmtId="0" fontId="8" fillId="7" borderId="0" xfId="0" applyFont="1" applyFill="1"/>
    <xf numFmtId="0" fontId="6" fillId="2" borderId="17" xfId="0" applyFont="1" applyFill="1" applyBorder="1"/>
    <xf numFmtId="0" fontId="8" fillId="7" borderId="33" xfId="0" applyFont="1" applyFill="1" applyBorder="1"/>
    <xf numFmtId="0" fontId="8" fillId="21" borderId="33" xfId="0" applyFont="1" applyFill="1" applyBorder="1"/>
    <xf numFmtId="0" fontId="14" fillId="2" borderId="17" xfId="0" applyFont="1" applyFill="1" applyBorder="1"/>
    <xf numFmtId="0" fontId="15" fillId="2" borderId="37" xfId="0" applyFont="1" applyFill="1" applyBorder="1"/>
    <xf numFmtId="0" fontId="15" fillId="2" borderId="1" xfId="0" applyFont="1" applyFill="1" applyBorder="1"/>
    <xf numFmtId="0" fontId="15" fillId="2" borderId="2" xfId="0" applyFont="1" applyFill="1" applyBorder="1" applyAlignment="1">
      <alignment horizontal="center" vertical="center"/>
    </xf>
    <xf numFmtId="0" fontId="16" fillId="4" borderId="39" xfId="0" applyFont="1" applyFill="1" applyBorder="1"/>
    <xf numFmtId="164" fontId="17" fillId="9" borderId="20" xfId="0" applyNumberFormat="1" applyFont="1" applyFill="1" applyBorder="1"/>
    <xf numFmtId="0" fontId="8" fillId="17" borderId="33" xfId="0" applyFont="1" applyFill="1" applyBorder="1"/>
    <xf numFmtId="0" fontId="8" fillId="5" borderId="0" xfId="0" applyFont="1" applyFill="1"/>
    <xf numFmtId="0" fontId="8" fillId="5" borderId="33" xfId="0" applyFont="1" applyFill="1" applyBorder="1"/>
    <xf numFmtId="14" fontId="5" fillId="0" borderId="14" xfId="0" applyNumberFormat="1" applyFont="1" applyBorder="1"/>
    <xf numFmtId="0" fontId="5" fillId="0" borderId="12" xfId="0" applyFont="1" applyBorder="1"/>
    <xf numFmtId="164" fontId="9" fillId="0" borderId="0" xfId="0" applyNumberFormat="1" applyFont="1" applyAlignment="1">
      <alignment horizontal="center"/>
    </xf>
    <xf numFmtId="164" fontId="9" fillId="9" borderId="0" xfId="0" applyNumberFormat="1" applyFont="1" applyFill="1" applyAlignment="1">
      <alignment horizontal="center"/>
    </xf>
    <xf numFmtId="2" fontId="0" fillId="0" borderId="22" xfId="0" applyNumberFormat="1" applyBorder="1"/>
    <xf numFmtId="0" fontId="0" fillId="4" borderId="0" xfId="0" applyFill="1"/>
    <xf numFmtId="0" fontId="0" fillId="0" borderId="0" xfId="0" applyAlignment="1">
      <alignment horizontal="center"/>
    </xf>
    <xf numFmtId="44" fontId="0" fillId="0" borderId="0" xfId="1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 vertical="center"/>
    </xf>
    <xf numFmtId="2" fontId="0" fillId="15" borderId="22" xfId="0" applyNumberFormat="1" applyFill="1" applyBorder="1"/>
    <xf numFmtId="2" fontId="0" fillId="15" borderId="0" xfId="0" applyNumberFormat="1" applyFill="1"/>
    <xf numFmtId="2" fontId="0" fillId="15" borderId="21" xfId="0" applyNumberFormat="1" applyFill="1" applyBorder="1"/>
    <xf numFmtId="0" fontId="0" fillId="15" borderId="0" xfId="0" applyFill="1"/>
    <xf numFmtId="0" fontId="20" fillId="4" borderId="9" xfId="0" applyFont="1" applyFill="1" applyBorder="1"/>
    <xf numFmtId="0" fontId="6" fillId="2" borderId="17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164" fontId="9" fillId="0" borderId="12" xfId="0" applyNumberFormat="1" applyFont="1" applyBorder="1" applyAlignment="1">
      <alignment horizontal="center"/>
    </xf>
    <xf numFmtId="164" fontId="9" fillId="0" borderId="14" xfId="0" applyNumberFormat="1" applyFont="1" applyBorder="1" applyAlignment="1">
      <alignment horizontal="center"/>
    </xf>
    <xf numFmtId="164" fontId="9" fillId="9" borderId="12" xfId="0" applyNumberFormat="1" applyFont="1" applyFill="1" applyBorder="1" applyAlignment="1">
      <alignment horizontal="center"/>
    </xf>
    <xf numFmtId="164" fontId="9" fillId="9" borderId="14" xfId="0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8" fillId="17" borderId="32" xfId="0" applyFont="1" applyFill="1" applyBorder="1" applyAlignment="1">
      <alignment horizontal="center"/>
    </xf>
    <xf numFmtId="0" fontId="8" fillId="17" borderId="33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44" fontId="0" fillId="0" borderId="53" xfId="1" applyFont="1" applyFill="1" applyBorder="1" applyAlignment="1">
      <alignment horizontal="center"/>
    </xf>
    <xf numFmtId="44" fontId="0" fillId="0" borderId="54" xfId="1" applyFont="1" applyFill="1" applyBorder="1" applyAlignment="1">
      <alignment horizontal="center"/>
    </xf>
    <xf numFmtId="2" fontId="0" fillId="0" borderId="53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0" fontId="8" fillId="17" borderId="34" xfId="0" applyFont="1" applyFill="1" applyBorder="1" applyAlignment="1">
      <alignment horizont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164" fontId="19" fillId="0" borderId="32" xfId="0" applyNumberFormat="1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0" fontId="19" fillId="0" borderId="67" xfId="0" applyFont="1" applyBorder="1" applyAlignment="1">
      <alignment horizontal="center" vertical="center"/>
    </xf>
    <xf numFmtId="0" fontId="6" fillId="2" borderId="62" xfId="0" applyFont="1" applyFill="1" applyBorder="1" applyAlignment="1">
      <alignment horizontal="center"/>
    </xf>
    <xf numFmtId="0" fontId="6" fillId="2" borderId="63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6" fillId="2" borderId="64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5" borderId="34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44" fontId="0" fillId="0" borderId="59" xfId="1" applyFont="1" applyFill="1" applyBorder="1" applyAlignment="1">
      <alignment horizontal="center"/>
    </xf>
    <xf numFmtId="44" fontId="0" fillId="0" borderId="60" xfId="1" applyFont="1" applyFill="1" applyBorder="1" applyAlignment="1">
      <alignment horizontal="center"/>
    </xf>
    <xf numFmtId="2" fontId="0" fillId="0" borderId="59" xfId="0" applyNumberFormat="1" applyBorder="1" applyAlignment="1">
      <alignment horizontal="center" vertical="center"/>
    </xf>
    <xf numFmtId="2" fontId="0" fillId="0" borderId="60" xfId="0" applyNumberFormat="1" applyBorder="1" applyAlignment="1">
      <alignment horizontal="center" vertical="center"/>
    </xf>
    <xf numFmtId="0" fontId="8" fillId="7" borderId="3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32" xfId="0" applyFont="1" applyFill="1" applyBorder="1" applyAlignment="1">
      <alignment horizontal="center"/>
    </xf>
    <xf numFmtId="0" fontId="8" fillId="7" borderId="33" xfId="0" applyFont="1" applyFill="1" applyBorder="1" applyAlignment="1">
      <alignment horizontal="center"/>
    </xf>
    <xf numFmtId="0" fontId="8" fillId="7" borderId="34" xfId="0" applyFont="1" applyFill="1" applyBorder="1" applyAlignment="1">
      <alignment horizontal="center"/>
    </xf>
    <xf numFmtId="0" fontId="8" fillId="21" borderId="33" xfId="0" applyFont="1" applyFill="1" applyBorder="1" applyAlignment="1">
      <alignment horizontal="center"/>
    </xf>
    <xf numFmtId="0" fontId="8" fillId="21" borderId="34" xfId="0" applyFont="1" applyFill="1" applyBorder="1" applyAlignment="1">
      <alignment horizontal="center"/>
    </xf>
    <xf numFmtId="0" fontId="8" fillId="21" borderId="32" xfId="0" applyFont="1" applyFill="1" applyBorder="1" applyAlignment="1">
      <alignment horizontal="center"/>
    </xf>
    <xf numFmtId="0" fontId="13" fillId="21" borderId="32" xfId="0" applyFont="1" applyFill="1" applyBorder="1" applyAlignment="1">
      <alignment horizontal="center"/>
    </xf>
    <xf numFmtId="0" fontId="13" fillId="21" borderId="33" xfId="0" applyFont="1" applyFill="1" applyBorder="1" applyAlignment="1">
      <alignment horizontal="center"/>
    </xf>
    <xf numFmtId="0" fontId="14" fillId="2" borderId="35" xfId="0" applyFont="1" applyFill="1" applyBorder="1" applyAlignment="1">
      <alignment horizontal="center"/>
    </xf>
    <xf numFmtId="0" fontId="14" fillId="2" borderId="16" xfId="0" applyFont="1" applyFill="1" applyBorder="1" applyAlignment="1">
      <alignment horizontal="center"/>
    </xf>
    <xf numFmtId="0" fontId="8" fillId="22" borderId="32" xfId="0" applyFont="1" applyFill="1" applyBorder="1" applyAlignment="1">
      <alignment horizontal="center"/>
    </xf>
    <xf numFmtId="0" fontId="8" fillId="22" borderId="33" xfId="0" applyFont="1" applyFill="1" applyBorder="1" applyAlignment="1">
      <alignment horizontal="center"/>
    </xf>
    <xf numFmtId="0" fontId="8" fillId="22" borderId="34" xfId="0" applyFont="1" applyFill="1" applyBorder="1" applyAlignment="1">
      <alignment horizontal="center"/>
    </xf>
    <xf numFmtId="44" fontId="0" fillId="0" borderId="53" xfId="0" applyNumberFormat="1" applyBorder="1" applyAlignment="1">
      <alignment horizontal="center" vertical="center"/>
    </xf>
    <xf numFmtId="0" fontId="8" fillId="15" borderId="3" xfId="0" applyFont="1" applyFill="1" applyBorder="1" applyAlignment="1">
      <alignment horizontal="center"/>
    </xf>
    <xf numFmtId="0" fontId="8" fillId="15" borderId="0" xfId="0" applyFont="1" applyFill="1" applyAlignment="1">
      <alignment horizontal="center"/>
    </xf>
    <xf numFmtId="0" fontId="8" fillId="13" borderId="32" xfId="0" applyFont="1" applyFill="1" applyBorder="1" applyAlignment="1">
      <alignment horizontal="center"/>
    </xf>
    <xf numFmtId="0" fontId="8" fillId="13" borderId="33" xfId="0" applyFont="1" applyFill="1" applyBorder="1" applyAlignment="1">
      <alignment horizontal="center"/>
    </xf>
    <xf numFmtId="0" fontId="8" fillId="13" borderId="34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16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5DC6D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ddes\OneDrive\Desktop\Pedidos%20Lojas\ROTISSERIA\ESCALA%20DE%20PRODU&#199;&#195;O%20ROTISSERIA.xlsx" TargetMode="External"/><Relationship Id="rId1" Type="http://schemas.openxmlformats.org/officeDocument/2006/relationships/externalLinkPath" Target="ESCALA%20DE%20PRODU&#199;&#195;O%20ROTISSERI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ddes\OneDrive\Desktop\Pedidos%20Lojas\SAZONAL\ESCALA%20DE%20PRODU&#199;&#195;O%20SAZONAL.xlsx" TargetMode="External"/><Relationship Id="rId1" Type="http://schemas.openxmlformats.org/officeDocument/2006/relationships/externalLinkPath" Target="/Users/sddes/OneDrive/Desktop/Pedidos%20Lojas/SAZONAL/ESCALA%20DE%20PRODU&#199;&#195;O%20SAZ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CALA DE PRODUÇÃO"/>
    </sheetNames>
    <sheetDataSet>
      <sheetData sheetId="0">
        <row r="1">
          <cell r="AJ1" t="str">
            <v>Produto</v>
          </cell>
          <cell r="AK1" t="str">
            <v>Embalagem</v>
          </cell>
          <cell r="AL1" t="str">
            <v>Código de Barras</v>
          </cell>
          <cell r="AM1" t="str">
            <v>Preço Venda</v>
          </cell>
        </row>
        <row r="2">
          <cell r="AJ2" t="str">
            <v>093583 - ASS.FRANGO BENDITO INTEIRO</v>
          </cell>
          <cell r="AK2" t="str">
            <v>UN/0001</v>
          </cell>
          <cell r="AL2">
            <v>93583</v>
          </cell>
          <cell r="AM2">
            <v>45.9</v>
          </cell>
        </row>
        <row r="3">
          <cell r="B3">
            <v>7768</v>
          </cell>
          <cell r="G3">
            <v>7875</v>
          </cell>
          <cell r="I3">
            <v>1</v>
          </cell>
          <cell r="L3">
            <v>7673</v>
          </cell>
          <cell r="N3">
            <v>1</v>
          </cell>
          <cell r="Q3">
            <v>7625</v>
          </cell>
          <cell r="S3">
            <v>1</v>
          </cell>
          <cell r="V3">
            <v>9362</v>
          </cell>
          <cell r="X3">
            <v>1</v>
          </cell>
          <cell r="AA3">
            <v>7673</v>
          </cell>
          <cell r="AC3">
            <v>1</v>
          </cell>
          <cell r="AJ3" t="str">
            <v>002893 - ASS.FRANGO METADE BENDITO UNIDADE</v>
          </cell>
          <cell r="AK3" t="str">
            <v>UN/0001</v>
          </cell>
          <cell r="AL3">
            <v>2893</v>
          </cell>
          <cell r="AM3">
            <v>26.9</v>
          </cell>
        </row>
        <row r="4">
          <cell r="A4"/>
          <cell r="B4">
            <v>8966</v>
          </cell>
          <cell r="C4" t="str">
            <v>08966 - REFEICAO ISCA DE FRANGO A MILANESA</v>
          </cell>
          <cell r="G4">
            <v>7877</v>
          </cell>
          <cell r="I4">
            <v>1</v>
          </cell>
          <cell r="L4">
            <v>8948</v>
          </cell>
          <cell r="N4">
            <v>1</v>
          </cell>
          <cell r="Q4">
            <v>8491</v>
          </cell>
          <cell r="S4">
            <v>1</v>
          </cell>
          <cell r="V4">
            <v>7874</v>
          </cell>
          <cell r="X4">
            <v>1</v>
          </cell>
          <cell r="AA4">
            <v>7660</v>
          </cell>
          <cell r="AC4">
            <v>1</v>
          </cell>
          <cell r="AF4">
            <v>8480</v>
          </cell>
          <cell r="AJ4" t="str">
            <v>002353 - COGUMELO FATIADO KG</v>
          </cell>
          <cell r="AK4" t="str">
            <v>KG/0001</v>
          </cell>
          <cell r="AL4">
            <v>2353</v>
          </cell>
          <cell r="AM4">
            <v>0</v>
          </cell>
        </row>
        <row r="5">
          <cell r="A5"/>
          <cell r="B5">
            <v>0</v>
          </cell>
          <cell r="C5" t="str">
            <v>NÃO ENCONTRADO</v>
          </cell>
          <cell r="G5">
            <v>7305</v>
          </cell>
          <cell r="I5">
            <v>1</v>
          </cell>
          <cell r="L5">
            <v>0</v>
          </cell>
          <cell r="N5">
            <v>1</v>
          </cell>
          <cell r="Q5">
            <v>0</v>
          </cell>
          <cell r="S5">
            <v>1</v>
          </cell>
          <cell r="V5">
            <v>0</v>
          </cell>
          <cell r="X5">
            <v>1</v>
          </cell>
          <cell r="AA5">
            <v>7305</v>
          </cell>
          <cell r="AC5">
            <v>1</v>
          </cell>
          <cell r="AF5">
            <v>8321</v>
          </cell>
          <cell r="AJ5" t="str">
            <v xml:space="preserve">005877 - COGUMELO INTEIRO KG </v>
          </cell>
          <cell r="AK5" t="str">
            <v>KG/0001</v>
          </cell>
          <cell r="AL5">
            <v>5877</v>
          </cell>
          <cell r="AM5">
            <v>0</v>
          </cell>
        </row>
        <row r="6">
          <cell r="A6"/>
          <cell r="C6"/>
          <cell r="G6"/>
          <cell r="AF6">
            <v>8400</v>
          </cell>
          <cell r="AJ6" t="str">
            <v>002028 - ERVILHA CONGELADA KG</v>
          </cell>
          <cell r="AK6" t="str">
            <v>KG/0001</v>
          </cell>
          <cell r="AL6">
            <v>2028</v>
          </cell>
          <cell r="AM6">
            <v>0</v>
          </cell>
        </row>
        <row r="7">
          <cell r="A7" t="str">
            <v>MACARRÃO</v>
          </cell>
          <cell r="B7">
            <v>8480</v>
          </cell>
          <cell r="C7" t="str">
            <v>008480 - ROTISSERIA MACARRONADA A BOLONHESA BENDITO KG</v>
          </cell>
          <cell r="G7">
            <v>8480</v>
          </cell>
          <cell r="I7">
            <v>0.35</v>
          </cell>
          <cell r="L7">
            <v>8480</v>
          </cell>
          <cell r="N7">
            <v>0.35</v>
          </cell>
          <cell r="Q7">
            <v>8480</v>
          </cell>
          <cell r="S7">
            <v>0.35</v>
          </cell>
          <cell r="V7">
            <v>8480</v>
          </cell>
          <cell r="X7">
            <v>0.35</v>
          </cell>
          <cell r="AA7">
            <v>8900</v>
          </cell>
          <cell r="AC7">
            <v>0.35</v>
          </cell>
          <cell r="AF7">
            <v>9020</v>
          </cell>
          <cell r="AJ7" t="str">
            <v>035607 - ERVILHA LATA 1,7KG</v>
          </cell>
          <cell r="AK7" t="str">
            <v>UN/0001</v>
          </cell>
          <cell r="AL7">
            <v>356077</v>
          </cell>
          <cell r="AM7">
            <v>10</v>
          </cell>
        </row>
        <row r="8">
          <cell r="A8"/>
          <cell r="B8">
            <v>93626</v>
          </cell>
          <cell r="C8" t="str">
            <v>093626 - ROTISSERIA MACARRAO C/BROCOLIS E BACON KG</v>
          </cell>
          <cell r="G8">
            <v>8442</v>
          </cell>
          <cell r="I8">
            <v>0.35</v>
          </cell>
          <cell r="L8">
            <v>8321</v>
          </cell>
          <cell r="N8">
            <v>1</v>
          </cell>
          <cell r="Q8">
            <v>8321</v>
          </cell>
          <cell r="S8">
            <v>1</v>
          </cell>
          <cell r="V8">
            <v>8321</v>
          </cell>
          <cell r="X8">
            <v>1</v>
          </cell>
          <cell r="AA8">
            <v>8480</v>
          </cell>
          <cell r="AC8">
            <v>0.35</v>
          </cell>
          <cell r="AF8"/>
          <cell r="AJ8" t="str">
            <v>007337 -  F. PROPRIA ISCA DE FRANGO A MILANESA  KG</v>
          </cell>
          <cell r="AK8" t="str">
            <v>KG/0001</v>
          </cell>
          <cell r="AL8">
            <v>7337</v>
          </cell>
          <cell r="AM8">
            <v>69.900000000000006</v>
          </cell>
        </row>
        <row r="9">
          <cell r="A9"/>
          <cell r="B9">
            <v>0</v>
          </cell>
          <cell r="C9" t="str">
            <v>NÃO ENCONTRADO</v>
          </cell>
          <cell r="G9">
            <v>9019</v>
          </cell>
          <cell r="I9">
            <v>0</v>
          </cell>
          <cell r="L9">
            <v>9019</v>
          </cell>
          <cell r="N9">
            <v>0</v>
          </cell>
          <cell r="Q9">
            <v>0</v>
          </cell>
          <cell r="S9">
            <v>1</v>
          </cell>
          <cell r="V9">
            <v>0</v>
          </cell>
          <cell r="X9">
            <v>0.35</v>
          </cell>
          <cell r="AA9">
            <v>8321</v>
          </cell>
          <cell r="AC9">
            <v>1</v>
          </cell>
          <cell r="AF9">
            <v>8037</v>
          </cell>
          <cell r="AJ9" t="str">
            <v>006911 - GORDURA VEGETAL PARA FRITADEIRA KG</v>
          </cell>
          <cell r="AK9" t="str">
            <v>KG/0001</v>
          </cell>
          <cell r="AL9">
            <v>6911</v>
          </cell>
          <cell r="AM9">
            <v>10</v>
          </cell>
        </row>
        <row r="10">
          <cell r="A10"/>
          <cell r="C10"/>
          <cell r="G10"/>
          <cell r="AF10">
            <v>8023</v>
          </cell>
          <cell r="AJ10" t="str">
            <v>006270 - HMP SAL KG</v>
          </cell>
          <cell r="AK10" t="str">
            <v>KG/0012</v>
          </cell>
          <cell r="AL10">
            <v>6270</v>
          </cell>
          <cell r="AM10">
            <v>2.4500000000000002</v>
          </cell>
        </row>
        <row r="11">
          <cell r="A11" t="str">
            <v>MONO ARROZ</v>
          </cell>
          <cell r="B11">
            <v>8028</v>
          </cell>
          <cell r="C11" t="str">
            <v>008028 - ROTISSERIA ARROZ BRANCO BENDITO KG</v>
          </cell>
          <cell r="G11">
            <v>8028</v>
          </cell>
          <cell r="I11">
            <v>0.12</v>
          </cell>
          <cell r="L11">
            <v>8028</v>
          </cell>
          <cell r="N11">
            <v>0.12</v>
          </cell>
          <cell r="Q11">
            <v>8028</v>
          </cell>
          <cell r="S11">
            <v>0.15</v>
          </cell>
          <cell r="V11">
            <v>8028</v>
          </cell>
          <cell r="X11">
            <v>0.12</v>
          </cell>
          <cell r="AA11">
            <v>8028</v>
          </cell>
          <cell r="AC11">
            <v>0.12</v>
          </cell>
          <cell r="AF11">
            <v>0</v>
          </cell>
          <cell r="AJ11" t="str">
            <v>006272 - HMP SALSA  KG</v>
          </cell>
          <cell r="AK11" t="str">
            <v>KG/0001</v>
          </cell>
          <cell r="AL11">
            <v>6272</v>
          </cell>
          <cell r="AM11">
            <v>37.950000000000003</v>
          </cell>
        </row>
        <row r="12">
          <cell r="A12"/>
          <cell r="B12">
            <v>0</v>
          </cell>
          <cell r="C12" t="str">
            <v>NÃO ENCONTRADO</v>
          </cell>
          <cell r="G12">
            <v>346</v>
          </cell>
          <cell r="I12">
            <v>0</v>
          </cell>
          <cell r="L12">
            <v>346</v>
          </cell>
          <cell r="N12">
            <v>0</v>
          </cell>
          <cell r="Q12">
            <v>0</v>
          </cell>
          <cell r="S12">
            <v>1</v>
          </cell>
          <cell r="V12">
            <v>0</v>
          </cell>
          <cell r="X12">
            <v>1</v>
          </cell>
          <cell r="AA12">
            <v>346</v>
          </cell>
          <cell r="AC12">
            <v>0</v>
          </cell>
          <cell r="AF12"/>
          <cell r="AJ12" t="str">
            <v>006268 - HMP VINAGRE KG</v>
          </cell>
          <cell r="AK12" t="str">
            <v>KG/0012</v>
          </cell>
          <cell r="AL12">
            <v>6268</v>
          </cell>
          <cell r="AM12">
            <v>5</v>
          </cell>
        </row>
        <row r="13">
          <cell r="A13"/>
          <cell r="C13"/>
          <cell r="G13"/>
          <cell r="AF13">
            <v>6857</v>
          </cell>
          <cell r="AJ13" t="str">
            <v>007581 - MEDALHAO QUIABO COM BACON BENDITO KG</v>
          </cell>
          <cell r="AK13" t="str">
            <v>KG/0001</v>
          </cell>
          <cell r="AL13">
            <v>7581</v>
          </cell>
          <cell r="AM13">
            <v>59.9</v>
          </cell>
        </row>
        <row r="14">
          <cell r="A14" t="str">
            <v>MONO FEIJÃO</v>
          </cell>
          <cell r="B14">
            <v>8328</v>
          </cell>
          <cell r="C14" t="str">
            <v>008328 - ROTISSERIA FEIJAO BENDITO KG</v>
          </cell>
          <cell r="G14">
            <v>8328</v>
          </cell>
          <cell r="I14">
            <v>0.18</v>
          </cell>
          <cell r="L14">
            <v>8328</v>
          </cell>
          <cell r="N14">
            <v>0.18</v>
          </cell>
          <cell r="Q14">
            <v>8328</v>
          </cell>
          <cell r="S14">
            <v>0.15</v>
          </cell>
          <cell r="V14">
            <v>8328</v>
          </cell>
          <cell r="X14">
            <v>0.18</v>
          </cell>
          <cell r="AA14">
            <v>8328</v>
          </cell>
          <cell r="AC14">
            <v>0.18</v>
          </cell>
          <cell r="AF14">
            <v>8482</v>
          </cell>
          <cell r="AJ14" t="str">
            <v>003361 - MILHO VERDE EM CONSERVA LATA 1,7KG (COLOCAR PRECO KG)</v>
          </cell>
          <cell r="AK14" t="str">
            <v>KG/0001</v>
          </cell>
          <cell r="AL14">
            <v>3361</v>
          </cell>
          <cell r="AM14">
            <v>0</v>
          </cell>
        </row>
        <row r="15">
          <cell r="A15"/>
          <cell r="B15">
            <v>10</v>
          </cell>
          <cell r="C15" t="str">
            <v>NÃO ENCONTRADO</v>
          </cell>
          <cell r="G15">
            <v>0</v>
          </cell>
          <cell r="I15">
            <v>0</v>
          </cell>
          <cell r="L15">
            <v>0</v>
          </cell>
          <cell r="N15">
            <v>0</v>
          </cell>
          <cell r="Q15">
            <v>0</v>
          </cell>
          <cell r="S15">
            <v>0</v>
          </cell>
          <cell r="V15">
            <v>0</v>
          </cell>
          <cell r="X15">
            <v>0</v>
          </cell>
          <cell r="AA15">
            <v>8336</v>
          </cell>
          <cell r="AC15">
            <v>0.35</v>
          </cell>
          <cell r="AF15">
            <v>1</v>
          </cell>
          <cell r="AJ15" t="str">
            <v>007570 - MOLHO PESTO BENDITO KG</v>
          </cell>
          <cell r="AK15" t="str">
            <v>KG/0001</v>
          </cell>
          <cell r="AL15">
            <v>7570</v>
          </cell>
          <cell r="AM15">
            <v>149.9</v>
          </cell>
        </row>
        <row r="16">
          <cell r="A16"/>
          <cell r="C16"/>
          <cell r="G16"/>
          <cell r="AF16"/>
          <cell r="AJ16" t="str">
            <v>009177 - MP ALGA P/SUSHI KG</v>
          </cell>
          <cell r="AK16" t="str">
            <v>KG/0001</v>
          </cell>
          <cell r="AL16">
            <v>9177</v>
          </cell>
          <cell r="AM16">
            <v>1.69</v>
          </cell>
        </row>
        <row r="17">
          <cell r="A17" t="str">
            <v>MONO GUARNIÇÃO</v>
          </cell>
          <cell r="B17">
            <v>8089</v>
          </cell>
          <cell r="C17" t="str">
            <v>008089 - ROTISSERIA BATATA ASSADA BENDITO KG</v>
          </cell>
          <cell r="G17">
            <v>8080</v>
          </cell>
          <cell r="I17">
            <v>0.12</v>
          </cell>
          <cell r="L17">
            <v>8292</v>
          </cell>
          <cell r="N17">
            <v>0.15</v>
          </cell>
          <cell r="Q17">
            <v>8598</v>
          </cell>
          <cell r="S17">
            <v>0.15</v>
          </cell>
          <cell r="V17">
            <v>8279</v>
          </cell>
          <cell r="X17">
            <v>0.15</v>
          </cell>
          <cell r="AA17">
            <v>8292</v>
          </cell>
          <cell r="AC17">
            <v>0.15</v>
          </cell>
          <cell r="AF17">
            <v>6873</v>
          </cell>
          <cell r="AJ17" t="str">
            <v>009167 - MP ARROZ JAPONES KG</v>
          </cell>
          <cell r="AK17" t="str">
            <v>KG/0001</v>
          </cell>
          <cell r="AL17">
            <v>9167</v>
          </cell>
          <cell r="AM17">
            <v>8.1</v>
          </cell>
        </row>
        <row r="18">
          <cell r="A18"/>
          <cell r="B18">
            <v>8598</v>
          </cell>
          <cell r="C18" t="str">
            <v>008598 - ROTISSERIA PURE DE BATATA BENDITO KG</v>
          </cell>
          <cell r="G18">
            <v>8089</v>
          </cell>
          <cell r="I18">
            <v>0.12</v>
          </cell>
          <cell r="L18">
            <v>8391</v>
          </cell>
          <cell r="N18">
            <v>0.08</v>
          </cell>
          <cell r="Q18">
            <v>8080</v>
          </cell>
          <cell r="S18">
            <v>0.12</v>
          </cell>
          <cell r="V18">
            <v>8089</v>
          </cell>
          <cell r="X18">
            <v>0.15</v>
          </cell>
          <cell r="AA18">
            <v>8391</v>
          </cell>
          <cell r="AC18">
            <v>0.08</v>
          </cell>
          <cell r="AF18">
            <v>0</v>
          </cell>
          <cell r="AJ18" t="str">
            <v>009196 - MP FARINHA PANKO KG</v>
          </cell>
          <cell r="AK18" t="str">
            <v>KG/0001</v>
          </cell>
          <cell r="AL18">
            <v>9196</v>
          </cell>
          <cell r="AM18">
            <v>14.12</v>
          </cell>
        </row>
        <row r="19">
          <cell r="A19"/>
          <cell r="B19">
            <v>8403</v>
          </cell>
          <cell r="C19" t="str">
            <v>008403 - ROTISSERIA LEGUMES BENDITO KG</v>
          </cell>
          <cell r="G19">
            <v>8598</v>
          </cell>
          <cell r="I19">
            <v>0.12</v>
          </cell>
          <cell r="L19">
            <v>8153</v>
          </cell>
          <cell r="N19">
            <v>0.08</v>
          </cell>
          <cell r="Q19">
            <v>8323</v>
          </cell>
          <cell r="S19">
            <v>0.12</v>
          </cell>
          <cell r="V19">
            <v>8292</v>
          </cell>
          <cell r="X19">
            <v>0</v>
          </cell>
          <cell r="AA19">
            <v>8153</v>
          </cell>
          <cell r="AC19">
            <v>0.1</v>
          </cell>
          <cell r="AF19">
            <v>0</v>
          </cell>
          <cell r="AJ19" t="str">
            <v>009197 - MP MOLHO AGRIDOCE KG</v>
          </cell>
          <cell r="AK19" t="str">
            <v>KG/0001</v>
          </cell>
          <cell r="AL19">
            <v>9197</v>
          </cell>
          <cell r="AM19">
            <v>4.82</v>
          </cell>
        </row>
        <row r="20">
          <cell r="A20"/>
          <cell r="C20"/>
          <cell r="G20"/>
          <cell r="AF20"/>
          <cell r="AJ20" t="str">
            <v>009199 - MP MOLHO SHOYU KG</v>
          </cell>
          <cell r="AK20" t="str">
            <v>KG/0001</v>
          </cell>
          <cell r="AL20">
            <v>9199</v>
          </cell>
          <cell r="AM20">
            <v>0.17</v>
          </cell>
        </row>
        <row r="21">
          <cell r="A21" t="str">
            <v>MONO PROTEINAS</v>
          </cell>
          <cell r="B21">
            <v>8409</v>
          </cell>
          <cell r="C21" t="str">
            <v>008409 - ROTISSERIA LINGUICA ASSADA BENDITO KG</v>
          </cell>
          <cell r="G21">
            <v>8491</v>
          </cell>
          <cell r="I21">
            <v>0.15</v>
          </cell>
          <cell r="L21">
            <v>8349</v>
          </cell>
          <cell r="N21">
            <v>0.15</v>
          </cell>
          <cell r="Q21">
            <v>8804</v>
          </cell>
          <cell r="S21">
            <v>0.2</v>
          </cell>
          <cell r="V21">
            <v>8381</v>
          </cell>
          <cell r="X21">
            <v>0.15</v>
          </cell>
          <cell r="AA21">
            <v>8361</v>
          </cell>
          <cell r="AC21">
            <v>1</v>
          </cell>
          <cell r="AF21" t="str">
            <v>COD</v>
          </cell>
          <cell r="AJ21" t="str">
            <v>009178 - MP MOLHO TARE KG</v>
          </cell>
          <cell r="AK21" t="str">
            <v>KG/0001</v>
          </cell>
          <cell r="AL21">
            <v>9178</v>
          </cell>
          <cell r="AM21">
            <v>20.75</v>
          </cell>
        </row>
        <row r="22">
          <cell r="A22"/>
          <cell r="B22">
            <v>8945</v>
          </cell>
          <cell r="C22" t="str">
            <v>008945 - ROT.ISCA DE FRANGO A MILANESA BENDITO KG</v>
          </cell>
          <cell r="V22">
            <v>8834</v>
          </cell>
          <cell r="X22">
            <v>0.15</v>
          </cell>
          <cell r="AC22">
            <v>0.12</v>
          </cell>
          <cell r="AF22">
            <v>93583</v>
          </cell>
          <cell r="AJ22"/>
          <cell r="AK22"/>
          <cell r="AL22"/>
          <cell r="AM22"/>
        </row>
        <row r="23">
          <cell r="A23"/>
          <cell r="B23">
            <v>8396</v>
          </cell>
          <cell r="C23" t="str">
            <v>008396 - ROTISSERIA LAGARTO AO MOLHO MADEIRA BENDITO KG</v>
          </cell>
          <cell r="G23">
            <v>8231</v>
          </cell>
          <cell r="I23"/>
          <cell r="L23"/>
          <cell r="N23"/>
          <cell r="Q23"/>
          <cell r="S23"/>
          <cell r="V23"/>
          <cell r="X23"/>
          <cell r="AA23"/>
          <cell r="AC23"/>
          <cell r="AF23"/>
          <cell r="AJ23"/>
          <cell r="AK23"/>
          <cell r="AL23"/>
          <cell r="AM23"/>
        </row>
        <row r="24">
          <cell r="A24"/>
          <cell r="C24" t="str">
            <v>008945 - ROT.ISCA DE FRANGO A MILANESA BENDITO KG</v>
          </cell>
          <cell r="G24">
            <v>8837</v>
          </cell>
          <cell r="I24">
            <v>0.15</v>
          </cell>
          <cell r="L24">
            <v>8284</v>
          </cell>
          <cell r="N24">
            <v>0.15</v>
          </cell>
          <cell r="Q24">
            <v>8519</v>
          </cell>
          <cell r="S24">
            <v>0</v>
          </cell>
          <cell r="AA24">
            <v>8298</v>
          </cell>
          <cell r="AF24">
            <v>2893</v>
          </cell>
          <cell r="AJ24" t="str">
            <v>002753 - OLEO COMP.SOJA/AZEITE GALAO (COLOCAR PRECO POR LITRO)</v>
          </cell>
          <cell r="AK24" t="str">
            <v>KG/0005</v>
          </cell>
          <cell r="AL24">
            <v>2753</v>
          </cell>
          <cell r="AM24">
            <v>0</v>
          </cell>
        </row>
        <row r="25">
          <cell r="A25"/>
          <cell r="B25"/>
          <cell r="C25"/>
          <cell r="G25"/>
          <cell r="X25"/>
          <cell r="AA25"/>
          <cell r="AC25"/>
          <cell r="AF25">
            <v>93964</v>
          </cell>
          <cell r="AJ25" t="str">
            <v>006671 - OLEO DE ALGODAO GALAO (PRECO POR LITRO)</v>
          </cell>
          <cell r="AK25" t="str">
            <v>KG/0001</v>
          </cell>
          <cell r="AL25">
            <v>6671</v>
          </cell>
          <cell r="AM25">
            <v>99.99</v>
          </cell>
        </row>
        <row r="26">
          <cell r="A26" t="str">
            <v>SALADAS COZIDAS</v>
          </cell>
          <cell r="B26">
            <v>8221</v>
          </cell>
          <cell r="C26" t="str">
            <v>008221 - ROTISSERIA CAPONATA BERINJELA BENDITO KG</v>
          </cell>
          <cell r="G26">
            <v>8695</v>
          </cell>
          <cell r="I26">
            <v>0.35</v>
          </cell>
          <cell r="L26">
            <v>8690</v>
          </cell>
          <cell r="N26">
            <v>0.35</v>
          </cell>
          <cell r="Q26">
            <v>8671</v>
          </cell>
          <cell r="S26">
            <v>0.35</v>
          </cell>
          <cell r="V26">
            <v>0</v>
          </cell>
          <cell r="X26">
            <v>0</v>
          </cell>
          <cell r="AA26">
            <v>0</v>
          </cell>
          <cell r="AC26">
            <v>0</v>
          </cell>
          <cell r="AF26">
            <v>8484</v>
          </cell>
          <cell r="AJ26" t="str">
            <v>035544 - OLEO SOJA GALAO (COLOCAR PRECO POR LITRO)</v>
          </cell>
          <cell r="AK26" t="str">
            <v>UN/0001</v>
          </cell>
          <cell r="AL26">
            <v>355445</v>
          </cell>
          <cell r="AM26">
            <v>30</v>
          </cell>
        </row>
        <row r="27">
          <cell r="A27"/>
          <cell r="C27" t="str">
            <v>008789 - ROTISSERIA SALADA SUNOMONO BENDITOKG</v>
          </cell>
          <cell r="I27">
            <v>0.35</v>
          </cell>
          <cell r="N27">
            <v>0.35</v>
          </cell>
          <cell r="Q27">
            <v>8839</v>
          </cell>
          <cell r="S27">
            <v>0.35</v>
          </cell>
          <cell r="AF27">
            <v>8274</v>
          </cell>
          <cell r="AJ27" t="str">
            <v>001895 - OLEO SOJA  LT (GALAO)</v>
          </cell>
          <cell r="AK27" t="str">
            <v>KG/0001</v>
          </cell>
          <cell r="AL27">
            <v>1895</v>
          </cell>
          <cell r="AM27">
            <v>0</v>
          </cell>
        </row>
        <row r="28">
          <cell r="A28" t="str">
            <v>SALDAS PROTEICAS/C.JAPONESA</v>
          </cell>
          <cell r="C28" t="str">
            <v>PRODUTO</v>
          </cell>
          <cell r="G28" t="str">
            <v>COD</v>
          </cell>
          <cell r="I28" t="str">
            <v>PESO  P/PCT</v>
          </cell>
          <cell r="Q28" t="str">
            <v>COD</v>
          </cell>
          <cell r="V28" t="str">
            <v>COD</v>
          </cell>
          <cell r="X28" t="str">
            <v>PESO  P/PCT</v>
          </cell>
          <cell r="AA28" t="str">
            <v>COD</v>
          </cell>
          <cell r="AC28" t="str">
            <v>PESO  P/PCT</v>
          </cell>
          <cell r="AJ28" t="str">
            <v>102365 - PADARIA TABUA DE FRIOS  KG</v>
          </cell>
          <cell r="AK28" t="str">
            <v>KG/0001</v>
          </cell>
          <cell r="AL28">
            <v>102365</v>
          </cell>
          <cell r="AM28">
            <v>35.9</v>
          </cell>
        </row>
        <row r="29">
          <cell r="A29" t="str">
            <v>SALADAS PRÓTEICAS</v>
          </cell>
          <cell r="C29" t="str">
            <v>008963 - ROTISSERIA SALADA CEASER C/FRANGO BENDITO</v>
          </cell>
          <cell r="G29">
            <v>8963</v>
          </cell>
          <cell r="I29">
            <v>1</v>
          </cell>
          <cell r="L29">
            <v>8963</v>
          </cell>
          <cell r="N29">
            <v>1</v>
          </cell>
          <cell r="Q29">
            <v>8963</v>
          </cell>
          <cell r="V29">
            <v>8963</v>
          </cell>
          <cell r="AA29">
            <v>2893</v>
          </cell>
          <cell r="AC29">
            <v>1</v>
          </cell>
          <cell r="AJ29" t="str">
            <v>002173 - PALMITO PUPUNHA PICADO KG</v>
          </cell>
          <cell r="AK29" t="str">
            <v>KG/0001</v>
          </cell>
          <cell r="AL29">
            <v>2173</v>
          </cell>
          <cell r="AM29">
            <v>0</v>
          </cell>
        </row>
        <row r="30">
          <cell r="A30"/>
          <cell r="C30" t="str">
            <v>008962 - ROTISSERIA SALADA MIX DE FOLHA E LEGUMES C/PROTEINAS BENDITO</v>
          </cell>
          <cell r="G30">
            <v>8962</v>
          </cell>
          <cell r="I30">
            <v>0</v>
          </cell>
          <cell r="L30">
            <v>8962</v>
          </cell>
          <cell r="N30">
            <v>1</v>
          </cell>
          <cell r="Q30">
            <v>0</v>
          </cell>
          <cell r="V30">
            <v>0</v>
          </cell>
          <cell r="AA30">
            <v>8484</v>
          </cell>
          <cell r="AC30">
            <v>0.65</v>
          </cell>
          <cell r="AJ30" t="str">
            <v xml:space="preserve">007573 - PATE DE ATUM BENDITO KG </v>
          </cell>
          <cell r="AK30" t="str">
            <v>KG/0001</v>
          </cell>
          <cell r="AL30">
            <v>7573</v>
          </cell>
          <cell r="AM30">
            <v>59.9</v>
          </cell>
        </row>
        <row r="31">
          <cell r="A31"/>
          <cell r="C31" t="str">
            <v>NÃO ENCONTRADO</v>
          </cell>
          <cell r="L31">
            <v>0</v>
          </cell>
          <cell r="N31">
            <v>0</v>
          </cell>
          <cell r="Q31">
            <v>0</v>
          </cell>
          <cell r="AA31">
            <v>8523</v>
          </cell>
          <cell r="AC31">
            <v>0.35</v>
          </cell>
          <cell r="AJ31" t="str">
            <v xml:space="preserve">007574 - PATE DE AZEITONA PRETA BENDITO KG </v>
          </cell>
          <cell r="AK31" t="str">
            <v>KG/0001</v>
          </cell>
          <cell r="AL31">
            <v>7574</v>
          </cell>
          <cell r="AM31">
            <v>99.9</v>
          </cell>
        </row>
        <row r="32">
          <cell r="A32"/>
          <cell r="C32"/>
          <cell r="G32"/>
          <cell r="I32"/>
          <cell r="Q32"/>
          <cell r="V32"/>
          <cell r="AA32">
            <v>0</v>
          </cell>
          <cell r="AC32">
            <v>0</v>
          </cell>
          <cell r="AJ32" t="str">
            <v>007575 - PATE DE AZEITONA VERDE BENDITO KG</v>
          </cell>
          <cell r="AK32" t="str">
            <v>KG/0001</v>
          </cell>
          <cell r="AL32">
            <v>7575</v>
          </cell>
          <cell r="AM32">
            <v>79.900000000000006</v>
          </cell>
        </row>
        <row r="33">
          <cell r="A33" t="str">
            <v>SUSHI</v>
          </cell>
          <cell r="C33" t="str">
            <v>009124 - ROTISSERIA HOT HOLL BENDITO UN</v>
          </cell>
          <cell r="G33">
            <v>9123</v>
          </cell>
          <cell r="I33">
            <v>1</v>
          </cell>
          <cell r="L33">
            <v>9124</v>
          </cell>
          <cell r="N33">
            <v>1</v>
          </cell>
          <cell r="Q33">
            <v>9123</v>
          </cell>
          <cell r="V33">
            <v>9119</v>
          </cell>
          <cell r="AA33">
            <v>0</v>
          </cell>
          <cell r="AC33">
            <v>0</v>
          </cell>
          <cell r="AJ33" t="str">
            <v xml:space="preserve">007576 - PATE DE GORGONZOLA BENDITO KG </v>
          </cell>
          <cell r="AK33" t="str">
            <v>KG/0001</v>
          </cell>
          <cell r="AL33">
            <v>7576</v>
          </cell>
          <cell r="AM33">
            <v>79.900000000000006</v>
          </cell>
        </row>
        <row r="34">
          <cell r="A34"/>
          <cell r="C34" t="str">
            <v xml:space="preserve">009119 - ROTISSERIA CALIFORNIA BENDITO UN </v>
          </cell>
          <cell r="G34">
            <v>0</v>
          </cell>
          <cell r="I34">
            <v>0</v>
          </cell>
          <cell r="L34">
            <v>9119</v>
          </cell>
          <cell r="N34">
            <v>1</v>
          </cell>
          <cell r="Q34">
            <v>0</v>
          </cell>
          <cell r="V34">
            <v>9124</v>
          </cell>
          <cell r="AA34">
            <v>0</v>
          </cell>
          <cell r="AC34">
            <v>0</v>
          </cell>
          <cell r="AJ34" t="str">
            <v xml:space="preserve">008079 - PATE DE NOZES BENDITO KG </v>
          </cell>
          <cell r="AK34" t="str">
            <v>KG/0001</v>
          </cell>
          <cell r="AL34">
            <v>8079</v>
          </cell>
          <cell r="AM34">
            <v>99.9</v>
          </cell>
        </row>
        <row r="35">
          <cell r="A35"/>
          <cell r="C35" t="str">
            <v>NÃO ENCONTRADO</v>
          </cell>
          <cell r="L35">
            <v>0</v>
          </cell>
          <cell r="N35">
            <v>0</v>
          </cell>
          <cell r="Q35">
            <v>0</v>
          </cell>
          <cell r="AJ35" t="str">
            <v>007580 - PATE DE TOMATE SECO BENDITO KG</v>
          </cell>
          <cell r="AK35" t="str">
            <v>KG/0001</v>
          </cell>
          <cell r="AL35">
            <v>7580</v>
          </cell>
          <cell r="AM35">
            <v>79.900000000000006</v>
          </cell>
        </row>
        <row r="36">
          <cell r="A36"/>
          <cell r="C36"/>
          <cell r="G36"/>
          <cell r="I36"/>
          <cell r="Q36"/>
          <cell r="V36"/>
          <cell r="AJ36" t="str">
            <v>007582 - PRATO EXECUTIVO FIT BENDITO UND</v>
          </cell>
          <cell r="AK36" t="str">
            <v>UN/0001</v>
          </cell>
          <cell r="AL36">
            <v>7582</v>
          </cell>
          <cell r="AM36">
            <v>19.899999999999999</v>
          </cell>
        </row>
        <row r="37">
          <cell r="A37" t="str">
            <v>POKE/TEMAKI</v>
          </cell>
          <cell r="C37" t="str">
            <v>009129 - ROTISSERIA SALADA POKE DE SHIMEJI BENDITO UN</v>
          </cell>
          <cell r="G37">
            <v>9289</v>
          </cell>
          <cell r="I37">
            <v>1</v>
          </cell>
          <cell r="L37">
            <v>0</v>
          </cell>
          <cell r="N37">
            <v>0</v>
          </cell>
          <cell r="Q37">
            <v>9289</v>
          </cell>
          <cell r="V37">
            <v>9129</v>
          </cell>
          <cell r="AJ37" t="str">
            <v>007930 - REF COPA LOMBO ACEBOLADA BENDITO</v>
          </cell>
          <cell r="AK37" t="str">
            <v>UN/0001</v>
          </cell>
          <cell r="AL37">
            <v>7930</v>
          </cell>
          <cell r="AM37">
            <v>23.9</v>
          </cell>
        </row>
        <row r="38">
          <cell r="A38"/>
          <cell r="B38">
            <v>0</v>
          </cell>
          <cell r="C38" t="str">
            <v>NÃO ENCONTRADO</v>
          </cell>
          <cell r="G38">
            <v>0</v>
          </cell>
          <cell r="I38">
            <v>0</v>
          </cell>
          <cell r="L38">
            <v>0</v>
          </cell>
          <cell r="N38">
            <v>0</v>
          </cell>
          <cell r="Q38">
            <v>0</v>
          </cell>
          <cell r="V38">
            <v>0</v>
          </cell>
          <cell r="AA38" t="str">
            <v>COD</v>
          </cell>
          <cell r="AC38" t="str">
            <v>PESO  P/PCT</v>
          </cell>
          <cell r="AJ38" t="str">
            <v xml:space="preserve">008948 - REF COPA LOMBO SUINA MILANESA BENDITO </v>
          </cell>
          <cell r="AK38" t="str">
            <v>UN/0001</v>
          </cell>
          <cell r="AL38">
            <v>8948</v>
          </cell>
          <cell r="AM38">
            <v>23.9</v>
          </cell>
        </row>
        <row r="39">
          <cell r="A39"/>
          <cell r="B39">
            <v>90</v>
          </cell>
          <cell r="C39" t="str">
            <v>NÃO ENCONTRADO</v>
          </cell>
          <cell r="L39">
            <v>0</v>
          </cell>
          <cell r="N39">
            <v>0</v>
          </cell>
          <cell r="Q39">
            <v>0</v>
          </cell>
          <cell r="AA39">
            <v>8963</v>
          </cell>
          <cell r="AC39">
            <v>1</v>
          </cell>
          <cell r="AJ39" t="str">
            <v>007590 - REFEICAO ALMONDEGA BENDITO UN</v>
          </cell>
          <cell r="AK39" t="str">
            <v>UN/0001</v>
          </cell>
          <cell r="AL39">
            <v>7590</v>
          </cell>
          <cell r="AM39">
            <v>19.899999999999999</v>
          </cell>
        </row>
        <row r="40">
          <cell r="A40" t="str">
            <v>MASSAS/PATES/MOLHOS/ETC</v>
          </cell>
          <cell r="C40" t="str">
            <v>PRODUTO</v>
          </cell>
          <cell r="G40" t="str">
            <v>COD</v>
          </cell>
          <cell r="I40" t="str">
            <v>PESO  P/PCT</v>
          </cell>
          <cell r="Q40" t="str">
            <v>COD</v>
          </cell>
          <cell r="S40" t="str">
            <v>PESO  P/PCT</v>
          </cell>
          <cell r="V40" t="str">
            <v>COD</v>
          </cell>
          <cell r="X40" t="str">
            <v>PESO  P/PCT</v>
          </cell>
          <cell r="AA40">
            <v>0</v>
          </cell>
          <cell r="AC40">
            <v>0</v>
          </cell>
          <cell r="AJ40" t="str">
            <v>007602 - REFEICAO ARROZ E FILE FRANGO MILANESA BENDITO UN</v>
          </cell>
          <cell r="AK40" t="str">
            <v>UN/0001</v>
          </cell>
          <cell r="AL40">
            <v>7602</v>
          </cell>
          <cell r="AM40">
            <v>19.899999999999999</v>
          </cell>
        </row>
        <row r="41">
          <cell r="A41" t="str">
            <v>MASSAS</v>
          </cell>
          <cell r="B41">
            <v>8307</v>
          </cell>
          <cell r="C41" t="str">
            <v>008307 - ROTISSERIA ESCONDIDINHO DE CARNE SECA BENDITO KG</v>
          </cell>
          <cell r="G41">
            <v>6878</v>
          </cell>
          <cell r="I41">
            <v>0.25</v>
          </cell>
          <cell r="L41">
            <v>8400</v>
          </cell>
          <cell r="N41">
            <v>0.4</v>
          </cell>
          <cell r="Q41">
            <v>8571</v>
          </cell>
          <cell r="S41">
            <v>0.45</v>
          </cell>
          <cell r="V41">
            <v>8400</v>
          </cell>
          <cell r="X41">
            <v>0.45</v>
          </cell>
          <cell r="AJ41" t="str">
            <v>007606 - REFEICAO BIFE ACEBOLADO BENDITO UN</v>
          </cell>
          <cell r="AK41" t="str">
            <v>UN/0001</v>
          </cell>
          <cell r="AL41">
            <v>7606</v>
          </cell>
          <cell r="AM41">
            <v>23.9</v>
          </cell>
        </row>
        <row r="42">
          <cell r="A42"/>
          <cell r="B42">
            <v>8316</v>
          </cell>
          <cell r="C42" t="str">
            <v>008316 - ROTISSERIA ESCONDIDINHO FRANGO BENDITO KG</v>
          </cell>
          <cell r="G42">
            <v>6879</v>
          </cell>
          <cell r="I42">
            <v>0.25</v>
          </cell>
          <cell r="L42">
            <v>8316</v>
          </cell>
          <cell r="N42">
            <v>0.4</v>
          </cell>
          <cell r="Q42">
            <v>6878</v>
          </cell>
          <cell r="S42">
            <v>0.45</v>
          </cell>
          <cell r="V42">
            <v>8316</v>
          </cell>
          <cell r="X42">
            <v>0.45</v>
          </cell>
          <cell r="AA42"/>
          <cell r="AC42"/>
          <cell r="AJ42" t="str">
            <v>007608 - REFEICAO BIFE A PARMEGIANA BENDITO UN</v>
          </cell>
          <cell r="AK42" t="str">
            <v>UN/0001</v>
          </cell>
          <cell r="AL42">
            <v>7608</v>
          </cell>
          <cell r="AM42">
            <v>29.9</v>
          </cell>
        </row>
        <row r="43">
          <cell r="B43"/>
          <cell r="G43"/>
          <cell r="I43"/>
          <cell r="L43"/>
          <cell r="N43"/>
          <cell r="Q43"/>
          <cell r="S43"/>
          <cell r="V43">
            <v>6960</v>
          </cell>
          <cell r="X43">
            <v>0.45</v>
          </cell>
          <cell r="AA43"/>
          <cell r="AC43"/>
          <cell r="AJ43"/>
          <cell r="AK43"/>
          <cell r="AL43"/>
          <cell r="AM43"/>
        </row>
        <row r="44">
          <cell r="B44">
            <v>8333</v>
          </cell>
          <cell r="L44">
            <v>6960</v>
          </cell>
          <cell r="N44">
            <v>0.4</v>
          </cell>
          <cell r="Q44">
            <v>8333</v>
          </cell>
          <cell r="V44">
            <v>8663</v>
          </cell>
          <cell r="X44"/>
          <cell r="AA44">
            <v>9123</v>
          </cell>
          <cell r="AC44">
            <v>1</v>
          </cell>
          <cell r="AJ44" t="str">
            <v>007607 - REFEICAO BIFE A ROLE BENDITO UN</v>
          </cell>
          <cell r="AK44" t="str">
            <v>UN/0001</v>
          </cell>
          <cell r="AL44">
            <v>7607</v>
          </cell>
          <cell r="AM44">
            <v>19.899999999999999</v>
          </cell>
        </row>
        <row r="45">
          <cell r="L45"/>
          <cell r="Q45"/>
          <cell r="V45"/>
          <cell r="X45"/>
          <cell r="AJ45" t="str">
            <v>007609 - REFEICAO CARNE ASSADA BENDITO UN</v>
          </cell>
          <cell r="AK45" t="str">
            <v>UN/0001</v>
          </cell>
          <cell r="AL45">
            <v>7609</v>
          </cell>
          <cell r="AM45">
            <v>26.9</v>
          </cell>
        </row>
        <row r="46">
          <cell r="B46"/>
          <cell r="G46">
            <v>9075</v>
          </cell>
          <cell r="I46">
            <v>0.25</v>
          </cell>
          <cell r="L46">
            <v>7575</v>
          </cell>
          <cell r="N46">
            <v>0.15</v>
          </cell>
          <cell r="Q46">
            <v>7570</v>
          </cell>
          <cell r="V46">
            <v>0</v>
          </cell>
          <cell r="X46">
            <v>4</v>
          </cell>
          <cell r="AA46">
            <v>0</v>
          </cell>
          <cell r="AC46">
            <v>0</v>
          </cell>
          <cell r="AJ46" t="str">
            <v>007610 - REFEICAO CARNE BOV+LINGUICA UND - REDONDA BENDITO</v>
          </cell>
          <cell r="AK46" t="str">
            <v>UN/0001</v>
          </cell>
          <cell r="AL46">
            <v>7610</v>
          </cell>
          <cell r="AM46">
            <v>25.9</v>
          </cell>
        </row>
        <row r="47">
          <cell r="B47">
            <v>8386</v>
          </cell>
          <cell r="G47"/>
          <cell r="L47">
            <v>7576</v>
          </cell>
          <cell r="N47">
            <v>0.15</v>
          </cell>
          <cell r="Q47">
            <v>0</v>
          </cell>
          <cell r="V47">
            <v>0</v>
          </cell>
          <cell r="X47">
            <v>5</v>
          </cell>
          <cell r="AJ47" t="str">
            <v>007621 - REFEICAO CARNE MOIDA C/LEGUMES BENDITO UN</v>
          </cell>
          <cell r="AK47" t="str">
            <v>UN/0001</v>
          </cell>
          <cell r="AL47">
            <v>7621</v>
          </cell>
          <cell r="AM47">
            <v>21.9</v>
          </cell>
        </row>
        <row r="48">
          <cell r="B48">
            <v>8551</v>
          </cell>
          <cell r="G48">
            <v>0</v>
          </cell>
          <cell r="L48">
            <v>8079</v>
          </cell>
          <cell r="N48">
            <v>0.15</v>
          </cell>
          <cell r="Q48">
            <v>0</v>
          </cell>
          <cell r="AJ48" t="str">
            <v>007625 - REFEICAO CARNE PANELA BENDITO UN</v>
          </cell>
          <cell r="AK48" t="str">
            <v>UN/0001</v>
          </cell>
          <cell r="AL48">
            <v>7625</v>
          </cell>
          <cell r="AM48">
            <v>24.9</v>
          </cell>
        </row>
        <row r="49">
          <cell r="B49">
            <v>8498</v>
          </cell>
          <cell r="G49">
            <v>0</v>
          </cell>
          <cell r="N49">
            <v>0.15</v>
          </cell>
          <cell r="Q49">
            <v>0</v>
          </cell>
          <cell r="AJ49" t="str">
            <v>035999 - REFEICAO CARNE PANELA BENDITO UN</v>
          </cell>
          <cell r="AK49" t="str">
            <v>UN/0001</v>
          </cell>
          <cell r="AL49">
            <v>359993</v>
          </cell>
          <cell r="AM49">
            <v>19.899999999999999</v>
          </cell>
        </row>
        <row r="50">
          <cell r="AA50">
            <v>0</v>
          </cell>
          <cell r="AJ50" t="str">
            <v>007623 - REFEICAO CARNE PANELA REDONDA BENDITO</v>
          </cell>
          <cell r="AK50" t="str">
            <v>UN/0001</v>
          </cell>
          <cell r="AL50">
            <v>7623</v>
          </cell>
          <cell r="AM50">
            <v>22.9</v>
          </cell>
        </row>
        <row r="51">
          <cell r="AA51" t="str">
            <v>COD</v>
          </cell>
          <cell r="AJ51" t="str">
            <v>035998 - REFEICAO CARNE PANELA REDONDA BENDITO</v>
          </cell>
          <cell r="AK51" t="str">
            <v>UN/0001</v>
          </cell>
          <cell r="AL51">
            <v>359986</v>
          </cell>
          <cell r="AM51">
            <v>25.9</v>
          </cell>
        </row>
        <row r="52">
          <cell r="AA52">
            <v>0</v>
          </cell>
          <cell r="AJ52" t="str">
            <v>007628 - REFEICAO COPA LOMBO ASSADO E LINGUICA REDONDA BENDITO</v>
          </cell>
          <cell r="AK52" t="str">
            <v>UN/0001</v>
          </cell>
          <cell r="AL52">
            <v>7628</v>
          </cell>
          <cell r="AM52">
            <v>24.9</v>
          </cell>
        </row>
        <row r="53">
          <cell r="AA53">
            <v>0</v>
          </cell>
          <cell r="AJ53" t="str">
            <v>007646 - REFEICAO COSTELA C.MANDIOCA UND - REDONDA BENDITO</v>
          </cell>
          <cell r="AK53" t="str">
            <v>UN/0001</v>
          </cell>
          <cell r="AL53">
            <v>7646</v>
          </cell>
          <cell r="AM53">
            <v>24.9</v>
          </cell>
        </row>
        <row r="54">
          <cell r="AA54">
            <v>0</v>
          </cell>
          <cell r="AJ54" t="str">
            <v>007647 - REFEICAO COSTELINHA PORCO ASSADA BENDITO UN</v>
          </cell>
          <cell r="AK54" t="str">
            <v>UN/0001</v>
          </cell>
          <cell r="AL54">
            <v>7647</v>
          </cell>
          <cell r="AM54">
            <v>19.899999999999999</v>
          </cell>
        </row>
        <row r="55">
          <cell r="AA55"/>
          <cell r="AJ55" t="str">
            <v>007652 - REFEICAO COXA SOBRECOXA ASSADA BENDITO UN</v>
          </cell>
          <cell r="AK55" t="str">
            <v>UN/0001</v>
          </cell>
          <cell r="AL55">
            <v>7652</v>
          </cell>
          <cell r="AM55">
            <v>19.899999999999999</v>
          </cell>
        </row>
        <row r="56">
          <cell r="AA56">
            <v>0</v>
          </cell>
          <cell r="AJ56" t="str">
            <v>007653 - REFEICAO CUPIM M.MADEIRA BENDITO UN</v>
          </cell>
          <cell r="AK56" t="str">
            <v>UN/0001</v>
          </cell>
          <cell r="AL56">
            <v>7653</v>
          </cell>
          <cell r="AM56">
            <v>21.9</v>
          </cell>
        </row>
        <row r="57">
          <cell r="AA57">
            <v>0</v>
          </cell>
          <cell r="AJ57" t="str">
            <v>007660 - REFEICAO FEIJOADA BENDITO UN</v>
          </cell>
          <cell r="AK57" t="str">
            <v>UN/0001</v>
          </cell>
          <cell r="AL57">
            <v>7660</v>
          </cell>
          <cell r="AM57">
            <v>25.9</v>
          </cell>
        </row>
        <row r="58">
          <cell r="AJ58" t="str">
            <v>007661 - REFEICAO FILE FRANGO A MILANESA BENDITO</v>
          </cell>
          <cell r="AK58" t="str">
            <v>UN/0001</v>
          </cell>
          <cell r="AL58">
            <v>7661</v>
          </cell>
          <cell r="AM58">
            <v>21.9</v>
          </cell>
        </row>
        <row r="59">
          <cell r="AJ59" t="str">
            <v>007663 - REFEICAO FILE FRANGO A PIZZAOLA BENDITO UN</v>
          </cell>
          <cell r="AK59" t="str">
            <v>UN/0001</v>
          </cell>
          <cell r="AL59">
            <v>7663</v>
          </cell>
          <cell r="AM59">
            <v>19.899999999999999</v>
          </cell>
        </row>
        <row r="60">
          <cell r="AJ60" t="str">
            <v>007778 - REFEICAO LINGUICA ASSADA BENDITO UN</v>
          </cell>
          <cell r="AK60" t="str">
            <v>UN/0001</v>
          </cell>
          <cell r="AL60">
            <v>7778</v>
          </cell>
          <cell r="AM60">
            <v>19.899999999999999</v>
          </cell>
        </row>
        <row r="61">
          <cell r="AJ61" t="str">
            <v>007789 - REFEICAO LOMBO ASSADO BENDITO UN</v>
          </cell>
          <cell r="AK61" t="str">
            <v>UN/0001</v>
          </cell>
          <cell r="AL61">
            <v>7789</v>
          </cell>
          <cell r="AM61">
            <v>19.899999999999999</v>
          </cell>
        </row>
        <row r="62">
          <cell r="AJ62" t="str">
            <v>007796 - REFEICAO MEDALHAO FRANGO BENDITO UN</v>
          </cell>
          <cell r="AK62" t="str">
            <v>UN/0001</v>
          </cell>
          <cell r="AL62">
            <v>7796</v>
          </cell>
          <cell r="AM62">
            <v>23.9</v>
          </cell>
        </row>
        <row r="63">
          <cell r="AJ63" t="str">
            <v>007814 - REFEICAO MEDALHAO SUINO - REDONDA BENDITO</v>
          </cell>
          <cell r="AK63" t="str">
            <v>UN/0001</v>
          </cell>
          <cell r="AL63">
            <v>7814</v>
          </cell>
          <cell r="AM63">
            <v>26.9</v>
          </cell>
        </row>
        <row r="64">
          <cell r="AJ64" t="str">
            <v>007840 - REFEICAO PERNIL + LINGUICA UN - REDONDA BENDITO</v>
          </cell>
          <cell r="AK64" t="str">
            <v>UN/0001</v>
          </cell>
          <cell r="AL64">
            <v>7840</v>
          </cell>
          <cell r="AM64">
            <v>21.9</v>
          </cell>
        </row>
        <row r="65">
          <cell r="AJ65" t="str">
            <v>007845 - REFEICAO PERNIL MOLHO FERRUGEM BENDITO UN</v>
          </cell>
          <cell r="AK65" t="str">
            <v>UN/0001</v>
          </cell>
          <cell r="AL65">
            <v>7845</v>
          </cell>
          <cell r="AM65">
            <v>21.9</v>
          </cell>
        </row>
        <row r="66">
          <cell r="AJ66" t="str">
            <v>007860 - REFEICAO PERNIL PANELA BENDITO UN</v>
          </cell>
          <cell r="AK66" t="str">
            <v>UN/0001</v>
          </cell>
          <cell r="AL66">
            <v>7860</v>
          </cell>
          <cell r="AM66">
            <v>21.9</v>
          </cell>
        </row>
        <row r="67">
          <cell r="AJ67" t="str">
            <v>007863 - REFEICAO PICANHA BENDITO UN</v>
          </cell>
          <cell r="AK67" t="str">
            <v>UN/0001</v>
          </cell>
          <cell r="AL67">
            <v>7863</v>
          </cell>
          <cell r="AM67">
            <v>24.9</v>
          </cell>
        </row>
        <row r="68">
          <cell r="AJ68" t="str">
            <v>007867 - REFEICAO PONTA PEITO MOLHO MADEIRA BENDITO UN</v>
          </cell>
          <cell r="AK68" t="str">
            <v>UN/0001</v>
          </cell>
          <cell r="AL68">
            <v>7867</v>
          </cell>
          <cell r="AM68">
            <v>23.9</v>
          </cell>
        </row>
        <row r="69">
          <cell r="AJ69" t="str">
            <v>007874 - REFEICAO STROGONOFF CARNE BENDITO UN</v>
          </cell>
          <cell r="AK69" t="str">
            <v>UN/0001</v>
          </cell>
          <cell r="AL69">
            <v>7874</v>
          </cell>
          <cell r="AM69">
            <v>24.9</v>
          </cell>
        </row>
        <row r="70">
          <cell r="AJ70" t="str">
            <v>007875 - REFEICAO STROGONOFF FRANGO BENDITO UN</v>
          </cell>
          <cell r="AK70" t="str">
            <v>UN/0001</v>
          </cell>
          <cell r="AL70">
            <v>7875</v>
          </cell>
          <cell r="AM70">
            <v>23.9</v>
          </cell>
        </row>
        <row r="71">
          <cell r="AJ71" t="str">
            <v>007876 - REFEICAO TILAPIA EMPANADA BENDITO UN</v>
          </cell>
          <cell r="AK71" t="str">
            <v>UN/0001</v>
          </cell>
          <cell r="AL71">
            <v>7876</v>
          </cell>
          <cell r="AM71">
            <v>29.9</v>
          </cell>
        </row>
        <row r="72">
          <cell r="AJ72" t="str">
            <v>036010 - REFEICAO TILAPIA EMPANADA BENDITO UN</v>
          </cell>
          <cell r="AK72" t="str">
            <v>UN/0001</v>
          </cell>
          <cell r="AL72">
            <v>360104</v>
          </cell>
          <cell r="AM72">
            <v>29.9</v>
          </cell>
        </row>
        <row r="73">
          <cell r="AJ73" t="str">
            <v>007877 - REFEICAO TIRINHA CARNE CHINESA BENDITO UN</v>
          </cell>
          <cell r="AK73" t="str">
            <v>UN/0001</v>
          </cell>
          <cell r="AL73">
            <v>7877</v>
          </cell>
          <cell r="AM73">
            <v>24.9</v>
          </cell>
        </row>
        <row r="74">
          <cell r="AJ74" t="str">
            <v>007884 - REFEICAO VIRADO A PAULISTA BENDITO UN</v>
          </cell>
          <cell r="AK74" t="str">
            <v>UN/0001</v>
          </cell>
          <cell r="AL74">
            <v>7884</v>
          </cell>
          <cell r="AM74">
            <v>25.9</v>
          </cell>
        </row>
        <row r="75">
          <cell r="AJ75" t="str">
            <v>007943 - REF.LINGUICA.C/CATUPIRY+OVO FRITO+LEG+FAROFA BENDITO</v>
          </cell>
          <cell r="AK75" t="str">
            <v>UN/0001</v>
          </cell>
          <cell r="AL75">
            <v>7943</v>
          </cell>
          <cell r="AM75">
            <v>24.9</v>
          </cell>
        </row>
        <row r="76">
          <cell r="AJ76" t="str">
            <v xml:space="preserve">007887 - REF REDONDA BIFE ACEBOLADO +OVO+ BATATA BENDITO UND </v>
          </cell>
          <cell r="AK76" t="str">
            <v>UN/0001</v>
          </cell>
          <cell r="AL76">
            <v>7887</v>
          </cell>
          <cell r="AM76">
            <v>25.9</v>
          </cell>
        </row>
        <row r="77">
          <cell r="AJ77" t="str">
            <v>007901 - REF REDONDA BISTECA SUINA MILANESA BENDITO</v>
          </cell>
          <cell r="AK77" t="str">
            <v>UN/0001</v>
          </cell>
          <cell r="AL77">
            <v>7901</v>
          </cell>
          <cell r="AM77">
            <v>24.9</v>
          </cell>
        </row>
        <row r="78">
          <cell r="AJ78" t="str">
            <v>007907 - REF REDONDA CHURRASCO MAMINHA+LING+TULIPA+FAROFA BENDITO</v>
          </cell>
          <cell r="AK78" t="str">
            <v>UN/0001</v>
          </cell>
          <cell r="AL78">
            <v>7907</v>
          </cell>
          <cell r="AM78">
            <v>27.9</v>
          </cell>
        </row>
        <row r="79">
          <cell r="AJ79" t="str">
            <v>007923 - REF REDONDA COXINHA C/LINGUICINHA ASSADA BENDITO</v>
          </cell>
          <cell r="AK79" t="str">
            <v>UN/0001</v>
          </cell>
          <cell r="AL79">
            <v>7923</v>
          </cell>
          <cell r="AM79">
            <v>24.9</v>
          </cell>
        </row>
        <row r="80">
          <cell r="AJ80" t="str">
            <v>007925 - REF REDONDA COXINHA C/LINGUICINHA ASSADA BENDITO</v>
          </cell>
          <cell r="AK80" t="str">
            <v>UN/0001</v>
          </cell>
          <cell r="AL80">
            <v>7925</v>
          </cell>
          <cell r="AM80">
            <v>0</v>
          </cell>
        </row>
        <row r="81">
          <cell r="AJ81" t="str">
            <v>007927 - REF REDONDA FILE DE SOBRECOXA + LINGUICA ASSADA BENDITO</v>
          </cell>
          <cell r="AK81" t="str">
            <v>UN/0001</v>
          </cell>
          <cell r="AL81">
            <v>7927</v>
          </cell>
          <cell r="AM81">
            <v>26.9</v>
          </cell>
        </row>
        <row r="82">
          <cell r="AJ82" t="str">
            <v>005748 - RMP ABACATE KG</v>
          </cell>
          <cell r="AK82" t="str">
            <v>KG/0001</v>
          </cell>
          <cell r="AL82">
            <v>5748</v>
          </cell>
          <cell r="AM82">
            <v>0</v>
          </cell>
        </row>
        <row r="83">
          <cell r="AJ83" t="str">
            <v>003141 - RMP ABACAXI EM CALDA KG</v>
          </cell>
          <cell r="AK83" t="str">
            <v>KG/0001</v>
          </cell>
          <cell r="AL83">
            <v>3141</v>
          </cell>
          <cell r="AM83">
            <v>0</v>
          </cell>
        </row>
        <row r="84">
          <cell r="AJ84" t="str">
            <v>003128 - RMP ABACAXI KG</v>
          </cell>
          <cell r="AK84" t="str">
            <v>KG/0001</v>
          </cell>
          <cell r="AL84">
            <v>3128</v>
          </cell>
          <cell r="AM84">
            <v>0</v>
          </cell>
        </row>
        <row r="85">
          <cell r="AJ85" t="str">
            <v>002527 - RMP ABOBORA ITALIA KG</v>
          </cell>
          <cell r="AK85" t="str">
            <v>KG/0001</v>
          </cell>
          <cell r="AL85">
            <v>2527</v>
          </cell>
          <cell r="AM85">
            <v>0</v>
          </cell>
        </row>
        <row r="86">
          <cell r="AJ86" t="str">
            <v>002526 - RMP ABOBRINHA CAIPIRA  KG</v>
          </cell>
          <cell r="AK86" t="str">
            <v>KG/0001</v>
          </cell>
          <cell r="AL86">
            <v>2526</v>
          </cell>
          <cell r="AM86">
            <v>0</v>
          </cell>
        </row>
        <row r="87">
          <cell r="AJ87" t="str">
            <v>005394 - RMP ABOBRINHA ITALIA  KG</v>
          </cell>
          <cell r="AK87" t="str">
            <v>KG/0001</v>
          </cell>
          <cell r="AL87">
            <v>5394</v>
          </cell>
          <cell r="AM87">
            <v>0</v>
          </cell>
        </row>
        <row r="88">
          <cell r="AJ88" t="str">
            <v>003090 - RMP ABOBRINHA PAULISTA KG</v>
          </cell>
          <cell r="AK88" t="str">
            <v>KG/0001</v>
          </cell>
          <cell r="AL88">
            <v>3090</v>
          </cell>
          <cell r="AM88">
            <v>0</v>
          </cell>
        </row>
        <row r="89">
          <cell r="AJ89" t="str">
            <v xml:space="preserve">003133 - RMP ACAFRAO KG </v>
          </cell>
          <cell r="AK89" t="str">
            <v>KG/0001</v>
          </cell>
          <cell r="AL89">
            <v>3133</v>
          </cell>
          <cell r="AM89">
            <v>0</v>
          </cell>
        </row>
        <row r="90">
          <cell r="AJ90" t="str">
            <v>004275 - RMP ACELGA KG</v>
          </cell>
          <cell r="AK90" t="str">
            <v>KG/0001</v>
          </cell>
          <cell r="AL90">
            <v>4275</v>
          </cell>
          <cell r="AM90">
            <v>0</v>
          </cell>
        </row>
        <row r="91">
          <cell r="AJ91" t="str">
            <v>002590 - RMP ACUCAR CRISTAL KG</v>
          </cell>
          <cell r="AK91" t="str">
            <v>KG/0001</v>
          </cell>
          <cell r="AL91">
            <v>2590</v>
          </cell>
          <cell r="AM91">
            <v>0</v>
          </cell>
        </row>
        <row r="92">
          <cell r="AJ92" t="str">
            <v>002748 - RMP ACUCAR DEMERARA KG</v>
          </cell>
          <cell r="AK92" t="str">
            <v>KG/0001</v>
          </cell>
          <cell r="AL92">
            <v>2748</v>
          </cell>
          <cell r="AM92">
            <v>0</v>
          </cell>
        </row>
        <row r="93">
          <cell r="AJ93" t="str">
            <v>005023 - RMP ACUCAR MASCAVO KG</v>
          </cell>
          <cell r="AK93" t="str">
            <v>KG/0001</v>
          </cell>
          <cell r="AL93">
            <v>5023</v>
          </cell>
          <cell r="AM93">
            <v>0</v>
          </cell>
        </row>
        <row r="94">
          <cell r="AJ94" t="str">
            <v>002135 - RMP ALECRIM KG</v>
          </cell>
          <cell r="AK94" t="str">
            <v>KG/0001</v>
          </cell>
          <cell r="AL94">
            <v>2135</v>
          </cell>
          <cell r="AM94">
            <v>0</v>
          </cell>
        </row>
        <row r="95">
          <cell r="AJ95" t="str">
            <v>002458 - RMP ALFACE KG</v>
          </cell>
          <cell r="AK95" t="str">
            <v>KG/0001</v>
          </cell>
          <cell r="AL95">
            <v>2458</v>
          </cell>
          <cell r="AM95">
            <v>0</v>
          </cell>
        </row>
        <row r="96">
          <cell r="AJ96" t="str">
            <v>002220 - RMP ALHO A GRANEL KG</v>
          </cell>
          <cell r="AK96" t="str">
            <v>KG/0001</v>
          </cell>
          <cell r="AL96">
            <v>2220</v>
          </cell>
          <cell r="AM96">
            <v>11.5</v>
          </cell>
        </row>
        <row r="97">
          <cell r="AJ97" t="str">
            <v>005981 - RMP ALHO DESIDRATADO KG</v>
          </cell>
          <cell r="AK97" t="str">
            <v>KG/0001</v>
          </cell>
          <cell r="AL97">
            <v>5981</v>
          </cell>
          <cell r="AM97">
            <v>0</v>
          </cell>
        </row>
        <row r="98">
          <cell r="AJ98" t="str">
            <v>002548 - RMP ALHO PORO KG</v>
          </cell>
          <cell r="AK98" t="str">
            <v>KG/0001</v>
          </cell>
          <cell r="AL98">
            <v>2548</v>
          </cell>
          <cell r="AM98">
            <v>0</v>
          </cell>
        </row>
        <row r="99">
          <cell r="AJ99" t="str">
            <v>002080 - RMP ALHO TRITURADO KG</v>
          </cell>
          <cell r="AK99" t="str">
            <v>KG/0001</v>
          </cell>
          <cell r="AL99">
            <v>2080</v>
          </cell>
          <cell r="AM99">
            <v>0</v>
          </cell>
        </row>
        <row r="100">
          <cell r="AJ100" t="str">
            <v>003127 - RMP AMEIXA S/CAROCO KG</v>
          </cell>
          <cell r="AK100" t="str">
            <v>KG/0001</v>
          </cell>
          <cell r="AL100">
            <v>3127</v>
          </cell>
          <cell r="AM100">
            <v>0</v>
          </cell>
        </row>
        <row r="101">
          <cell r="AJ101" t="str">
            <v>002602 - RMP AMENDOIM SALGADO KG</v>
          </cell>
          <cell r="AK101" t="str">
            <v>KG/0001</v>
          </cell>
          <cell r="AL101">
            <v>2602</v>
          </cell>
          <cell r="AM101">
            <v>0</v>
          </cell>
        </row>
        <row r="102">
          <cell r="AJ102" t="str">
            <v>002481 - RMP AMIDO DE MILHO KG</v>
          </cell>
          <cell r="AK102" t="str">
            <v>KG/0040</v>
          </cell>
          <cell r="AL102">
            <v>2481</v>
          </cell>
          <cell r="AM102">
            <v>0</v>
          </cell>
        </row>
        <row r="103">
          <cell r="AJ103" t="str">
            <v>005089 - RMP APRESUNTADO KG</v>
          </cell>
          <cell r="AK103" t="str">
            <v>KG/0001</v>
          </cell>
          <cell r="AL103">
            <v>5089</v>
          </cell>
          <cell r="AM103">
            <v>0</v>
          </cell>
        </row>
        <row r="104">
          <cell r="AJ104" t="str">
            <v>002036 - RMP ARROZ  INTEGRAL KG</v>
          </cell>
          <cell r="AK104" t="str">
            <v>KG/0001</v>
          </cell>
          <cell r="AL104">
            <v>2036</v>
          </cell>
          <cell r="AM104">
            <v>0</v>
          </cell>
        </row>
        <row r="105">
          <cell r="AJ105" t="str">
            <v>002104 - RMP ARROZ  KG</v>
          </cell>
          <cell r="AK105" t="str">
            <v>KG/0001</v>
          </cell>
          <cell r="AL105">
            <v>2104</v>
          </cell>
          <cell r="AM105">
            <v>0</v>
          </cell>
        </row>
        <row r="106">
          <cell r="AJ106" t="str">
            <v>005146 - RMP ARROZ  PARBORIZADO  KG</v>
          </cell>
          <cell r="AK106" t="str">
            <v>KG/0001</v>
          </cell>
          <cell r="AL106">
            <v>5146</v>
          </cell>
          <cell r="AM106">
            <v>0</v>
          </cell>
        </row>
        <row r="107">
          <cell r="AJ107" t="str">
            <v>002738 - RMP ATUM KG</v>
          </cell>
          <cell r="AK107" t="str">
            <v>KG/0001</v>
          </cell>
          <cell r="AL107">
            <v>2738</v>
          </cell>
          <cell r="AM107">
            <v>0</v>
          </cell>
        </row>
        <row r="108">
          <cell r="AJ108" t="str">
            <v>005990 - RMP AVEIA  KG</v>
          </cell>
          <cell r="AK108" t="str">
            <v>KG/0001</v>
          </cell>
          <cell r="AL108">
            <v>5990</v>
          </cell>
          <cell r="AM108">
            <v>0</v>
          </cell>
        </row>
        <row r="109">
          <cell r="AJ109" t="str">
            <v>002647 - RMP AVES CARNE ASSAR ROTISSERIE KG</v>
          </cell>
          <cell r="AK109" t="str">
            <v>KG/0001</v>
          </cell>
          <cell r="AL109">
            <v>2647</v>
          </cell>
          <cell r="AM109">
            <v>0</v>
          </cell>
        </row>
        <row r="110">
          <cell r="AJ110" t="str">
            <v>002520 - RMP AVES FRANGO P/ASSAR KG</v>
          </cell>
          <cell r="AK110" t="str">
            <v>KG/0001</v>
          </cell>
          <cell r="AL110">
            <v>2520</v>
          </cell>
          <cell r="AM110">
            <v>0</v>
          </cell>
        </row>
        <row r="111">
          <cell r="AJ111" t="str">
            <v>023524 - RMP AVES FRANGO P/ASSAR UN</v>
          </cell>
          <cell r="AK111" t="str">
            <v>UN/0001</v>
          </cell>
          <cell r="AL111">
            <v>235242</v>
          </cell>
          <cell r="AM111">
            <v>0</v>
          </cell>
        </row>
        <row r="112">
          <cell r="AJ112" t="str">
            <v>001974 - RMP AZEITE OLIVA EXTRA VIRGEM KG</v>
          </cell>
          <cell r="AK112" t="str">
            <v>KG/0012</v>
          </cell>
          <cell r="AL112">
            <v>1974</v>
          </cell>
          <cell r="AM112">
            <v>0</v>
          </cell>
        </row>
        <row r="113">
          <cell r="AJ113" t="str">
            <v>002361 - RMP AZEITONA KG</v>
          </cell>
          <cell r="AK113" t="str">
            <v>KG/0012</v>
          </cell>
          <cell r="AL113">
            <v>2361</v>
          </cell>
          <cell r="AM113">
            <v>0</v>
          </cell>
        </row>
        <row r="114">
          <cell r="AJ114" t="str">
            <v>005088 - RMP AZEITONA SEM CAROCO  KG</v>
          </cell>
          <cell r="AK114" t="str">
            <v>KG/0012</v>
          </cell>
          <cell r="AL114">
            <v>5088</v>
          </cell>
          <cell r="AM114">
            <v>0</v>
          </cell>
        </row>
        <row r="115">
          <cell r="AJ115" t="str">
            <v>005090 - RMP AZEITONA VERDE RECHEADA KG</v>
          </cell>
          <cell r="AK115" t="str">
            <v>KG/0012</v>
          </cell>
          <cell r="AL115">
            <v>5090</v>
          </cell>
          <cell r="AM115">
            <v>0</v>
          </cell>
        </row>
        <row r="116">
          <cell r="AJ116" t="str">
            <v>002319 - RMP BACALHAU  KG</v>
          </cell>
          <cell r="AK116" t="str">
            <v>KG/0001</v>
          </cell>
          <cell r="AL116">
            <v>2319</v>
          </cell>
          <cell r="AM116">
            <v>0</v>
          </cell>
        </row>
        <row r="117">
          <cell r="AJ117" t="str">
            <v>002439 - RMP BANANA FRITAR KG</v>
          </cell>
          <cell r="AK117" t="str">
            <v>KG/0001</v>
          </cell>
          <cell r="AL117">
            <v>2439</v>
          </cell>
          <cell r="AM117">
            <v>0</v>
          </cell>
        </row>
        <row r="118">
          <cell r="AJ118" t="str">
            <v>002801 - RMP BANANA NANICA KG</v>
          </cell>
          <cell r="AK118" t="str">
            <v>KG/0001</v>
          </cell>
          <cell r="AL118">
            <v>2801</v>
          </cell>
          <cell r="AM118">
            <v>0</v>
          </cell>
        </row>
        <row r="119">
          <cell r="AJ119" t="str">
            <v>005913 - RMP BANANA PRATA KG</v>
          </cell>
          <cell r="AK119" t="str">
            <v>KG/0001</v>
          </cell>
          <cell r="AL119">
            <v>5913</v>
          </cell>
          <cell r="AM119">
            <v>0</v>
          </cell>
        </row>
        <row r="120">
          <cell r="AJ120" t="str">
            <v>004414 - RMP BATATA DOCE BRANCA KG</v>
          </cell>
          <cell r="AK120" t="str">
            <v>KG/0001</v>
          </cell>
          <cell r="AL120">
            <v>4414</v>
          </cell>
          <cell r="AM120">
            <v>0</v>
          </cell>
        </row>
        <row r="121">
          <cell r="AJ121" t="str">
            <v>002550 - RMP BATATA DOCE ROXA KG</v>
          </cell>
          <cell r="AK121" t="str">
            <v>KG/0001</v>
          </cell>
          <cell r="AL121">
            <v>2550</v>
          </cell>
          <cell r="AM121">
            <v>0</v>
          </cell>
        </row>
        <row r="122">
          <cell r="AJ122" t="str">
            <v>002221 - RMP BATATA KG</v>
          </cell>
          <cell r="AK122" t="str">
            <v>KG/0001</v>
          </cell>
          <cell r="AL122">
            <v>2221</v>
          </cell>
          <cell r="AM122">
            <v>2.4</v>
          </cell>
        </row>
        <row r="123">
          <cell r="AJ123" t="str">
            <v>002033 - RMP BATATA PALHA KG</v>
          </cell>
          <cell r="AK123" t="str">
            <v>KG/0001</v>
          </cell>
          <cell r="AL123">
            <v>2033</v>
          </cell>
          <cell r="AM123">
            <v>0</v>
          </cell>
        </row>
        <row r="124">
          <cell r="AJ124" t="str">
            <v>003436 - RMP BATATA PALITO KG</v>
          </cell>
          <cell r="AK124" t="str">
            <v>KG/0001</v>
          </cell>
          <cell r="AL124">
            <v>3436</v>
          </cell>
          <cell r="AM124">
            <v>0</v>
          </cell>
        </row>
        <row r="125">
          <cell r="AJ125" t="str">
            <v>002342 - RMP BATATA PIRULITO KG</v>
          </cell>
          <cell r="AK125" t="str">
            <v>KG/0001</v>
          </cell>
          <cell r="AL125">
            <v>2342</v>
          </cell>
          <cell r="AM125">
            <v>0</v>
          </cell>
        </row>
        <row r="126">
          <cell r="AJ126" t="str">
            <v>002515 - RMP BERINJELA KG</v>
          </cell>
          <cell r="AK126" t="str">
            <v>KG/0001</v>
          </cell>
          <cell r="AL126">
            <v>2515</v>
          </cell>
          <cell r="AM126">
            <v>0</v>
          </cell>
        </row>
        <row r="127">
          <cell r="AJ127" t="str">
            <v>002343 - RMP BETERRABA KG</v>
          </cell>
          <cell r="AK127" t="str">
            <v>KG/0001</v>
          </cell>
          <cell r="AL127">
            <v>2343</v>
          </cell>
          <cell r="AM127">
            <v>0</v>
          </cell>
        </row>
        <row r="128">
          <cell r="AJ128" t="str">
            <v>002484 - RMP BOV CARNE MOIDA KG</v>
          </cell>
          <cell r="AK128" t="str">
            <v>KG/0001</v>
          </cell>
          <cell r="AL128">
            <v>2484</v>
          </cell>
          <cell r="AM128">
            <v>0</v>
          </cell>
        </row>
        <row r="129">
          <cell r="AJ129" t="str">
            <v>002519 - RMP BOV CARNE P/ ASSAR ROTISSERIE  KG</v>
          </cell>
          <cell r="AK129" t="str">
            <v>KG/0001</v>
          </cell>
          <cell r="AL129">
            <v>2519</v>
          </cell>
          <cell r="AM129">
            <v>0</v>
          </cell>
        </row>
        <row r="130">
          <cell r="AJ130" t="str">
            <v>005329 - RMP BOV CUPIM KG</v>
          </cell>
          <cell r="AK130" t="str">
            <v>KG/0001</v>
          </cell>
          <cell r="AL130">
            <v>5329</v>
          </cell>
          <cell r="AM130">
            <v>0</v>
          </cell>
        </row>
        <row r="131">
          <cell r="AJ131" t="str">
            <v>005330 - RMP BOV FRALDINHA KG</v>
          </cell>
          <cell r="AK131" t="str">
            <v>KG/0001</v>
          </cell>
          <cell r="AL131">
            <v>5330</v>
          </cell>
          <cell r="AM131">
            <v>0</v>
          </cell>
        </row>
        <row r="132">
          <cell r="AJ132" t="str">
            <v>006473 - RMP BOV LAGARTO KG</v>
          </cell>
          <cell r="AK132" t="str">
            <v>KG/0001</v>
          </cell>
          <cell r="AL132">
            <v>6473</v>
          </cell>
          <cell r="AM132">
            <v>34.35</v>
          </cell>
        </row>
        <row r="133">
          <cell r="AJ133" t="str">
            <v>002405 - RMP BOV MACA DA PALETA KG</v>
          </cell>
          <cell r="AK133" t="str">
            <v>KG/0001</v>
          </cell>
          <cell r="AL133">
            <v>2405</v>
          </cell>
          <cell r="AM133">
            <v>0</v>
          </cell>
        </row>
        <row r="134">
          <cell r="AJ134" t="str">
            <v>005943 - RMP BOV MAMINHA  KG</v>
          </cell>
          <cell r="AK134" t="str">
            <v>KG/0001</v>
          </cell>
          <cell r="AL134">
            <v>5943</v>
          </cell>
          <cell r="AM134">
            <v>0</v>
          </cell>
        </row>
        <row r="135">
          <cell r="AJ135" t="str">
            <v>002216 - RMP BOV NOA  PONTA DE CONTRA FILE PECA KG</v>
          </cell>
          <cell r="AK135" t="str">
            <v>KG/0001</v>
          </cell>
          <cell r="AL135">
            <v>2216</v>
          </cell>
          <cell r="AM135">
            <v>18.5</v>
          </cell>
        </row>
        <row r="136">
          <cell r="AJ136" t="str">
            <v>002412 - RMP BOV PALETA S/ OSSO KG</v>
          </cell>
          <cell r="AK136" t="str">
            <v>KG/0001</v>
          </cell>
          <cell r="AL136">
            <v>2412</v>
          </cell>
          <cell r="AM136">
            <v>0</v>
          </cell>
        </row>
        <row r="137">
          <cell r="AJ137" t="str">
            <v>006468 - RMP BOV PATINHO   KG</v>
          </cell>
          <cell r="AK137" t="str">
            <v>KG/0001</v>
          </cell>
          <cell r="AL137">
            <v>6468</v>
          </cell>
          <cell r="AM137">
            <v>0</v>
          </cell>
        </row>
        <row r="138">
          <cell r="AJ138" t="str">
            <v>002419 - RMP BOV PONTA AGULHA KG</v>
          </cell>
          <cell r="AK138" t="str">
            <v>KG/0001</v>
          </cell>
          <cell r="AL138">
            <v>2419</v>
          </cell>
          <cell r="AM138">
            <v>0</v>
          </cell>
        </row>
        <row r="139">
          <cell r="AJ139" t="str">
            <v>002406 - RMP BOV PONTA DE ALCATRA KG</v>
          </cell>
          <cell r="AK139" t="str">
            <v>KG/0001</v>
          </cell>
          <cell r="AL139">
            <v>2406</v>
          </cell>
          <cell r="AM139">
            <v>0</v>
          </cell>
        </row>
        <row r="140">
          <cell r="AJ140" t="str">
            <v>002407 - RMP BOV P.PEITO MATURATTA KG</v>
          </cell>
          <cell r="AK140" t="str">
            <v>KG/0001</v>
          </cell>
          <cell r="AL140">
            <v>2407</v>
          </cell>
          <cell r="AM140">
            <v>0</v>
          </cell>
        </row>
        <row r="141">
          <cell r="AJ141" t="str">
            <v>002196 - RMP BROCOLIS  KG</v>
          </cell>
          <cell r="AK141" t="str">
            <v>KG/0001</v>
          </cell>
          <cell r="AL141">
            <v>2196</v>
          </cell>
          <cell r="AM141">
            <v>0</v>
          </cell>
        </row>
        <row r="142">
          <cell r="AJ142" t="str">
            <v>005269 - RMP BUCHO KG</v>
          </cell>
          <cell r="AK142" t="str">
            <v>KG/0001</v>
          </cell>
          <cell r="AL142">
            <v>5269</v>
          </cell>
          <cell r="AM142">
            <v>0</v>
          </cell>
        </row>
        <row r="143">
          <cell r="AJ143" t="str">
            <v>002687 - RMP CABOTIA KG</v>
          </cell>
          <cell r="AK143" t="str">
            <v>KG/0001</v>
          </cell>
          <cell r="AL143">
            <v>2687</v>
          </cell>
          <cell r="AM143">
            <v>0</v>
          </cell>
        </row>
        <row r="144">
          <cell r="AJ144" t="str">
            <v>006780 - RMP CACHACA KG</v>
          </cell>
          <cell r="AK144" t="str">
            <v>KG/0001</v>
          </cell>
          <cell r="AL144">
            <v>6780</v>
          </cell>
          <cell r="AM144">
            <v>0</v>
          </cell>
        </row>
        <row r="145">
          <cell r="AJ145" t="str">
            <v>003747 - RMP CALDO  CARNE KG</v>
          </cell>
          <cell r="AK145" t="str">
            <v>KG/0001</v>
          </cell>
          <cell r="AL145">
            <v>3747</v>
          </cell>
          <cell r="AM145">
            <v>0</v>
          </cell>
        </row>
        <row r="146">
          <cell r="AJ146" t="str">
            <v>005258 - RMP CALDO COSTELA KG</v>
          </cell>
          <cell r="AK146" t="str">
            <v>KG/0001</v>
          </cell>
          <cell r="AL146">
            <v>5258</v>
          </cell>
          <cell r="AM146">
            <v>0</v>
          </cell>
        </row>
        <row r="147">
          <cell r="AJ147" t="str">
            <v>002300 - RMP CALDO GALINHA KG</v>
          </cell>
          <cell r="AK147" t="str">
            <v>KG/0001</v>
          </cell>
          <cell r="AL147">
            <v>2300</v>
          </cell>
          <cell r="AM147">
            <v>0</v>
          </cell>
        </row>
        <row r="148">
          <cell r="AJ148" t="str">
            <v>004576 - RMP CANELA EM PO KG</v>
          </cell>
          <cell r="AK148" t="str">
            <v>KG/0001</v>
          </cell>
          <cell r="AL148">
            <v>4576</v>
          </cell>
          <cell r="AM148">
            <v>0</v>
          </cell>
        </row>
        <row r="149">
          <cell r="AJ149" t="str">
            <v>003153 - RMP CANELONE PRESUNTO/QUEIJO KG</v>
          </cell>
          <cell r="AK149" t="str">
            <v>KG/0001</v>
          </cell>
          <cell r="AL149">
            <v>3153</v>
          </cell>
          <cell r="AM149">
            <v>0</v>
          </cell>
        </row>
        <row r="150">
          <cell r="AJ150" t="str">
            <v xml:space="preserve">003140 - RMP CANELONE QUATRO QUEIJOS KG </v>
          </cell>
          <cell r="AK150" t="str">
            <v>KG/0001</v>
          </cell>
          <cell r="AL150">
            <v>3140</v>
          </cell>
          <cell r="AM150">
            <v>0</v>
          </cell>
        </row>
        <row r="151">
          <cell r="AJ151" t="str">
            <v>005265 - RMP CAPELETTI KG</v>
          </cell>
          <cell r="AK151" t="str">
            <v>KG/0001</v>
          </cell>
          <cell r="AL151">
            <v>5265</v>
          </cell>
          <cell r="AM151">
            <v>0</v>
          </cell>
        </row>
        <row r="152">
          <cell r="AJ152" t="str">
            <v>002480 - RMP CARNE BOV MARMITEX KG</v>
          </cell>
          <cell r="AK152" t="str">
            <v>KG/0001</v>
          </cell>
          <cell r="AL152">
            <v>2480</v>
          </cell>
          <cell r="AM152">
            <v>0</v>
          </cell>
        </row>
        <row r="153">
          <cell r="AJ153" t="str">
            <v>006081 - RMP CARNE DE FRANGO  MARMITEX KG</v>
          </cell>
          <cell r="AK153" t="str">
            <v>KG/0001</v>
          </cell>
          <cell r="AL153">
            <v>6081</v>
          </cell>
          <cell r="AM153">
            <v>0</v>
          </cell>
        </row>
        <row r="154">
          <cell r="AJ154" t="str">
            <v>006082 - RMP CARNE DE PORCO  MARMITEX KG</v>
          </cell>
          <cell r="AK154" t="str">
            <v>KG/0001</v>
          </cell>
          <cell r="AL154">
            <v>6082</v>
          </cell>
          <cell r="AM154">
            <v>0</v>
          </cell>
        </row>
        <row r="155">
          <cell r="AJ155" t="str">
            <v>002017 - RMP CARNE SECA KG</v>
          </cell>
          <cell r="AK155" t="str">
            <v>KG/0060</v>
          </cell>
          <cell r="AL155">
            <v>2017</v>
          </cell>
          <cell r="AM155">
            <v>0</v>
          </cell>
        </row>
        <row r="156">
          <cell r="AJ156" t="str">
            <v>003125 - RMP CASTANHA DE CAJU  KG</v>
          </cell>
          <cell r="AK156" t="str">
            <v>KG/0001</v>
          </cell>
          <cell r="AL156">
            <v>3125</v>
          </cell>
          <cell r="AM156">
            <v>0</v>
          </cell>
        </row>
        <row r="157">
          <cell r="AJ157" t="str">
            <v>003130 - RMP CASTANHA DO PARA SEM CASCA KG</v>
          </cell>
          <cell r="AK157" t="str">
            <v>KG/0001</v>
          </cell>
          <cell r="AL157">
            <v>3130</v>
          </cell>
          <cell r="AM157">
            <v>0</v>
          </cell>
        </row>
        <row r="158">
          <cell r="AJ158" t="str">
            <v>002616 - RMP CATCHUP KG</v>
          </cell>
          <cell r="AK158" t="str">
            <v>KG/0001</v>
          </cell>
          <cell r="AL158">
            <v>2616</v>
          </cell>
          <cell r="AM158">
            <v>0</v>
          </cell>
        </row>
        <row r="159">
          <cell r="AJ159" t="str">
            <v>002222 - RMP CEBOLA KG</v>
          </cell>
          <cell r="AK159" t="str">
            <v>KG/0001</v>
          </cell>
          <cell r="AL159">
            <v>2222</v>
          </cell>
          <cell r="AM159">
            <v>3.72</v>
          </cell>
        </row>
        <row r="160">
          <cell r="AJ160" t="str">
            <v>005434 - RMP CEBOLA PIRULITO KG</v>
          </cell>
          <cell r="AK160" t="str">
            <v>KG/0001</v>
          </cell>
          <cell r="AL160">
            <v>5434</v>
          </cell>
          <cell r="AM160">
            <v>0</v>
          </cell>
        </row>
        <row r="161">
          <cell r="AJ161" t="str">
            <v>002601 - RMP CEBOLA ROXA KG</v>
          </cell>
          <cell r="AK161" t="str">
            <v>KG/0001</v>
          </cell>
          <cell r="AL161">
            <v>2601</v>
          </cell>
          <cell r="AM161">
            <v>0</v>
          </cell>
        </row>
        <row r="162">
          <cell r="AJ162" t="str">
            <v>002339 - RMP CENOURA KG</v>
          </cell>
          <cell r="AK162" t="str">
            <v>KG/0001</v>
          </cell>
          <cell r="AL162">
            <v>2339</v>
          </cell>
          <cell r="AM162">
            <v>0</v>
          </cell>
        </row>
        <row r="163">
          <cell r="AJ163" t="str">
            <v>003143 - RMP CEREJA C/TALO  KG</v>
          </cell>
          <cell r="AK163" t="str">
            <v>KG/0001</v>
          </cell>
          <cell r="AL163">
            <v>3143</v>
          </cell>
          <cell r="AM163">
            <v>0</v>
          </cell>
        </row>
        <row r="164">
          <cell r="AJ164" t="str">
            <v>003120 - RMP CEREJA KG</v>
          </cell>
          <cell r="AK164" t="str">
            <v>KG/0001</v>
          </cell>
          <cell r="AL164">
            <v>3120</v>
          </cell>
          <cell r="AM164">
            <v>0</v>
          </cell>
        </row>
        <row r="165">
          <cell r="AJ165" t="str">
            <v>003404 - RMP CERVEJA MALZEBIR KG</v>
          </cell>
          <cell r="AK165" t="str">
            <v>KG/0027</v>
          </cell>
          <cell r="AL165">
            <v>3404</v>
          </cell>
          <cell r="AM165">
            <v>0</v>
          </cell>
        </row>
        <row r="166">
          <cell r="AJ166" t="str">
            <v>002205 - RMP CHEIRO VERDE KG</v>
          </cell>
          <cell r="AK166" t="str">
            <v>KG/0001</v>
          </cell>
          <cell r="AL166">
            <v>2205</v>
          </cell>
          <cell r="AM166">
            <v>0</v>
          </cell>
        </row>
        <row r="167">
          <cell r="AJ167" t="str">
            <v>003654 - RMP CHIMICHURI KG SEM PIMENTA</v>
          </cell>
          <cell r="AK167" t="str">
            <v>KG/0001</v>
          </cell>
          <cell r="AL167">
            <v>3654</v>
          </cell>
          <cell r="AM167">
            <v>0</v>
          </cell>
        </row>
        <row r="168">
          <cell r="AJ168" t="str">
            <v>005392 - RMP CHIMICHURRI KG</v>
          </cell>
          <cell r="AK168" t="str">
            <v>KG/0001</v>
          </cell>
          <cell r="AL168">
            <v>5392</v>
          </cell>
          <cell r="AM168">
            <v>0</v>
          </cell>
        </row>
        <row r="169">
          <cell r="AJ169" t="str">
            <v>002580 - RMP CHUCHU KG</v>
          </cell>
          <cell r="AK169" t="str">
            <v>KG/0001</v>
          </cell>
          <cell r="AL169">
            <v>2580</v>
          </cell>
          <cell r="AM169">
            <v>0</v>
          </cell>
        </row>
        <row r="170">
          <cell r="AJ170" t="str">
            <v>005719 - RMP COALHO LIQUIDO KG</v>
          </cell>
          <cell r="AK170" t="str">
            <v>KG/0001</v>
          </cell>
          <cell r="AL170">
            <v>5719</v>
          </cell>
          <cell r="AM170">
            <v>0</v>
          </cell>
        </row>
        <row r="171">
          <cell r="AJ171" t="str">
            <v>005408 - RMP COENTRO KG</v>
          </cell>
          <cell r="AK171" t="str">
            <v>KG/0001</v>
          </cell>
          <cell r="AL171">
            <v>5408</v>
          </cell>
          <cell r="AM171">
            <v>0</v>
          </cell>
        </row>
        <row r="172">
          <cell r="AJ172" t="str">
            <v>003470 - RMP COLORAU KG</v>
          </cell>
          <cell r="AK172" t="str">
            <v>KG/0001</v>
          </cell>
          <cell r="AL172">
            <v>3470</v>
          </cell>
          <cell r="AM172">
            <v>0</v>
          </cell>
        </row>
        <row r="173">
          <cell r="AJ173" t="str">
            <v xml:space="preserve">005011 - RMP CONCHIGLIONE KG </v>
          </cell>
          <cell r="AK173" t="str">
            <v>KG/0001</v>
          </cell>
          <cell r="AL173">
            <v>5011</v>
          </cell>
          <cell r="AM173">
            <v>0</v>
          </cell>
        </row>
        <row r="174">
          <cell r="AJ174" t="str">
            <v>006466 - RMP COPA LOMBO  KG</v>
          </cell>
          <cell r="AK174" t="str">
            <v>KG/0001</v>
          </cell>
          <cell r="AL174">
            <v>6466</v>
          </cell>
          <cell r="AM174">
            <v>0</v>
          </cell>
        </row>
        <row r="175">
          <cell r="AJ175" t="str">
            <v>002195 - RMP COUVE FLOR KG</v>
          </cell>
          <cell r="AK175" t="str">
            <v>KG/0001</v>
          </cell>
          <cell r="AL175">
            <v>2195</v>
          </cell>
          <cell r="AM175">
            <v>0</v>
          </cell>
        </row>
        <row r="176">
          <cell r="AJ176" t="str">
            <v>002938 - RMP COUVE KG</v>
          </cell>
          <cell r="AK176" t="str">
            <v>KG/0001</v>
          </cell>
          <cell r="AL176">
            <v>2938</v>
          </cell>
          <cell r="AM176">
            <v>0.05</v>
          </cell>
        </row>
        <row r="177">
          <cell r="AJ177" t="str">
            <v>006465 - RMP COXINHA DA ASA KG</v>
          </cell>
          <cell r="AK177" t="str">
            <v>KG/0001</v>
          </cell>
          <cell r="AL177">
            <v>6465</v>
          </cell>
          <cell r="AM177">
            <v>15.29</v>
          </cell>
        </row>
        <row r="178">
          <cell r="AJ178" t="str">
            <v>002597 - RMP CRAVO DA INDIA KG</v>
          </cell>
          <cell r="AK178" t="str">
            <v>KG/0001</v>
          </cell>
          <cell r="AL178">
            <v>2597</v>
          </cell>
          <cell r="AM178">
            <v>0</v>
          </cell>
        </row>
        <row r="179">
          <cell r="AJ179" t="str">
            <v>002465 - RMP CREME CEBOLA KG</v>
          </cell>
          <cell r="AK179" t="str">
            <v>KG/0001</v>
          </cell>
          <cell r="AL179">
            <v>2465</v>
          </cell>
          <cell r="AM179">
            <v>0</v>
          </cell>
        </row>
        <row r="180">
          <cell r="AJ180" t="str">
            <v>002124 - RMP CREME DE LEITE KG</v>
          </cell>
          <cell r="AK180" t="str">
            <v>KG/0027</v>
          </cell>
          <cell r="AL180">
            <v>2124</v>
          </cell>
          <cell r="AM180">
            <v>0</v>
          </cell>
        </row>
        <row r="181">
          <cell r="AJ181" t="str">
            <v>006244 - RMP CREME MILHO  KG</v>
          </cell>
          <cell r="AK181" t="str">
            <v>KG/0001</v>
          </cell>
          <cell r="AL181">
            <v>6244</v>
          </cell>
          <cell r="AM181">
            <v>0</v>
          </cell>
        </row>
        <row r="182">
          <cell r="AJ182" t="str">
            <v>006685 - RMP ERVILHA PRONTO KG</v>
          </cell>
          <cell r="AK182" t="str">
            <v>KG/0001</v>
          </cell>
          <cell r="AL182">
            <v>6685</v>
          </cell>
          <cell r="AM182">
            <v>0</v>
          </cell>
        </row>
        <row r="183">
          <cell r="AJ183" t="str">
            <v>023371 - RMP ESPETO PARA CHURRASCO UN</v>
          </cell>
          <cell r="AK183" t="str">
            <v>UN/0001</v>
          </cell>
          <cell r="AL183">
            <v>233712</v>
          </cell>
          <cell r="AM183">
            <v>0</v>
          </cell>
        </row>
        <row r="184">
          <cell r="AJ184" t="str">
            <v>002979 - RMP ESPINAFRE KG</v>
          </cell>
          <cell r="AK184" t="str">
            <v>KG/0001</v>
          </cell>
          <cell r="AL184">
            <v>2979</v>
          </cell>
          <cell r="AM184">
            <v>0</v>
          </cell>
        </row>
        <row r="185">
          <cell r="AJ185" t="str">
            <v>002125 - RMP EXTRATO TOMATE KG</v>
          </cell>
          <cell r="AK185" t="str">
            <v>KG/0001</v>
          </cell>
          <cell r="AL185">
            <v>2125</v>
          </cell>
          <cell r="AM185">
            <v>0</v>
          </cell>
        </row>
        <row r="186">
          <cell r="AJ186" t="str">
            <v>004289 - RMP FARINHA DE MILHO KG</v>
          </cell>
          <cell r="AK186" t="str">
            <v>KG/0001</v>
          </cell>
          <cell r="AL186">
            <v>4289</v>
          </cell>
          <cell r="AM186">
            <v>0</v>
          </cell>
        </row>
        <row r="187">
          <cell r="AJ187" t="str">
            <v>003730 - RMP FARINHA MANDIOCA BRANCA KG</v>
          </cell>
          <cell r="AK187" t="str">
            <v>KG/0001</v>
          </cell>
          <cell r="AL187">
            <v>3730</v>
          </cell>
          <cell r="AM187">
            <v>0</v>
          </cell>
        </row>
        <row r="188">
          <cell r="AJ188" t="str">
            <v>002518 - RMP FARINHA MANDIOCA TORRADA KG</v>
          </cell>
          <cell r="AK188" t="str">
            <v>KG/0001</v>
          </cell>
          <cell r="AL188">
            <v>2518</v>
          </cell>
          <cell r="AM188">
            <v>0</v>
          </cell>
        </row>
        <row r="189">
          <cell r="AJ189" t="str">
            <v>003578 - RMP FARINHA MILANESA KG</v>
          </cell>
          <cell r="AK189" t="str">
            <v>KG/0010</v>
          </cell>
          <cell r="AL189">
            <v>3578</v>
          </cell>
          <cell r="AM189">
            <v>0</v>
          </cell>
        </row>
        <row r="190">
          <cell r="AJ190" t="str">
            <v>002098 - RMP FARINHA TRIGO KG</v>
          </cell>
          <cell r="AK190" t="str">
            <v>KG/0010</v>
          </cell>
          <cell r="AL190">
            <v>2098</v>
          </cell>
          <cell r="AM190">
            <v>0</v>
          </cell>
        </row>
        <row r="191">
          <cell r="AJ191" t="str">
            <v>002099 - RMP FAROFA KG</v>
          </cell>
          <cell r="AK191" t="str">
            <v>KG/0001</v>
          </cell>
          <cell r="AL191">
            <v>2099</v>
          </cell>
          <cell r="AM191">
            <v>0</v>
          </cell>
        </row>
        <row r="192">
          <cell r="AJ192" t="str">
            <v>002564 - RMP FEIJAO BRANCO KG</v>
          </cell>
          <cell r="AK192" t="str">
            <v>KG/0001</v>
          </cell>
          <cell r="AL192">
            <v>2564</v>
          </cell>
          <cell r="AM192">
            <v>0</v>
          </cell>
        </row>
        <row r="193">
          <cell r="AJ193" t="str">
            <v>002024 - RMP FEIJAO KG</v>
          </cell>
          <cell r="AK193" t="str">
            <v>KG/0001</v>
          </cell>
          <cell r="AL193">
            <v>2024</v>
          </cell>
          <cell r="AM193">
            <v>0</v>
          </cell>
        </row>
        <row r="194">
          <cell r="AJ194" t="str">
            <v>002020 - RMP FEIJAO PRETO KG</v>
          </cell>
          <cell r="AK194" t="str">
            <v>KG/0001</v>
          </cell>
          <cell r="AL194">
            <v>2020</v>
          </cell>
          <cell r="AM194">
            <v>0</v>
          </cell>
        </row>
        <row r="195">
          <cell r="AJ195" t="str">
            <v>004575 - RMP FERMENTO KG</v>
          </cell>
          <cell r="AK195" t="str">
            <v>KG/0010</v>
          </cell>
          <cell r="AL195">
            <v>4575</v>
          </cell>
          <cell r="AM195">
            <v>0</v>
          </cell>
        </row>
        <row r="196">
          <cell r="AJ196" t="str">
            <v>003145 - RMP FIGO EM CALDA  KG</v>
          </cell>
          <cell r="AK196" t="str">
            <v>KG/0001</v>
          </cell>
          <cell r="AL196">
            <v>3145</v>
          </cell>
          <cell r="AM196">
            <v>0</v>
          </cell>
        </row>
        <row r="197">
          <cell r="AJ197" t="str">
            <v>002499 - RMP FILE COXA SOBRECOXA C/ PELE SEM OSSO KG</v>
          </cell>
          <cell r="AK197" t="str">
            <v>KG/0001</v>
          </cell>
          <cell r="AL197">
            <v>2499</v>
          </cell>
          <cell r="AM197">
            <v>0</v>
          </cell>
        </row>
        <row r="198">
          <cell r="AJ198" t="str">
            <v>005328 - RMP FILE DE COXA/SOBRECOXA TEMP KG</v>
          </cell>
          <cell r="AK198" t="str">
            <v>KG/0001</v>
          </cell>
          <cell r="AL198">
            <v>5328</v>
          </cell>
          <cell r="AM198">
            <v>0</v>
          </cell>
        </row>
        <row r="199">
          <cell r="AJ199" t="str">
            <v>002250 - RMP FILE FRANGO KG</v>
          </cell>
          <cell r="AK199" t="str">
            <v>KG/0001</v>
          </cell>
          <cell r="AL199">
            <v>2250</v>
          </cell>
          <cell r="AM199">
            <v>0</v>
          </cell>
        </row>
        <row r="200">
          <cell r="AJ200" t="str">
            <v>002420 - RMP FRANGO PASSARINHO KG</v>
          </cell>
          <cell r="AK200" t="str">
            <v>KG/0001</v>
          </cell>
          <cell r="AL200">
            <v>2420</v>
          </cell>
          <cell r="AM200">
            <v>0</v>
          </cell>
        </row>
        <row r="201">
          <cell r="AJ201" t="str">
            <v>001897 - RMP FUBA KG</v>
          </cell>
          <cell r="AK201" t="str">
            <v>KG/0001</v>
          </cell>
          <cell r="AL201">
            <v>1897</v>
          </cell>
          <cell r="AM201">
            <v>0</v>
          </cell>
        </row>
        <row r="202">
          <cell r="AJ202" t="str">
            <v>005054 - RMP GENGIBRE KG</v>
          </cell>
          <cell r="AK202" t="str">
            <v>KG/0001</v>
          </cell>
          <cell r="AL202">
            <v>5054</v>
          </cell>
          <cell r="AM202">
            <v>0</v>
          </cell>
        </row>
        <row r="203">
          <cell r="AJ203" t="str">
            <v>004353 - RMP GERGELIM KG</v>
          </cell>
          <cell r="AK203" t="str">
            <v>KG/0001</v>
          </cell>
          <cell r="AL203">
            <v>4353</v>
          </cell>
          <cell r="AM203">
            <v>0</v>
          </cell>
        </row>
        <row r="204">
          <cell r="AJ204" t="str">
            <v xml:space="preserve">003138 - RMP GLICOSE YOKI MEL KG </v>
          </cell>
          <cell r="AK204" t="str">
            <v>KG/0027</v>
          </cell>
          <cell r="AL204">
            <v>3138</v>
          </cell>
          <cell r="AM204">
            <v>0</v>
          </cell>
        </row>
        <row r="205">
          <cell r="AJ205" t="str">
            <v>002301 - RMP GRAO BICO KG</v>
          </cell>
          <cell r="AK205" t="str">
            <v>KG/0060</v>
          </cell>
          <cell r="AL205">
            <v>2301</v>
          </cell>
          <cell r="AM205">
            <v>0</v>
          </cell>
        </row>
        <row r="206">
          <cell r="AJ206" t="str">
            <v xml:space="preserve">005888 - RMP HAMBURGER KG </v>
          </cell>
          <cell r="AK206" t="str">
            <v>KG/0001</v>
          </cell>
          <cell r="AL206">
            <v>5888</v>
          </cell>
          <cell r="AM206">
            <v>0</v>
          </cell>
        </row>
        <row r="207">
          <cell r="AJ207" t="str">
            <v>002614 - RMP HORTELA KG</v>
          </cell>
          <cell r="AK207" t="str">
            <v>KG/0001</v>
          </cell>
          <cell r="AL207">
            <v>2614</v>
          </cell>
          <cell r="AM207">
            <v>0</v>
          </cell>
        </row>
        <row r="208">
          <cell r="AJ208" t="str">
            <v>006034 - RMP INHAME  KG</v>
          </cell>
          <cell r="AK208" t="str">
            <v>KG/0001</v>
          </cell>
          <cell r="AL208">
            <v>6034</v>
          </cell>
          <cell r="AM208">
            <v>0</v>
          </cell>
        </row>
        <row r="209">
          <cell r="AJ209" t="str">
            <v>002505 - RMP JILO KG</v>
          </cell>
          <cell r="AK209" t="str">
            <v>KG/0001</v>
          </cell>
          <cell r="AL209">
            <v>2505</v>
          </cell>
          <cell r="AM209">
            <v>0</v>
          </cell>
        </row>
        <row r="210">
          <cell r="AJ210" t="str">
            <v>005209 - RMP KIBE PARA ASSAR  KG</v>
          </cell>
          <cell r="AK210" t="str">
            <v>KG/0001</v>
          </cell>
          <cell r="AL210">
            <v>5209</v>
          </cell>
          <cell r="AM210">
            <v>0</v>
          </cell>
        </row>
        <row r="211">
          <cell r="AJ211" t="str">
            <v>002493 - RMP LARANJA KG</v>
          </cell>
          <cell r="AK211" t="str">
            <v>KG/0001</v>
          </cell>
          <cell r="AL211">
            <v>2493</v>
          </cell>
          <cell r="AM211">
            <v>0</v>
          </cell>
        </row>
        <row r="212">
          <cell r="AJ212" t="str">
            <v>003331 - RMP LEGUMES KG</v>
          </cell>
          <cell r="AK212" t="str">
            <v>KG/0001</v>
          </cell>
          <cell r="AL212">
            <v>3331</v>
          </cell>
          <cell r="AM212">
            <v>0</v>
          </cell>
        </row>
        <row r="213">
          <cell r="AJ213" t="str">
            <v>002565 - RMP LEITE COCO KG</v>
          </cell>
          <cell r="AK213" t="str">
            <v>KG/0024</v>
          </cell>
          <cell r="AL213">
            <v>2565</v>
          </cell>
          <cell r="AM213">
            <v>0</v>
          </cell>
        </row>
        <row r="214">
          <cell r="AJ214" t="str">
            <v>002136 - RMP LEITE KG</v>
          </cell>
          <cell r="AK214" t="str">
            <v>KG/0001</v>
          </cell>
          <cell r="AL214">
            <v>2136</v>
          </cell>
          <cell r="AM214">
            <v>0</v>
          </cell>
        </row>
        <row r="215">
          <cell r="AJ215" t="str">
            <v>005393 - RMP LEMON PEPPER  KG</v>
          </cell>
          <cell r="AK215" t="str">
            <v>KG/0001</v>
          </cell>
          <cell r="AL215">
            <v>5393</v>
          </cell>
          <cell r="AM215">
            <v>0</v>
          </cell>
        </row>
        <row r="216">
          <cell r="AJ216" t="str">
            <v>003265 - RMP LENTILHA  KG</v>
          </cell>
          <cell r="AK216" t="str">
            <v>KG/0001</v>
          </cell>
          <cell r="AL216">
            <v>3265</v>
          </cell>
          <cell r="AM216">
            <v>0</v>
          </cell>
        </row>
        <row r="217">
          <cell r="AJ217" t="str">
            <v>002454 - RMP LIMAO KG</v>
          </cell>
          <cell r="AK217" t="str">
            <v>KG/0001</v>
          </cell>
          <cell r="AL217">
            <v>2454</v>
          </cell>
          <cell r="AM217">
            <v>0</v>
          </cell>
        </row>
        <row r="218">
          <cell r="AJ218" t="str">
            <v>002019 - RMP LINGUICA CALABRESA KG</v>
          </cell>
          <cell r="AK218" t="str">
            <v>KG/0001</v>
          </cell>
          <cell r="AL218">
            <v>2019</v>
          </cell>
          <cell r="AM218">
            <v>0</v>
          </cell>
        </row>
        <row r="219">
          <cell r="AJ219" t="str">
            <v>006431 - RMP LINGUICA FRANGO KG</v>
          </cell>
          <cell r="AK219" t="str">
            <v>KG/0001</v>
          </cell>
          <cell r="AL219">
            <v>6431</v>
          </cell>
          <cell r="AM219">
            <v>0</v>
          </cell>
        </row>
        <row r="220">
          <cell r="AJ220" t="str">
            <v>005230 - RMP LINGUICA  KG</v>
          </cell>
          <cell r="AK220" t="str">
            <v>KG/0001</v>
          </cell>
          <cell r="AL220">
            <v>5230</v>
          </cell>
          <cell r="AM220">
            <v>0</v>
          </cell>
        </row>
        <row r="221">
          <cell r="AJ221" t="str">
            <v>002018 - RMP LINGUICA PAIO KG</v>
          </cell>
          <cell r="AK221" t="str">
            <v>KG/0001</v>
          </cell>
          <cell r="AL221">
            <v>2018</v>
          </cell>
          <cell r="AM221">
            <v>0</v>
          </cell>
        </row>
        <row r="222">
          <cell r="AJ222" t="str">
            <v>003162 - RMP LINGUICA TOSCANA KG</v>
          </cell>
          <cell r="AK222" t="str">
            <v>KG/0001</v>
          </cell>
          <cell r="AL222">
            <v>3162</v>
          </cell>
          <cell r="AM222">
            <v>0</v>
          </cell>
        </row>
        <row r="223">
          <cell r="AJ223" t="str">
            <v>002021 - RMP LOURO EM FOLHA KG</v>
          </cell>
          <cell r="AK223" t="str">
            <v>KG/0001</v>
          </cell>
          <cell r="AL223">
            <v>2021</v>
          </cell>
          <cell r="AM223">
            <v>0</v>
          </cell>
        </row>
        <row r="224">
          <cell r="AJ224" t="str">
            <v>002533 - RMP MACA KG</v>
          </cell>
          <cell r="AK224" t="str">
            <v>KG/0001</v>
          </cell>
          <cell r="AL224">
            <v>2533</v>
          </cell>
          <cell r="AM224">
            <v>0</v>
          </cell>
        </row>
        <row r="225">
          <cell r="AJ225" t="str">
            <v>003853 - RMP MACARRAO AVE MARIA  KG</v>
          </cell>
          <cell r="AK225" t="str">
            <v>KG/0001</v>
          </cell>
          <cell r="AL225">
            <v>3853</v>
          </cell>
          <cell r="AM225">
            <v>0</v>
          </cell>
        </row>
        <row r="226">
          <cell r="AJ226" t="str">
            <v>002817 - RMP MACARRAO BAVETI KG</v>
          </cell>
          <cell r="AK226" t="str">
            <v>KG/0040</v>
          </cell>
          <cell r="AL226">
            <v>2817</v>
          </cell>
          <cell r="AM226">
            <v>0</v>
          </cell>
        </row>
        <row r="227">
          <cell r="AJ227" t="str">
            <v>002901 - RMP MACARRAO CABELOS ANJOS KG</v>
          </cell>
          <cell r="AK227" t="str">
            <v>KG/0001</v>
          </cell>
          <cell r="AL227">
            <v>2901</v>
          </cell>
          <cell r="AM227">
            <v>0</v>
          </cell>
        </row>
        <row r="228">
          <cell r="AJ228" t="str">
            <v>002316 - RMP MACARRAO ESPAGUETE KG</v>
          </cell>
          <cell r="AK228" t="str">
            <v>KG/0001</v>
          </cell>
          <cell r="AL228">
            <v>2316</v>
          </cell>
          <cell r="AM228">
            <v>0</v>
          </cell>
        </row>
        <row r="229">
          <cell r="AJ229" t="str">
            <v>002095 - RMP MACARRAO ESPAGUETINHO KG</v>
          </cell>
          <cell r="AK229" t="str">
            <v>KG/0001</v>
          </cell>
          <cell r="AL229">
            <v>2095</v>
          </cell>
          <cell r="AM229">
            <v>0</v>
          </cell>
        </row>
        <row r="230">
          <cell r="AJ230" t="str">
            <v>003746 - RMP MACARRAO FETTUCCINE KG</v>
          </cell>
          <cell r="AK230" t="str">
            <v>KG/0001</v>
          </cell>
          <cell r="AL230">
            <v>3746</v>
          </cell>
          <cell r="AM230">
            <v>0</v>
          </cell>
        </row>
        <row r="231">
          <cell r="AJ231" t="str">
            <v>002094 - RMP MACARRAO FURADINHO  KG</v>
          </cell>
          <cell r="AK231" t="str">
            <v>KG/0001</v>
          </cell>
          <cell r="AL231">
            <v>2094</v>
          </cell>
          <cell r="AM231">
            <v>0</v>
          </cell>
        </row>
        <row r="232">
          <cell r="AJ232" t="str">
            <v>005843 - RMP MACARRAO GRAVATA KG</v>
          </cell>
          <cell r="AK232" t="str">
            <v>KG/0001</v>
          </cell>
          <cell r="AL232">
            <v>5843</v>
          </cell>
          <cell r="AM232">
            <v>0</v>
          </cell>
        </row>
        <row r="233">
          <cell r="AJ233" t="str">
            <v>002127 - RMP MACARRAO INTEGRAL ESPAGUETE KG</v>
          </cell>
          <cell r="AK233" t="str">
            <v>KG/0001</v>
          </cell>
          <cell r="AL233">
            <v>2127</v>
          </cell>
          <cell r="AM233">
            <v>0</v>
          </cell>
        </row>
        <row r="234">
          <cell r="AJ234" t="str">
            <v>006809 - RMP MACARRAO LINGUINE  KG</v>
          </cell>
          <cell r="AK234" t="str">
            <v>KG/0001</v>
          </cell>
          <cell r="AL234">
            <v>6809</v>
          </cell>
          <cell r="AM234">
            <v>0</v>
          </cell>
        </row>
        <row r="235">
          <cell r="AJ235" t="str">
            <v>002695 - RMP MACARRAO NINHO KG</v>
          </cell>
          <cell r="AK235" t="str">
            <v>KG/0020</v>
          </cell>
          <cell r="AL235">
            <v>2695</v>
          </cell>
          <cell r="AM235">
            <v>0</v>
          </cell>
        </row>
        <row r="236">
          <cell r="AJ236" t="str">
            <v>002317 - RMP MACARRAO ORIENTAL BIFUM KG</v>
          </cell>
          <cell r="AK236" t="str">
            <v>KG/0001</v>
          </cell>
          <cell r="AL236">
            <v>2317</v>
          </cell>
          <cell r="AM236">
            <v>0</v>
          </cell>
        </row>
        <row r="237">
          <cell r="AJ237" t="str">
            <v>003054 - RMP MACARRAO PADRE NOSSO</v>
          </cell>
          <cell r="AK237" t="str">
            <v>KG/0001</v>
          </cell>
          <cell r="AL237">
            <v>3054</v>
          </cell>
          <cell r="AM237">
            <v>0</v>
          </cell>
        </row>
        <row r="238">
          <cell r="AJ238" t="str">
            <v>002128 - RMP MACARRAO PARAFUSO KG</v>
          </cell>
          <cell r="AK238" t="str">
            <v>KG/0020</v>
          </cell>
          <cell r="AL238">
            <v>2128</v>
          </cell>
          <cell r="AM238">
            <v>0</v>
          </cell>
        </row>
        <row r="239">
          <cell r="AJ239" t="str">
            <v>002129 - RMP MACARRAO PENE KG</v>
          </cell>
          <cell r="AK239" t="str">
            <v>KG/0001</v>
          </cell>
          <cell r="AL239">
            <v>2129</v>
          </cell>
          <cell r="AM239">
            <v>0</v>
          </cell>
        </row>
        <row r="240">
          <cell r="AJ240" t="str">
            <v>002673 - RMP MACARRAO TALHARIM KG</v>
          </cell>
          <cell r="AK240" t="str">
            <v>KG/0001</v>
          </cell>
          <cell r="AL240">
            <v>2673</v>
          </cell>
          <cell r="AM240">
            <v>0</v>
          </cell>
        </row>
        <row r="241">
          <cell r="AJ241" t="str">
            <v>003339 - RMP MACARRAO TORTIGLIONI KG</v>
          </cell>
          <cell r="AK241" t="str">
            <v>KG/0001</v>
          </cell>
          <cell r="AL241">
            <v>3339</v>
          </cell>
          <cell r="AM241">
            <v>0</v>
          </cell>
        </row>
        <row r="242">
          <cell r="AJ242" t="str">
            <v>002076 - RMP MACARRAO YAKISSOBA KG</v>
          </cell>
          <cell r="AK242" t="str">
            <v>KG/0001</v>
          </cell>
          <cell r="AL242">
            <v>2076</v>
          </cell>
          <cell r="AM242">
            <v>19.899999999999999</v>
          </cell>
        </row>
        <row r="243">
          <cell r="AJ243" t="str">
            <v>002507 - RMP MAC.TRICOLORI GRAVATA KG</v>
          </cell>
          <cell r="AK243" t="str">
            <v>KG/0001</v>
          </cell>
          <cell r="AL243">
            <v>2507</v>
          </cell>
          <cell r="AM243">
            <v>0</v>
          </cell>
        </row>
        <row r="244">
          <cell r="AJ244" t="str">
            <v>002122 - RMP MAIONESE KG</v>
          </cell>
          <cell r="AK244" t="str">
            <v>KG/0006</v>
          </cell>
          <cell r="AL244">
            <v>2122</v>
          </cell>
          <cell r="AM244">
            <v>0</v>
          </cell>
        </row>
        <row r="245">
          <cell r="AJ245" t="str">
            <v>002344 - RMP MANDIOQUINHA KG</v>
          </cell>
          <cell r="AK245" t="str">
            <v>KG/0001</v>
          </cell>
          <cell r="AL245">
            <v>2344</v>
          </cell>
          <cell r="AM245">
            <v>0</v>
          </cell>
        </row>
        <row r="246">
          <cell r="AJ246" t="str">
            <v>002568 - RMP MANJERICAO KG</v>
          </cell>
          <cell r="AK246" t="str">
            <v>KG/0001</v>
          </cell>
          <cell r="AL246">
            <v>2568</v>
          </cell>
          <cell r="AM246">
            <v>0</v>
          </cell>
        </row>
        <row r="247">
          <cell r="AJ247" t="str">
            <v>002627 - RMP MARACUJA KG</v>
          </cell>
          <cell r="AK247" t="str">
            <v>KG/0001</v>
          </cell>
          <cell r="AL247">
            <v>2627</v>
          </cell>
          <cell r="AM247">
            <v>0</v>
          </cell>
        </row>
        <row r="248">
          <cell r="AJ248" t="str">
            <v>002123 - RMP MARGARINA KG</v>
          </cell>
          <cell r="AK248" t="str">
            <v>KG/0012</v>
          </cell>
          <cell r="AL248">
            <v>2123</v>
          </cell>
          <cell r="AM248">
            <v>5.99</v>
          </cell>
        </row>
        <row r="249">
          <cell r="AJ249" t="str">
            <v>006488 - RMP MASSA PANQUECA KG</v>
          </cell>
          <cell r="AK249" t="str">
            <v>KG/0001</v>
          </cell>
          <cell r="AL249">
            <v>6488</v>
          </cell>
          <cell r="AM249">
            <v>39.9</v>
          </cell>
        </row>
        <row r="250">
          <cell r="AJ250" t="str">
            <v>033555 - RMP MASSA PANQUECA PRONTA</v>
          </cell>
          <cell r="AK250" t="str">
            <v>UN/0001</v>
          </cell>
          <cell r="AL250">
            <v>335553</v>
          </cell>
          <cell r="AM250">
            <v>1.99</v>
          </cell>
        </row>
        <row r="251">
          <cell r="AJ251" t="str">
            <v>002163 - RMP MASSA PARA LASANHA KG</v>
          </cell>
          <cell r="AK251" t="str">
            <v>KG/0048</v>
          </cell>
          <cell r="AL251">
            <v>2163</v>
          </cell>
          <cell r="AM251">
            <v>0</v>
          </cell>
        </row>
        <row r="252">
          <cell r="AJ252" t="str">
            <v>002023 - RMP MILHO VERDE PRONTO KG</v>
          </cell>
          <cell r="AK252" t="str">
            <v>KG/0001</v>
          </cell>
          <cell r="AL252">
            <v>2023</v>
          </cell>
          <cell r="AM252">
            <v>0</v>
          </cell>
        </row>
        <row r="253">
          <cell r="AJ253" t="str">
            <v>021846 - RMP MILHO VERDE UND</v>
          </cell>
          <cell r="AK253" t="str">
            <v>UN/0001</v>
          </cell>
          <cell r="AL253">
            <v>218467</v>
          </cell>
          <cell r="AM253">
            <v>0</v>
          </cell>
        </row>
        <row r="254">
          <cell r="AJ254" t="str">
            <v>002699 - RMP MOLHO BARBECUE KG</v>
          </cell>
          <cell r="AK254" t="str">
            <v>KG/0012</v>
          </cell>
          <cell r="AL254">
            <v>2699</v>
          </cell>
          <cell r="AM254">
            <v>0</v>
          </cell>
        </row>
        <row r="255">
          <cell r="AJ255" t="str">
            <v>006456 - RMP MOLHO BOLONHESA KG</v>
          </cell>
          <cell r="AK255" t="str">
            <v>KG/0001</v>
          </cell>
          <cell r="AL255">
            <v>6456</v>
          </cell>
          <cell r="AM255">
            <v>39.9</v>
          </cell>
        </row>
        <row r="256">
          <cell r="AJ256" t="str">
            <v>002506 - RMP MOLHO BRANCO BECHAMEL KG</v>
          </cell>
          <cell r="AK256" t="str">
            <v>KG/0001</v>
          </cell>
          <cell r="AL256">
            <v>2506</v>
          </cell>
          <cell r="AM256">
            <v>0</v>
          </cell>
        </row>
        <row r="257">
          <cell r="AJ257" t="str">
            <v>006457 - RMP MOLHO BRANCO KG CASEIRO</v>
          </cell>
          <cell r="AK257" t="str">
            <v>KG/0001</v>
          </cell>
          <cell r="AL257">
            <v>6457</v>
          </cell>
          <cell r="AM257">
            <v>29.9</v>
          </cell>
        </row>
        <row r="258">
          <cell r="AJ258" t="str">
            <v>006521 - RMP MOLHO ESCURO DEMIGLACE KG</v>
          </cell>
          <cell r="AK258" t="str">
            <v>KG/0001</v>
          </cell>
          <cell r="AL258">
            <v>6521</v>
          </cell>
          <cell r="AM258">
            <v>29.9</v>
          </cell>
        </row>
        <row r="259">
          <cell r="AJ259" t="str">
            <v>002482 - RMP MOLHO INGLES KG</v>
          </cell>
          <cell r="AK259" t="str">
            <v>KG/0001</v>
          </cell>
          <cell r="AL259">
            <v>2482</v>
          </cell>
          <cell r="AM259">
            <v>0</v>
          </cell>
        </row>
        <row r="260">
          <cell r="AJ260" t="str">
            <v>006177 - RMP MOLHO MADEIRA KG</v>
          </cell>
          <cell r="AK260" t="str">
            <v>KG/0001</v>
          </cell>
          <cell r="AL260">
            <v>6177</v>
          </cell>
          <cell r="AM260">
            <v>39.9</v>
          </cell>
        </row>
        <row r="261">
          <cell r="AJ261" t="str">
            <v>005962 - RMP MOLHO PARA YAKISSOBA  KG</v>
          </cell>
          <cell r="AK261" t="str">
            <v>KG/0001</v>
          </cell>
          <cell r="AL261">
            <v>5962</v>
          </cell>
          <cell r="AM261">
            <v>0</v>
          </cell>
        </row>
        <row r="262">
          <cell r="AJ262" t="str">
            <v>005527 - RMP MOLHO PESTO KG</v>
          </cell>
          <cell r="AK262" t="str">
            <v>KG/0001</v>
          </cell>
          <cell r="AL262">
            <v>5527</v>
          </cell>
          <cell r="AM262">
            <v>29.9</v>
          </cell>
        </row>
        <row r="263">
          <cell r="AJ263" t="str">
            <v>002096 - RMP MOLHO PIMENTA KG</v>
          </cell>
          <cell r="AK263" t="str">
            <v>KG/0001</v>
          </cell>
          <cell r="AL263">
            <v>2096</v>
          </cell>
          <cell r="AM263">
            <v>0</v>
          </cell>
        </row>
        <row r="264">
          <cell r="AJ264" t="str">
            <v>002137 - RMP MOLHO SHOYU KG</v>
          </cell>
          <cell r="AK264" t="str">
            <v>KG/0001</v>
          </cell>
          <cell r="AL264">
            <v>2137</v>
          </cell>
          <cell r="AM264">
            <v>0</v>
          </cell>
        </row>
        <row r="265">
          <cell r="AJ265" t="str">
            <v>006447 - RMP MOLHO TOMATE AO SUGO   KG</v>
          </cell>
          <cell r="AK265" t="str">
            <v>KG/0001</v>
          </cell>
          <cell r="AL265">
            <v>6447</v>
          </cell>
          <cell r="AM265">
            <v>19.899999999999999</v>
          </cell>
        </row>
        <row r="266">
          <cell r="AJ266" t="str">
            <v>002100 - RMP MOLHO TOMATE KG</v>
          </cell>
          <cell r="AK266" t="str">
            <v>KG/0001</v>
          </cell>
          <cell r="AL266">
            <v>7891132009305</v>
          </cell>
          <cell r="AM266">
            <v>0</v>
          </cell>
        </row>
        <row r="267">
          <cell r="AJ267" t="str">
            <v>006463 - RMP MOLHO TOMATE KG CASEIRO</v>
          </cell>
          <cell r="AK267" t="str">
            <v>KG/0001</v>
          </cell>
          <cell r="AL267">
            <v>6463</v>
          </cell>
          <cell r="AM267">
            <v>39.9</v>
          </cell>
        </row>
        <row r="268">
          <cell r="AJ268" t="str">
            <v>005987 - RMP MORANGA  KG</v>
          </cell>
          <cell r="AK268" t="str">
            <v>KG/0001</v>
          </cell>
          <cell r="AL268">
            <v>5987</v>
          </cell>
          <cell r="AM268">
            <v>0</v>
          </cell>
        </row>
        <row r="269">
          <cell r="AJ269" t="str">
            <v>002238 - RMP MORTADELA KG</v>
          </cell>
          <cell r="AK269" t="str">
            <v>KG/0001</v>
          </cell>
          <cell r="AL269">
            <v>2238</v>
          </cell>
          <cell r="AM269">
            <v>10.08</v>
          </cell>
        </row>
        <row r="270">
          <cell r="AJ270" t="str">
            <v>002126 - RMP MOSTARDA KG</v>
          </cell>
          <cell r="AK270" t="str">
            <v>KG/0001</v>
          </cell>
          <cell r="AL270">
            <v>2126</v>
          </cell>
          <cell r="AM270">
            <v>0</v>
          </cell>
        </row>
        <row r="271">
          <cell r="AJ271" t="str">
            <v>002349 - RMP MUSSARELA KG</v>
          </cell>
          <cell r="AK271" t="str">
            <v>KG/0001</v>
          </cell>
          <cell r="AL271">
            <v>2349</v>
          </cell>
          <cell r="AM271">
            <v>0</v>
          </cell>
        </row>
        <row r="272">
          <cell r="AJ272" t="str">
            <v>002083 - RMP NHOQUE BATATA KG</v>
          </cell>
          <cell r="AK272" t="str">
            <v>KG/0001</v>
          </cell>
          <cell r="AL272">
            <v>2083</v>
          </cell>
          <cell r="AM272">
            <v>0</v>
          </cell>
        </row>
        <row r="273">
          <cell r="AJ273" t="str">
            <v>003084 - RMP NHOQUE RECHEADO KG</v>
          </cell>
          <cell r="AK273" t="str">
            <v>KG/0001</v>
          </cell>
          <cell r="AL273">
            <v>3084</v>
          </cell>
          <cell r="AM273">
            <v>0</v>
          </cell>
        </row>
        <row r="274">
          <cell r="AJ274" t="str">
            <v>002803 - RMP NOZES SEM CASCA KG</v>
          </cell>
          <cell r="AK274" t="str">
            <v>KG/0001</v>
          </cell>
          <cell r="AL274">
            <v>2803</v>
          </cell>
          <cell r="AM274">
            <v>0</v>
          </cell>
        </row>
        <row r="275">
          <cell r="AJ275" t="str">
            <v>007524 - RMP OLEO SOJA KG</v>
          </cell>
          <cell r="AK275" t="str">
            <v>KG/0001</v>
          </cell>
          <cell r="AL275">
            <v>7524</v>
          </cell>
          <cell r="AM275">
            <v>145</v>
          </cell>
        </row>
        <row r="276">
          <cell r="AJ276" t="str">
            <v>002566 - RMP OREGANO KG</v>
          </cell>
          <cell r="AK276" t="str">
            <v>KG/0001</v>
          </cell>
          <cell r="AL276">
            <v>2566</v>
          </cell>
          <cell r="AM276">
            <v>0</v>
          </cell>
        </row>
        <row r="277">
          <cell r="AJ277" t="str">
            <v>029785 - RMP OVOS GRANJA AMANO TP GRANDE UND</v>
          </cell>
          <cell r="AK277" t="str">
            <v>UN/0001</v>
          </cell>
          <cell r="AL277">
            <v>297851</v>
          </cell>
          <cell r="AM277">
            <v>0</v>
          </cell>
        </row>
        <row r="278">
          <cell r="AJ278" t="str">
            <v>002223 - RMP PADARIA FARINHA ROSCA CASEIRA KG</v>
          </cell>
          <cell r="AK278" t="str">
            <v>KG/0001</v>
          </cell>
          <cell r="AL278">
            <v>2223</v>
          </cell>
          <cell r="AM278">
            <v>6</v>
          </cell>
        </row>
        <row r="279">
          <cell r="AJ279" t="str">
            <v>021480 - RMP PALITO UN</v>
          </cell>
          <cell r="AK279" t="str">
            <v>UN/0001</v>
          </cell>
          <cell r="AL279">
            <v>214803</v>
          </cell>
          <cell r="AM279">
            <v>0</v>
          </cell>
        </row>
        <row r="280">
          <cell r="AJ280" t="str">
            <v>006474 - RMP PANCETA TEMP KG</v>
          </cell>
          <cell r="AK280" t="str">
            <v>KG/0001</v>
          </cell>
          <cell r="AL280">
            <v>6474</v>
          </cell>
          <cell r="AM280">
            <v>25.39</v>
          </cell>
        </row>
        <row r="281">
          <cell r="AJ281" t="str">
            <v>002224 - RMP PAO FRANCES KG</v>
          </cell>
          <cell r="AK281" t="str">
            <v>KG/0008</v>
          </cell>
          <cell r="AL281">
            <v>2224</v>
          </cell>
          <cell r="AM281">
            <v>0</v>
          </cell>
        </row>
        <row r="282">
          <cell r="AJ282" t="str">
            <v>002366 - RMP PAPRICA KG</v>
          </cell>
          <cell r="AK282" t="str">
            <v>KG/0001</v>
          </cell>
          <cell r="AL282">
            <v>2366</v>
          </cell>
          <cell r="AM282">
            <v>0</v>
          </cell>
        </row>
        <row r="283">
          <cell r="AJ283" t="str">
            <v>005980 - RMP PEITO DE PERU  KG</v>
          </cell>
          <cell r="AK283" t="str">
            <v>KG/0001</v>
          </cell>
          <cell r="AL283">
            <v>5980</v>
          </cell>
          <cell r="AM283">
            <v>0</v>
          </cell>
        </row>
        <row r="284">
          <cell r="AJ284" t="str">
            <v>002225 - RMP PEIXE BACALHAU COD DESFIADO KG</v>
          </cell>
          <cell r="AK284" t="str">
            <v>KG/0001</v>
          </cell>
          <cell r="AL284">
            <v>2225</v>
          </cell>
          <cell r="AM284">
            <v>29.9</v>
          </cell>
        </row>
        <row r="285">
          <cell r="AJ285" t="str">
            <v>002436 - RMP PEIXE FILE DE MAPARA  KG</v>
          </cell>
          <cell r="AK285" t="str">
            <v>KG/0001</v>
          </cell>
          <cell r="AL285">
            <v>2436</v>
          </cell>
          <cell r="AM285">
            <v>0</v>
          </cell>
        </row>
        <row r="286">
          <cell r="AJ286" t="str">
            <v>002437 - RMP PEIXE FILE DE TILAPIA KG</v>
          </cell>
          <cell r="AK286" t="str">
            <v>KG/0001</v>
          </cell>
          <cell r="AL286">
            <v>2437</v>
          </cell>
          <cell r="AM286">
            <v>0</v>
          </cell>
        </row>
        <row r="287">
          <cell r="AJ287" t="str">
            <v>004785 - RMP PEIXE KANIKAMA KG</v>
          </cell>
          <cell r="AK287" t="str">
            <v>KG/0001</v>
          </cell>
          <cell r="AL287">
            <v>4785</v>
          </cell>
          <cell r="AM287">
            <v>0</v>
          </cell>
        </row>
        <row r="288">
          <cell r="AJ288" t="str">
            <v>005847 - RMP PEIXE POSTA TILAPIA KG</v>
          </cell>
          <cell r="AK288" t="str">
            <v>KG/0001</v>
          </cell>
          <cell r="AL288">
            <v>5847</v>
          </cell>
          <cell r="AM288">
            <v>23.2</v>
          </cell>
        </row>
        <row r="289">
          <cell r="AJ289" t="str">
            <v>004025 - RMP PEIXE SALMAO  KG</v>
          </cell>
          <cell r="AK289" t="str">
            <v>KG/0001</v>
          </cell>
          <cell r="AL289">
            <v>4025</v>
          </cell>
          <cell r="AM289">
            <v>0</v>
          </cell>
        </row>
        <row r="290">
          <cell r="AJ290" t="str">
            <v>002735 - RMP PEPINO CAIPIRA KG</v>
          </cell>
          <cell r="AK290" t="str">
            <v>KG/0001</v>
          </cell>
          <cell r="AL290">
            <v>2735</v>
          </cell>
          <cell r="AM290">
            <v>0</v>
          </cell>
        </row>
        <row r="291">
          <cell r="AJ291" t="str">
            <v>002457 - RMP PEPINO JAPONES KG</v>
          </cell>
          <cell r="AK291" t="str">
            <v>KG/0001</v>
          </cell>
          <cell r="AL291">
            <v>2457</v>
          </cell>
          <cell r="AM291">
            <v>0</v>
          </cell>
        </row>
        <row r="292">
          <cell r="AJ292" t="str">
            <v>003146 - RMP PESSEGO EM CALDA  KG</v>
          </cell>
          <cell r="AK292" t="str">
            <v>KG/0001</v>
          </cell>
          <cell r="AL292">
            <v>3146</v>
          </cell>
          <cell r="AM292">
            <v>0</v>
          </cell>
        </row>
        <row r="293">
          <cell r="AJ293" t="str">
            <v>002156 - RMP PIMENTA BIQUINHO KG</v>
          </cell>
          <cell r="AK293" t="str">
            <v>KG/0001</v>
          </cell>
          <cell r="AL293">
            <v>7898598810582</v>
          </cell>
          <cell r="AM293">
            <v>51.9</v>
          </cell>
        </row>
        <row r="294">
          <cell r="AJ294" t="str">
            <v>002097 - RMP PIMENTA CALABRESA KG</v>
          </cell>
          <cell r="AK294" t="str">
            <v>KG/0001</v>
          </cell>
          <cell r="AL294">
            <v>2097</v>
          </cell>
          <cell r="AM294">
            <v>0</v>
          </cell>
        </row>
        <row r="295">
          <cell r="AJ295" t="str">
            <v>002691 - RMP PIMENTA CHAPEU DE PADRE KG</v>
          </cell>
          <cell r="AK295" t="str">
            <v>KG/0001</v>
          </cell>
          <cell r="AL295">
            <v>2691</v>
          </cell>
          <cell r="AM295">
            <v>0</v>
          </cell>
        </row>
        <row r="296">
          <cell r="AJ296" t="str">
            <v>002084 - RMP PIMENTA DO REINO MOIDA KG</v>
          </cell>
          <cell r="AK296" t="str">
            <v>KG/0001</v>
          </cell>
          <cell r="AL296">
            <v>2084</v>
          </cell>
          <cell r="AM296">
            <v>0</v>
          </cell>
        </row>
        <row r="297">
          <cell r="AJ297" t="str">
            <v>002226 - RMP PIMENTAO AMARELO KG</v>
          </cell>
          <cell r="AK297" t="str">
            <v>KG/0001</v>
          </cell>
          <cell r="AL297">
            <v>2226</v>
          </cell>
          <cell r="AM297">
            <v>8.5</v>
          </cell>
        </row>
        <row r="298">
          <cell r="AJ298" t="str">
            <v>004881 - RMP PIMENTAO LARANJA KG</v>
          </cell>
          <cell r="AK298" t="str">
            <v>KG/0001</v>
          </cell>
          <cell r="AL298">
            <v>4881</v>
          </cell>
          <cell r="AM298">
            <v>0</v>
          </cell>
        </row>
        <row r="299">
          <cell r="AJ299" t="str">
            <v>002516 - RMP PIMENTAO VERDE KG</v>
          </cell>
          <cell r="AK299" t="str">
            <v>KG/0001</v>
          </cell>
          <cell r="AL299">
            <v>2516</v>
          </cell>
          <cell r="AM299">
            <v>0</v>
          </cell>
        </row>
        <row r="300">
          <cell r="AJ300" t="str">
            <v>002227 - RMP PIMENTAO VERMELHO KG</v>
          </cell>
          <cell r="AK300" t="str">
            <v>KG/0001</v>
          </cell>
          <cell r="AL300">
            <v>2227</v>
          </cell>
          <cell r="AM300">
            <v>10.93</v>
          </cell>
        </row>
        <row r="301">
          <cell r="AJ301" t="str">
            <v>002085 - RMP PIMENTA REINO BRANCA MOIDA KG</v>
          </cell>
          <cell r="AK301" t="str">
            <v>KG/0001</v>
          </cell>
          <cell r="AL301">
            <v>2085</v>
          </cell>
          <cell r="AM301">
            <v>0</v>
          </cell>
        </row>
        <row r="302">
          <cell r="AJ302" t="str">
            <v>002914 - RMP PIMENTA VERMELHA KG</v>
          </cell>
          <cell r="AK302" t="str">
            <v>KG/0001</v>
          </cell>
          <cell r="AL302">
            <v>2914</v>
          </cell>
          <cell r="AM302">
            <v>0</v>
          </cell>
        </row>
        <row r="303">
          <cell r="AJ303" t="str">
            <v>006391 - RMP POLENTA PRONTA KG</v>
          </cell>
          <cell r="AK303" t="str">
            <v>KG/0001</v>
          </cell>
          <cell r="AL303">
            <v>6391</v>
          </cell>
          <cell r="AM303">
            <v>10.99</v>
          </cell>
        </row>
        <row r="304">
          <cell r="AJ304" t="str">
            <v>002363 - RMP PRESUNTO KG</v>
          </cell>
          <cell r="AK304" t="str">
            <v>KG/0001</v>
          </cell>
          <cell r="AL304">
            <v>2363</v>
          </cell>
          <cell r="AM304">
            <v>0</v>
          </cell>
        </row>
        <row r="305">
          <cell r="AJ305" t="str">
            <v>002535 - RMP QUEIJO COALHO PECA KG</v>
          </cell>
          <cell r="AK305" t="str">
            <v>KG/0001</v>
          </cell>
          <cell r="AL305">
            <v>2535</v>
          </cell>
          <cell r="AM305">
            <v>0</v>
          </cell>
        </row>
        <row r="306">
          <cell r="AJ306" t="str">
            <v>002251 - RMP QUEIJO COTTAGE KG</v>
          </cell>
          <cell r="AK306" t="str">
            <v>KG/0001</v>
          </cell>
          <cell r="AL306">
            <v>2251</v>
          </cell>
          <cell r="AM306">
            <v>0</v>
          </cell>
        </row>
        <row r="307">
          <cell r="AJ307" t="str">
            <v>003074 - RMP QUEIJO GORGONZOLA KG</v>
          </cell>
          <cell r="AK307" t="str">
            <v>KG/0001</v>
          </cell>
          <cell r="AL307">
            <v>3074</v>
          </cell>
          <cell r="AM307">
            <v>0</v>
          </cell>
        </row>
        <row r="308">
          <cell r="AJ308" t="str">
            <v>002951 - RMP QUEIJO GRUYERE KG</v>
          </cell>
          <cell r="AK308" t="str">
            <v>KG/0001</v>
          </cell>
          <cell r="AL308">
            <v>2951</v>
          </cell>
          <cell r="AM308">
            <v>0</v>
          </cell>
        </row>
        <row r="309">
          <cell r="AJ309" t="str">
            <v>002888 - RMP QUEIJO MASSDAM SAO VICENTE KG</v>
          </cell>
          <cell r="AK309" t="str">
            <v>KG/0001</v>
          </cell>
          <cell r="AL309">
            <v>2888</v>
          </cell>
          <cell r="AM309">
            <v>0</v>
          </cell>
        </row>
        <row r="310">
          <cell r="AJ310" t="str">
            <v>002926 - RMP QUEIJO PARMESAO KG</v>
          </cell>
          <cell r="AK310" t="str">
            <v>KG/0001</v>
          </cell>
          <cell r="AL310">
            <v>2926</v>
          </cell>
          <cell r="AM310">
            <v>0</v>
          </cell>
        </row>
        <row r="311">
          <cell r="AJ311" t="str">
            <v>002318 - RMP QUEIJO PARMESAO RALADO KG</v>
          </cell>
          <cell r="AK311" t="str">
            <v>KG/0001</v>
          </cell>
          <cell r="AL311">
            <v>2318</v>
          </cell>
          <cell r="AM311">
            <v>0</v>
          </cell>
        </row>
        <row r="312">
          <cell r="AJ312" t="str">
            <v>002345 - RMP QUEIJO PARMESAO T.MINAS KG</v>
          </cell>
          <cell r="AK312" t="str">
            <v>KG/0001</v>
          </cell>
          <cell r="AL312">
            <v>2345</v>
          </cell>
          <cell r="AM312">
            <v>0</v>
          </cell>
        </row>
        <row r="313">
          <cell r="AJ313" t="str">
            <v>002675 - RMP QUEIJO PRATO KG</v>
          </cell>
          <cell r="AK313" t="str">
            <v>KG/0001</v>
          </cell>
          <cell r="AL313">
            <v>2675</v>
          </cell>
          <cell r="AM313">
            <v>0</v>
          </cell>
        </row>
        <row r="314">
          <cell r="AJ314" t="str">
            <v>003840 - RMP QUEIJO PROVOLONE KG</v>
          </cell>
          <cell r="AK314" t="str">
            <v>KG/0001</v>
          </cell>
          <cell r="AL314">
            <v>3840</v>
          </cell>
          <cell r="AM314">
            <v>0</v>
          </cell>
        </row>
        <row r="315">
          <cell r="AJ315" t="str">
            <v>004345 - RMP QUEIJO RICOTA KG</v>
          </cell>
          <cell r="AK315" t="str">
            <v>KG/0001</v>
          </cell>
          <cell r="AL315">
            <v>4345</v>
          </cell>
          <cell r="AM315">
            <v>0</v>
          </cell>
        </row>
        <row r="316">
          <cell r="AJ316" t="str">
            <v>002341 - RMP QUIABO KG</v>
          </cell>
          <cell r="AK316" t="str">
            <v>KG/0001</v>
          </cell>
          <cell r="AL316">
            <v>2341</v>
          </cell>
          <cell r="AM316">
            <v>0</v>
          </cell>
        </row>
        <row r="317">
          <cell r="AJ317" t="str">
            <v>006445 - RMP RABADA  KG</v>
          </cell>
          <cell r="AK317" t="str">
            <v>KG/0001</v>
          </cell>
          <cell r="AL317">
            <v>6445</v>
          </cell>
          <cell r="AM317">
            <v>0</v>
          </cell>
        </row>
        <row r="318">
          <cell r="AJ318" t="str">
            <v>002561 - RMP REPOLHO ROXO KG</v>
          </cell>
          <cell r="AK318" t="str">
            <v>KG/0001</v>
          </cell>
          <cell r="AL318">
            <v>2561</v>
          </cell>
          <cell r="AM318">
            <v>0</v>
          </cell>
        </row>
        <row r="319">
          <cell r="AJ319" t="str">
            <v>002491 - RMP REPOLHO VERDE KG</v>
          </cell>
          <cell r="AK319" t="str">
            <v>KG/0001</v>
          </cell>
          <cell r="AL319">
            <v>2491</v>
          </cell>
          <cell r="AM319">
            <v>0</v>
          </cell>
        </row>
        <row r="320">
          <cell r="AJ320" t="str">
            <v>002121 - RMP REQUEIJAO KG</v>
          </cell>
          <cell r="AK320" t="str">
            <v>KG/0001</v>
          </cell>
          <cell r="AL320">
            <v>2121</v>
          </cell>
          <cell r="AM320">
            <v>0</v>
          </cell>
        </row>
        <row r="321">
          <cell r="AJ321" t="str">
            <v xml:space="preserve">003148 - RMP RONDELLI 4 QUEIJO KG </v>
          </cell>
          <cell r="AK321" t="str">
            <v>KG/0001</v>
          </cell>
          <cell r="AL321">
            <v>3148</v>
          </cell>
          <cell r="AM321">
            <v>0</v>
          </cell>
        </row>
        <row r="322">
          <cell r="AJ322" t="str">
            <v xml:space="preserve">005025 - RMP RONDELLI FRANGO C/REQUEIJAO KG </v>
          </cell>
          <cell r="AK322" t="str">
            <v>KG/0001</v>
          </cell>
          <cell r="AL322">
            <v>5025</v>
          </cell>
          <cell r="AM322">
            <v>0</v>
          </cell>
        </row>
        <row r="323">
          <cell r="AJ323" t="str">
            <v>002138 - RMP RONDELLI PRESUNTO E MUSSARELA KG</v>
          </cell>
          <cell r="AK323" t="str">
            <v>KG/0001</v>
          </cell>
          <cell r="AL323">
            <v>2138</v>
          </cell>
          <cell r="AM323">
            <v>0</v>
          </cell>
        </row>
        <row r="324">
          <cell r="AJ324" t="str">
            <v>002456 - RMP RUCULA KG</v>
          </cell>
          <cell r="AK324" t="str">
            <v>KG/0001</v>
          </cell>
          <cell r="AL324">
            <v>2456</v>
          </cell>
          <cell r="AM324">
            <v>0</v>
          </cell>
        </row>
        <row r="325">
          <cell r="AJ325" t="str">
            <v>002022 - RMP SAL GROSSO KG</v>
          </cell>
          <cell r="AK325" t="str">
            <v>KG/0001</v>
          </cell>
          <cell r="AL325">
            <v>2022</v>
          </cell>
          <cell r="AM325">
            <v>0</v>
          </cell>
        </row>
        <row r="326">
          <cell r="AJ326" t="str">
            <v>001898 - RMP SAL REFINADO KG</v>
          </cell>
          <cell r="AK326" t="str">
            <v>KG/0001</v>
          </cell>
          <cell r="AL326">
            <v>1898</v>
          </cell>
          <cell r="AM326">
            <v>0</v>
          </cell>
        </row>
        <row r="327">
          <cell r="AJ327" t="str">
            <v>002466 - RMP SAL REFINADOLIGHT KG</v>
          </cell>
          <cell r="AK327" t="str">
            <v>KG/0001</v>
          </cell>
          <cell r="AL327">
            <v>2466</v>
          </cell>
          <cell r="AM327">
            <v>0</v>
          </cell>
        </row>
        <row r="328">
          <cell r="AJ328" t="str">
            <v>004603 - RMP SALSA KG</v>
          </cell>
          <cell r="AK328" t="str">
            <v>KG/0001</v>
          </cell>
          <cell r="AL328">
            <v>4603</v>
          </cell>
          <cell r="AM328">
            <v>0</v>
          </cell>
        </row>
        <row r="329">
          <cell r="AJ329" t="str">
            <v>005203 - RMP SALSICHA CELOFANE KG</v>
          </cell>
          <cell r="AK329" t="str">
            <v>KG/0001</v>
          </cell>
          <cell r="AL329">
            <v>5203</v>
          </cell>
          <cell r="AM329">
            <v>0</v>
          </cell>
        </row>
        <row r="330">
          <cell r="AJ330" t="str">
            <v>002562 - RMP SALSICHA KG</v>
          </cell>
          <cell r="AK330" t="str">
            <v>KG/0001</v>
          </cell>
          <cell r="AL330">
            <v>2562</v>
          </cell>
          <cell r="AM330">
            <v>0</v>
          </cell>
        </row>
        <row r="331">
          <cell r="AJ331" t="str">
            <v>002782 - RMP SALSINHA KG</v>
          </cell>
          <cell r="AK331" t="str">
            <v>KG/0001</v>
          </cell>
          <cell r="AL331">
            <v>2782</v>
          </cell>
          <cell r="AM331">
            <v>0</v>
          </cell>
        </row>
        <row r="332">
          <cell r="AJ332" t="str">
            <v>002045 - RMP SARDINHA EVISCERADA KG</v>
          </cell>
          <cell r="AK332" t="str">
            <v>KG/0001</v>
          </cell>
          <cell r="AL332">
            <v>2045</v>
          </cell>
          <cell r="AM332">
            <v>0</v>
          </cell>
        </row>
        <row r="333">
          <cell r="AJ333" t="str">
            <v>006246 - RMP SARDINHA KG</v>
          </cell>
          <cell r="AK333" t="str">
            <v>KG/0001</v>
          </cell>
          <cell r="AL333">
            <v>6246</v>
          </cell>
          <cell r="AM333">
            <v>49.9</v>
          </cell>
        </row>
        <row r="334">
          <cell r="AJ334" t="str">
            <v>003261 - RMP SAZON KG</v>
          </cell>
          <cell r="AK334" t="str">
            <v>KG/0001</v>
          </cell>
          <cell r="AL334">
            <v>3261</v>
          </cell>
          <cell r="AM334">
            <v>0</v>
          </cell>
        </row>
        <row r="335">
          <cell r="AJ335" t="str">
            <v>004140 - RMP SEBO PARA COZINHA KG</v>
          </cell>
          <cell r="AK335" t="str">
            <v>KG/0001</v>
          </cell>
          <cell r="AL335">
            <v>4140</v>
          </cell>
          <cell r="AM335">
            <v>1</v>
          </cell>
        </row>
        <row r="336">
          <cell r="AJ336" t="str">
            <v>002483 - RMP SELETA LEGUMES KG</v>
          </cell>
          <cell r="AK336" t="str">
            <v>KG/0024</v>
          </cell>
          <cell r="AL336">
            <v>2483</v>
          </cell>
          <cell r="AM336">
            <v>0</v>
          </cell>
        </row>
        <row r="337">
          <cell r="AJ337" t="str">
            <v>003507 - RMP SHIMEJI KG</v>
          </cell>
          <cell r="AK337" t="str">
            <v>KG/0001</v>
          </cell>
          <cell r="AL337">
            <v>3507</v>
          </cell>
          <cell r="AM337">
            <v>10.9</v>
          </cell>
        </row>
        <row r="338">
          <cell r="AJ338" t="str">
            <v xml:space="preserve">006533 - RMP SOFIATELI  KG </v>
          </cell>
          <cell r="AK338" t="str">
            <v>KG/0001</v>
          </cell>
          <cell r="AL338">
            <v>6533</v>
          </cell>
          <cell r="AM338">
            <v>0</v>
          </cell>
        </row>
        <row r="339">
          <cell r="AJ339" t="str">
            <v>002240 - RMP SUI BACON KG</v>
          </cell>
          <cell r="AK339" t="str">
            <v>KG/0001</v>
          </cell>
          <cell r="AL339">
            <v>2240</v>
          </cell>
          <cell r="AM339">
            <v>14.9</v>
          </cell>
        </row>
        <row r="340">
          <cell r="AJ340" t="str">
            <v>006469 - RMP SUI BISTECA SUINO KG</v>
          </cell>
          <cell r="AK340" t="str">
            <v>KG/0001</v>
          </cell>
          <cell r="AL340">
            <v>6469</v>
          </cell>
          <cell r="AM340">
            <v>59.9</v>
          </cell>
        </row>
        <row r="341">
          <cell r="AJ341" t="str">
            <v>002556 - RMP SUI CARNE P/ ASSAR ROTISSERIE  KG</v>
          </cell>
          <cell r="AK341" t="str">
            <v>KG/0001</v>
          </cell>
          <cell r="AL341">
            <v>2556</v>
          </cell>
          <cell r="AM341">
            <v>0</v>
          </cell>
        </row>
        <row r="342">
          <cell r="AJ342" t="str">
            <v>003161 - RMP SUI COSTELA PORCO KG</v>
          </cell>
          <cell r="AK342" t="str">
            <v>KG/0001</v>
          </cell>
          <cell r="AL342">
            <v>3161</v>
          </cell>
          <cell r="AM342">
            <v>0</v>
          </cell>
        </row>
        <row r="343">
          <cell r="AJ343" t="str">
            <v>002418 - RMP SUI JOELHO PORCO KG</v>
          </cell>
          <cell r="AK343" t="str">
            <v>KG/0001</v>
          </cell>
          <cell r="AL343">
            <v>2418</v>
          </cell>
          <cell r="AM343">
            <v>59.9</v>
          </cell>
        </row>
        <row r="344">
          <cell r="AJ344" t="str">
            <v>002242 - RMP SUI LOMBO SUINO KG</v>
          </cell>
          <cell r="AK344" t="str">
            <v>KG/0001</v>
          </cell>
          <cell r="AL344">
            <v>2242</v>
          </cell>
          <cell r="AM344">
            <v>70.739999999999995</v>
          </cell>
        </row>
        <row r="345">
          <cell r="AJ345" t="str">
            <v>002485 - RMP SUI MASCARA C/ORELHA PORCO SALGADA KG</v>
          </cell>
          <cell r="AK345" t="str">
            <v>KG/0001</v>
          </cell>
          <cell r="AL345">
            <v>2485</v>
          </cell>
          <cell r="AM345">
            <v>0</v>
          </cell>
        </row>
        <row r="346">
          <cell r="AJ346" t="str">
            <v>002722 - RMP SUI PELE SALGADA KG</v>
          </cell>
          <cell r="AK346" t="str">
            <v>KG/0001</v>
          </cell>
          <cell r="AL346">
            <v>2722</v>
          </cell>
          <cell r="AM346">
            <v>0</v>
          </cell>
        </row>
        <row r="347">
          <cell r="AJ347" t="str">
            <v>003101 - RMP SUI PE PORCO SALGADA KG</v>
          </cell>
          <cell r="AK347" t="str">
            <v>KG/0001</v>
          </cell>
          <cell r="AL347">
            <v>3101</v>
          </cell>
          <cell r="AM347">
            <v>0</v>
          </cell>
        </row>
        <row r="348">
          <cell r="AJ348" t="str">
            <v>004466 - RMP SUI PERNIL KG</v>
          </cell>
          <cell r="AK348" t="str">
            <v>KG/0001</v>
          </cell>
          <cell r="AL348">
            <v>4466</v>
          </cell>
          <cell r="AM348">
            <v>0</v>
          </cell>
        </row>
        <row r="349">
          <cell r="AJ349" t="str">
            <v>002557 - RMP SUI RABO SALGADO KG</v>
          </cell>
          <cell r="AK349" t="str">
            <v>KG/0001</v>
          </cell>
          <cell r="AL349">
            <v>2557</v>
          </cell>
          <cell r="AM349">
            <v>0</v>
          </cell>
        </row>
        <row r="350">
          <cell r="AJ350" t="str">
            <v xml:space="preserve">003137 - RMP SUI TENDER KG </v>
          </cell>
          <cell r="AK350" t="str">
            <v>KG/0001</v>
          </cell>
          <cell r="AL350">
            <v>3137</v>
          </cell>
          <cell r="AM350">
            <v>0</v>
          </cell>
        </row>
        <row r="351">
          <cell r="AJ351" t="str">
            <v>004061 - RMP TEMPERO ANA MARIA  KG</v>
          </cell>
          <cell r="AK351" t="str">
            <v>KG/0001</v>
          </cell>
          <cell r="AL351">
            <v>4061</v>
          </cell>
          <cell r="AM351">
            <v>0</v>
          </cell>
        </row>
        <row r="352">
          <cell r="AJ352" t="str">
            <v>004290 - RMP TEMPERO BAIANO KG</v>
          </cell>
          <cell r="AK352" t="str">
            <v>KG/0001</v>
          </cell>
          <cell r="AL352">
            <v>4290</v>
          </cell>
          <cell r="AM352">
            <v>0</v>
          </cell>
        </row>
        <row r="353">
          <cell r="AJ353" t="str">
            <v>006472 - RMP TEMPERO CASEIRO  KG</v>
          </cell>
          <cell r="AK353" t="str">
            <v>KG/0001</v>
          </cell>
          <cell r="AL353">
            <v>6472</v>
          </cell>
          <cell r="AM353">
            <v>39.9</v>
          </cell>
        </row>
        <row r="354">
          <cell r="AJ354" t="str">
            <v>006782 - RMP TEMPERO CURRY KG</v>
          </cell>
          <cell r="AK354" t="str">
            <v>KG/0001</v>
          </cell>
          <cell r="AL354">
            <v>6782</v>
          </cell>
          <cell r="AM354">
            <v>0</v>
          </cell>
        </row>
        <row r="355">
          <cell r="AJ355" t="str">
            <v>004354 - RMP TEMPERO EDU  KG</v>
          </cell>
          <cell r="AK355" t="str">
            <v>KG/0001</v>
          </cell>
          <cell r="AL355">
            <v>4354</v>
          </cell>
          <cell r="AM355">
            <v>0</v>
          </cell>
        </row>
        <row r="356">
          <cell r="AJ356" t="str">
            <v>003344 - RMP TEMPERO KNORR KG</v>
          </cell>
          <cell r="AK356" t="str">
            <v>KG/0001</v>
          </cell>
          <cell r="AL356">
            <v>3344</v>
          </cell>
          <cell r="AM356">
            <v>0</v>
          </cell>
        </row>
        <row r="357">
          <cell r="AJ357" t="str">
            <v>004168 - RMP TEMPERO LEMON KG</v>
          </cell>
          <cell r="AK357" t="str">
            <v>KG/0001</v>
          </cell>
          <cell r="AL357">
            <v>4168</v>
          </cell>
          <cell r="AM357">
            <v>0</v>
          </cell>
        </row>
        <row r="358">
          <cell r="AJ358" t="str">
            <v>005420 - RMP TEMPERO PEGA MARIDO KG</v>
          </cell>
          <cell r="AK358" t="str">
            <v>KG/0001</v>
          </cell>
          <cell r="AL358">
            <v>5420</v>
          </cell>
          <cell r="AM358">
            <v>0</v>
          </cell>
        </row>
        <row r="359">
          <cell r="AJ359" t="str">
            <v>006207 - RMP TEMPERO PICANHA KG</v>
          </cell>
          <cell r="AK359" t="str">
            <v>KG/0001</v>
          </cell>
          <cell r="AL359">
            <v>6207</v>
          </cell>
          <cell r="AM359">
            <v>12.62</v>
          </cell>
        </row>
        <row r="360">
          <cell r="AJ360" t="str">
            <v>002455 - RMP TOMATE CEREJA  KG</v>
          </cell>
          <cell r="AK360" t="str">
            <v>KG/0001</v>
          </cell>
          <cell r="AL360">
            <v>2455</v>
          </cell>
          <cell r="AM360">
            <v>0</v>
          </cell>
        </row>
        <row r="361">
          <cell r="AJ361" t="str">
            <v>002239 - RMP TOMATE  KG</v>
          </cell>
          <cell r="AK361" t="str">
            <v>KG/0001</v>
          </cell>
          <cell r="AL361">
            <v>2239</v>
          </cell>
          <cell r="AM361">
            <v>6.75</v>
          </cell>
        </row>
        <row r="362">
          <cell r="AJ362" t="str">
            <v>003190 - RMP TRIGO P/KIBE  KG</v>
          </cell>
          <cell r="AK362" t="str">
            <v>KG/0010</v>
          </cell>
          <cell r="AL362">
            <v>3190</v>
          </cell>
          <cell r="AM362">
            <v>0</v>
          </cell>
        </row>
        <row r="363">
          <cell r="AJ363" t="str">
            <v>003160 - RMP UVA  KG</v>
          </cell>
          <cell r="AK363" t="str">
            <v>KG/0001</v>
          </cell>
          <cell r="AL363">
            <v>3160</v>
          </cell>
          <cell r="AM363">
            <v>0</v>
          </cell>
        </row>
        <row r="364">
          <cell r="AJ364" t="str">
            <v>002365 - RMP UVA PASSA BRANCA KG</v>
          </cell>
          <cell r="AK364" t="str">
            <v>KG/0001</v>
          </cell>
          <cell r="AL364">
            <v>2365</v>
          </cell>
          <cell r="AM364">
            <v>0</v>
          </cell>
        </row>
        <row r="365">
          <cell r="AJ365" t="str">
            <v>002364 - RMP UVA PASSA PRETA  KG</v>
          </cell>
          <cell r="AK365" t="str">
            <v>KG/0001</v>
          </cell>
          <cell r="AL365">
            <v>2364</v>
          </cell>
          <cell r="AM365">
            <v>0</v>
          </cell>
        </row>
        <row r="366">
          <cell r="AJ366" t="str">
            <v>002340 - RMP VAGEM KG</v>
          </cell>
          <cell r="AK366" t="str">
            <v>KG/0001</v>
          </cell>
          <cell r="AL366">
            <v>2340</v>
          </cell>
          <cell r="AM366">
            <v>0</v>
          </cell>
        </row>
        <row r="367">
          <cell r="AJ367" t="str">
            <v>002293 - RMP VINAGRE ARROZ  KG</v>
          </cell>
          <cell r="AK367" t="str">
            <v>KG/0001</v>
          </cell>
          <cell r="AL367">
            <v>2293</v>
          </cell>
          <cell r="AM367">
            <v>0</v>
          </cell>
        </row>
        <row r="368">
          <cell r="AJ368" t="str">
            <v>002101 - RMP VINAGRE KG</v>
          </cell>
          <cell r="AK368" t="str">
            <v>KG/0012</v>
          </cell>
          <cell r="AL368">
            <v>2101</v>
          </cell>
          <cell r="AM368">
            <v>0</v>
          </cell>
        </row>
        <row r="369">
          <cell r="AJ369" t="str">
            <v>002130 - RMP VINAGRE LIMAO KG</v>
          </cell>
          <cell r="AK369" t="str">
            <v>KG/0012</v>
          </cell>
          <cell r="AL369">
            <v>2130</v>
          </cell>
          <cell r="AM369">
            <v>0</v>
          </cell>
        </row>
        <row r="370">
          <cell r="AJ370" t="str">
            <v>002324 - RMP VINHO BRANCO KG</v>
          </cell>
          <cell r="AK370" t="str">
            <v>KG/0001</v>
          </cell>
          <cell r="AL370">
            <v>2324</v>
          </cell>
          <cell r="AM370">
            <v>0</v>
          </cell>
        </row>
        <row r="371">
          <cell r="AJ371" t="str">
            <v>007960 - ROT CALDO DE FEIJAO C/ BACON BENDITO KG</v>
          </cell>
          <cell r="AK371" t="str">
            <v>KG/0001</v>
          </cell>
          <cell r="AL371">
            <v>7960</v>
          </cell>
          <cell r="AM371">
            <v>43.9</v>
          </cell>
        </row>
        <row r="372">
          <cell r="AJ372" t="str">
            <v>008321 - ROT.ESPAGUETE A BOLONHESA + POLPETONE RECHEADO BENDITO</v>
          </cell>
          <cell r="AK372" t="str">
            <v>UN/0001</v>
          </cell>
          <cell r="AL372">
            <v>8321</v>
          </cell>
          <cell r="AM372">
            <v>25.9</v>
          </cell>
        </row>
        <row r="373">
          <cell r="AJ373" t="str">
            <v>008945 - ROT.ISCA DE FRANGO A MILANESA BENDITO KG</v>
          </cell>
          <cell r="AK373" t="str">
            <v>KG/0001</v>
          </cell>
          <cell r="AL373">
            <v>8945</v>
          </cell>
          <cell r="AM373">
            <v>64.900000000000006</v>
          </cell>
        </row>
        <row r="374">
          <cell r="AJ374" t="str">
            <v>007990 - ROTISSERIA ABOBRINHA RECHEADA BENDITO KG</v>
          </cell>
          <cell r="AK374" t="str">
            <v>KG/0001</v>
          </cell>
          <cell r="AL374">
            <v>7990</v>
          </cell>
          <cell r="AM374">
            <v>39.9</v>
          </cell>
        </row>
        <row r="375">
          <cell r="AJ375" t="str">
            <v>008000 - ROTISSERIA ABOBRINHA REFOGADA BENDITO  KG</v>
          </cell>
          <cell r="AK375" t="str">
            <v>KG/0001</v>
          </cell>
          <cell r="AL375">
            <v>8000</v>
          </cell>
          <cell r="AM375">
            <v>24.9</v>
          </cell>
        </row>
        <row r="376">
          <cell r="AJ376" t="str">
            <v>008006 - ROTISSERIA ALMONDEGAS AO MOLHO BENDITO KG</v>
          </cell>
          <cell r="AK376" t="str">
            <v>KG/0001</v>
          </cell>
          <cell r="AL376">
            <v>8006</v>
          </cell>
          <cell r="AM376">
            <v>42.9</v>
          </cell>
        </row>
        <row r="377">
          <cell r="AJ377" t="str">
            <v>008015 - ROTISSERIA ANTEPASTO DE ABOBRINHA BENDITO KG</v>
          </cell>
          <cell r="AK377" t="str">
            <v>KG/0001</v>
          </cell>
          <cell r="AL377">
            <v>8015</v>
          </cell>
          <cell r="AM377">
            <v>39.9</v>
          </cell>
        </row>
        <row r="378">
          <cell r="AJ378" t="str">
            <v>008019 - ROTISSERIA ANTEPASTO DE BERINJELA BENDITO KG</v>
          </cell>
          <cell r="AK378" t="str">
            <v>KG/0001</v>
          </cell>
          <cell r="AL378">
            <v>8019</v>
          </cell>
          <cell r="AM378">
            <v>44.9</v>
          </cell>
        </row>
        <row r="379">
          <cell r="AJ379" t="str">
            <v>008023 - ROTISSERIA ARROZ A GREGA BENDITO KG</v>
          </cell>
          <cell r="AK379" t="str">
            <v>KG/0001</v>
          </cell>
          <cell r="AL379">
            <v>8023</v>
          </cell>
          <cell r="AM379">
            <v>39.9</v>
          </cell>
        </row>
        <row r="380">
          <cell r="AJ380" t="str">
            <v>008028 - ROTISSERIA ARROZ BRANCO BENDITO KG</v>
          </cell>
          <cell r="AK380" t="str">
            <v>KG/0001</v>
          </cell>
          <cell r="AL380">
            <v>8028</v>
          </cell>
          <cell r="AM380">
            <v>28.9</v>
          </cell>
        </row>
        <row r="381">
          <cell r="AJ381" t="str">
            <v>008037 - ROTISSERIA ARROZ CARRETEIRO BENDITO KG</v>
          </cell>
          <cell r="AK381" t="str">
            <v>KG/0001</v>
          </cell>
          <cell r="AL381">
            <v>8037</v>
          </cell>
          <cell r="AM381">
            <v>54.9</v>
          </cell>
        </row>
        <row r="382">
          <cell r="AJ382" t="str">
            <v>008039 - ROTISSERIA ARROZ COM OVOS MEXIDOS BENDITO KG</v>
          </cell>
          <cell r="AK382" t="str">
            <v>KG/0001</v>
          </cell>
          <cell r="AL382">
            <v>8039</v>
          </cell>
          <cell r="AM382">
            <v>39.9</v>
          </cell>
        </row>
        <row r="383">
          <cell r="AJ383" t="str">
            <v>008040 - ROTISSERIA ARROZ INTEGRAL BENDITO KG</v>
          </cell>
          <cell r="AK383" t="str">
            <v>KG/0001</v>
          </cell>
          <cell r="AL383">
            <v>8040</v>
          </cell>
          <cell r="AM383">
            <v>39.9</v>
          </cell>
        </row>
        <row r="384">
          <cell r="AJ384" t="str">
            <v>008046 - ROTISSERIA ARROZ LENTILHA BENDITO KG</v>
          </cell>
          <cell r="AK384" t="str">
            <v>KG/0001</v>
          </cell>
          <cell r="AL384">
            <v>8046</v>
          </cell>
          <cell r="AM384">
            <v>39.9</v>
          </cell>
        </row>
        <row r="385">
          <cell r="AJ385" t="str">
            <v>008047 - ROTISSERIA ARROZ PRIMAVERA BENDITO KG</v>
          </cell>
          <cell r="AK385" t="str">
            <v>KG/0001</v>
          </cell>
          <cell r="AL385">
            <v>8047</v>
          </cell>
          <cell r="AM385">
            <v>39.9</v>
          </cell>
        </row>
        <row r="386">
          <cell r="AJ386" t="str">
            <v>008048 - ROTISSERIA ARROZ TEMPERADO BENDITO KG</v>
          </cell>
          <cell r="AK386" t="str">
            <v>KG/0001</v>
          </cell>
          <cell r="AL386">
            <v>8048</v>
          </cell>
          <cell r="AM386">
            <v>39.9</v>
          </cell>
        </row>
        <row r="387">
          <cell r="AJ387" t="str">
            <v>093908 - ROTISSERIA ARROZ TEMPERADO KG</v>
          </cell>
          <cell r="AK387" t="str">
            <v>KG/0001</v>
          </cell>
          <cell r="AL387">
            <v>93908</v>
          </cell>
          <cell r="AM387">
            <v>39.9</v>
          </cell>
        </row>
        <row r="388">
          <cell r="AJ388" t="str">
            <v>008051 - ROTISSERIA AVE RECHEADA COM FAROFA BENDITO KG</v>
          </cell>
          <cell r="AK388" t="str">
            <v>KG/0001</v>
          </cell>
          <cell r="AL388">
            <v>8051</v>
          </cell>
          <cell r="AM388">
            <v>29.9</v>
          </cell>
        </row>
        <row r="389">
          <cell r="AJ389" t="str">
            <v>008064 - ROTISSERIA BACALHOADA BENDITO KG</v>
          </cell>
          <cell r="AK389" t="str">
            <v>KG/0001</v>
          </cell>
          <cell r="AL389">
            <v>8064</v>
          </cell>
          <cell r="AM389">
            <v>99.9</v>
          </cell>
        </row>
        <row r="390">
          <cell r="AJ390" t="str">
            <v>008080 - ROTISSERIA BANANA BENDITO KG</v>
          </cell>
          <cell r="AK390" t="str">
            <v>KG/0001</v>
          </cell>
          <cell r="AL390">
            <v>8080</v>
          </cell>
          <cell r="AM390">
            <v>31.9</v>
          </cell>
        </row>
        <row r="391">
          <cell r="AJ391" t="str">
            <v>008089 - ROTISSERIA BATATA ASSADA BENDITO KG</v>
          </cell>
          <cell r="AK391" t="str">
            <v>KG/0001</v>
          </cell>
          <cell r="AL391">
            <v>8089</v>
          </cell>
          <cell r="AM391">
            <v>49.9</v>
          </cell>
        </row>
        <row r="392">
          <cell r="AJ392" t="str">
            <v>008090 - ROTISSERIA BATATA BENDITO KG</v>
          </cell>
          <cell r="AK392" t="str">
            <v>KG/0001</v>
          </cell>
          <cell r="AL392">
            <v>8090</v>
          </cell>
          <cell r="AM392">
            <v>34.9</v>
          </cell>
        </row>
        <row r="393">
          <cell r="AJ393" t="str">
            <v>008093 - ROTISSERIA BATATA  DOCE ASSADA BENDITO KG</v>
          </cell>
          <cell r="AK393" t="str">
            <v>KG/0001</v>
          </cell>
          <cell r="AL393">
            <v>8093</v>
          </cell>
          <cell r="AM393">
            <v>37.9</v>
          </cell>
        </row>
        <row r="394">
          <cell r="AJ394" t="str">
            <v>008098 - ROTISSERIA BATATA FRITA BENDITO KG</v>
          </cell>
          <cell r="AK394" t="str">
            <v>KG/0001</v>
          </cell>
          <cell r="AL394">
            <v>8098</v>
          </cell>
          <cell r="AM394">
            <v>33.9</v>
          </cell>
        </row>
        <row r="395">
          <cell r="AJ395" t="str">
            <v>008104 - ROTISSERIA BATATA GRATINADA BENDITO KG</v>
          </cell>
          <cell r="AK395" t="str">
            <v>KG/0001</v>
          </cell>
          <cell r="AL395">
            <v>8104</v>
          </cell>
          <cell r="AM395">
            <v>29.9</v>
          </cell>
        </row>
        <row r="396">
          <cell r="AJ396" t="str">
            <v>008333 - ROTISSERIA BATATA/RECHEADA  BROCOLIS E BACON</v>
          </cell>
          <cell r="AK396" t="str">
            <v>KG/0001</v>
          </cell>
          <cell r="AL396">
            <v>8333</v>
          </cell>
          <cell r="AM396">
            <v>49.9</v>
          </cell>
        </row>
        <row r="397">
          <cell r="AJ397" t="str">
            <v>008332 - ROTISSERIA BATATA/RECHEADA  FRANGO C/ REQUEIJAO</v>
          </cell>
          <cell r="AK397" t="str">
            <v>KG/0001</v>
          </cell>
          <cell r="AL397">
            <v>8332</v>
          </cell>
          <cell r="AM397">
            <v>49.9</v>
          </cell>
        </row>
        <row r="398">
          <cell r="AJ398" t="str">
            <v>008111 - ROTISSERIA BATATA RECHEADA FRICASSE FRANGO BENDITO KG</v>
          </cell>
          <cell r="AK398" t="str">
            <v>KG/0001</v>
          </cell>
          <cell r="AL398">
            <v>8111</v>
          </cell>
          <cell r="AM398">
            <v>49.9</v>
          </cell>
        </row>
        <row r="399">
          <cell r="AJ399" t="str">
            <v>008133 - ROTISSERIA BATATA RECHEADA PRES/QUEIJO BENDITO KG</v>
          </cell>
          <cell r="AK399" t="str">
            <v>KG/0001</v>
          </cell>
          <cell r="AL399">
            <v>8133</v>
          </cell>
          <cell r="AM399">
            <v>46.9</v>
          </cell>
        </row>
        <row r="400">
          <cell r="AJ400" t="str">
            <v>008148 - ROTISSERIA BATATA RECHEADA STROGONOFF CARNE BENDITO KG</v>
          </cell>
          <cell r="AK400" t="str">
            <v>KG/0001</v>
          </cell>
          <cell r="AL400">
            <v>8148</v>
          </cell>
          <cell r="AM400">
            <v>59.9</v>
          </cell>
        </row>
        <row r="401">
          <cell r="AJ401" t="str">
            <v>008149 - ROTISSERIA BERINJELA EMPANADA BENDITO KG</v>
          </cell>
          <cell r="AK401" t="str">
            <v>KG/0001</v>
          </cell>
          <cell r="AL401">
            <v>8149</v>
          </cell>
          <cell r="AM401">
            <v>49.9</v>
          </cell>
        </row>
        <row r="402">
          <cell r="AJ402" t="str">
            <v>008151 - ROTISSERIA BERINJELA PARMEGGIANA BENDITO KG</v>
          </cell>
          <cell r="AK402" t="str">
            <v>KG/0001</v>
          </cell>
          <cell r="AL402">
            <v>8151</v>
          </cell>
          <cell r="AM402">
            <v>39.9</v>
          </cell>
        </row>
        <row r="403">
          <cell r="AJ403" t="str">
            <v>008153 - ROTISSERIA BERINJELA PIZZAOLA BENDITO KG</v>
          </cell>
          <cell r="AK403" t="str">
            <v>KG/0001</v>
          </cell>
          <cell r="AL403">
            <v>8153</v>
          </cell>
          <cell r="AM403">
            <v>42.9</v>
          </cell>
        </row>
        <row r="404">
          <cell r="AJ404" t="str">
            <v>008154 - ROTISSERIA BERINJELA RECHEADA BENDITO KG</v>
          </cell>
          <cell r="AK404" t="str">
            <v>KG/0001</v>
          </cell>
          <cell r="AL404">
            <v>8154</v>
          </cell>
          <cell r="AM404">
            <v>39.9</v>
          </cell>
        </row>
        <row r="405">
          <cell r="AJ405" t="str">
            <v>008155 - ROTISSERIA BIFE ACEBOLADO BENDITO  KG</v>
          </cell>
          <cell r="AK405" t="str">
            <v>KG/0001</v>
          </cell>
          <cell r="AL405">
            <v>8155</v>
          </cell>
          <cell r="AM405">
            <v>93.9</v>
          </cell>
        </row>
        <row r="406">
          <cell r="AJ406" t="str">
            <v>008156 - ROTISSERIA BIFE A MILANESA BENDITO KG</v>
          </cell>
          <cell r="AK406" t="str">
            <v>KG/0001</v>
          </cell>
          <cell r="AL406">
            <v>8156</v>
          </cell>
          <cell r="AM406">
            <v>89.9</v>
          </cell>
        </row>
        <row r="407">
          <cell r="AJ407" t="str">
            <v>008157 - ROTISSERIA BIFE A PARMEGIANA BENDITO KG</v>
          </cell>
          <cell r="AK407" t="str">
            <v>KG/0001</v>
          </cell>
          <cell r="AL407">
            <v>8157</v>
          </cell>
          <cell r="AM407">
            <v>79.900000000000006</v>
          </cell>
        </row>
        <row r="408">
          <cell r="AJ408" t="str">
            <v>008158 - ROTISSERIA BIFE A ROLE BENDITO KG</v>
          </cell>
          <cell r="AK408" t="str">
            <v>KG/0001</v>
          </cell>
          <cell r="AL408">
            <v>8158</v>
          </cell>
          <cell r="AM408">
            <v>79.900000000000006</v>
          </cell>
        </row>
        <row r="409">
          <cell r="AJ409" t="str">
            <v>008159 - ROTISSERIA BIFE DE LOMBO BENDITO KG</v>
          </cell>
          <cell r="AK409" t="str">
            <v>KG/0001</v>
          </cell>
          <cell r="AL409">
            <v>8159</v>
          </cell>
          <cell r="AM409">
            <v>54.9</v>
          </cell>
        </row>
        <row r="410">
          <cell r="AJ410" t="str">
            <v>008160 - ROTISSERIA BIFE DE PERNIL AO MOLHO BARBECUE BENDITO KG</v>
          </cell>
          <cell r="AK410" t="str">
            <v>KG/0001</v>
          </cell>
          <cell r="AL410">
            <v>8160</v>
          </cell>
          <cell r="AM410">
            <v>49.9</v>
          </cell>
        </row>
        <row r="411">
          <cell r="AJ411" t="str">
            <v>008161 - ROTISSERIA BIFE DE PERNIL BENDITO KG</v>
          </cell>
          <cell r="AK411" t="str">
            <v>KG/0001</v>
          </cell>
          <cell r="AL411">
            <v>8161</v>
          </cell>
          <cell r="AM411">
            <v>49.9</v>
          </cell>
        </row>
        <row r="412">
          <cell r="AJ412" t="str">
            <v xml:space="preserve">008162 - ROTISSERIA BIFE EM TIRAS C/PALMITO E REQUEIJAO BENDITO KG </v>
          </cell>
          <cell r="AK412" t="str">
            <v>KG/0001</v>
          </cell>
          <cell r="AL412">
            <v>8162</v>
          </cell>
          <cell r="AM412">
            <v>69.900000000000006</v>
          </cell>
        </row>
        <row r="413">
          <cell r="AJ413" t="str">
            <v>008163 - ROTISSERIA BIFE SUINO A MILANESA BENDITO KG</v>
          </cell>
          <cell r="AK413" t="str">
            <v>KG/0001</v>
          </cell>
          <cell r="AL413">
            <v>8163</v>
          </cell>
          <cell r="AM413">
            <v>79.900000000000006</v>
          </cell>
        </row>
        <row r="414">
          <cell r="AJ414" t="str">
            <v>008164 - ROTISSERIA BISTECA ACEBOLADA BENDITO KG</v>
          </cell>
          <cell r="AK414" t="str">
            <v>KG/0001</v>
          </cell>
          <cell r="AL414">
            <v>8164</v>
          </cell>
          <cell r="AM414">
            <v>79.900000000000006</v>
          </cell>
        </row>
        <row r="415">
          <cell r="AJ415" t="str">
            <v>009016 - ROTISSERIA BISTECA MILSANES BENDITO KG</v>
          </cell>
          <cell r="AK415" t="str">
            <v>KG/0001</v>
          </cell>
          <cell r="AL415">
            <v>9016</v>
          </cell>
          <cell r="AM415">
            <v>59.9</v>
          </cell>
        </row>
        <row r="416">
          <cell r="AJ416" t="str">
            <v>008165 - ROTISSERIA BOLINHA DE QUEIJO BENITO KG</v>
          </cell>
          <cell r="AK416" t="str">
            <v>KG/0001</v>
          </cell>
          <cell r="AL416">
            <v>8165</v>
          </cell>
          <cell r="AM416">
            <v>49.9</v>
          </cell>
        </row>
        <row r="417">
          <cell r="AJ417" t="str">
            <v>008166 - ROTISSERIA BOLINHO DE ARROZ BENDITO KG</v>
          </cell>
          <cell r="AK417" t="str">
            <v>KG/0001</v>
          </cell>
          <cell r="AL417">
            <v>8166</v>
          </cell>
          <cell r="AM417">
            <v>44.9</v>
          </cell>
        </row>
        <row r="418">
          <cell r="AJ418" t="str">
            <v>008167 - ROTISSERIA BOLINHO DE BACALHAU FRITO BENDITO KG</v>
          </cell>
          <cell r="AK418" t="str">
            <v>KG/0001</v>
          </cell>
          <cell r="AL418">
            <v>8167</v>
          </cell>
          <cell r="AM418">
            <v>99.9</v>
          </cell>
        </row>
        <row r="419">
          <cell r="AJ419" t="str">
            <v>008168 - ROTISSERIA BOLINHO DE CARNE BENDITO KG</v>
          </cell>
          <cell r="AK419" t="str">
            <v>KG/0001</v>
          </cell>
          <cell r="AL419">
            <v>8168</v>
          </cell>
          <cell r="AM419">
            <v>49.9</v>
          </cell>
        </row>
        <row r="420">
          <cell r="AJ420" t="str">
            <v>008169 - ROTISSERIA BOLINHO DE FEIJOADA BENDITO KG</v>
          </cell>
          <cell r="AK420" t="str">
            <v>KG/0001</v>
          </cell>
          <cell r="AL420">
            <v>8169</v>
          </cell>
          <cell r="AM420">
            <v>59.9</v>
          </cell>
        </row>
        <row r="421">
          <cell r="AJ421" t="str">
            <v>008170 - ROTISSERIA BOMBOM DO ALCATRA AO MOLHO MADEIRA BENDITO KG</v>
          </cell>
          <cell r="AK421" t="str">
            <v>KG/0001</v>
          </cell>
          <cell r="AL421">
            <v>8170</v>
          </cell>
          <cell r="AM421">
            <v>149.9</v>
          </cell>
        </row>
        <row r="422">
          <cell r="AJ422" t="str">
            <v xml:space="preserve">008171 - ROTISSERIA CABOTIA COM CREME DE ALHO BENDITO KG </v>
          </cell>
          <cell r="AK422" t="str">
            <v>KG/0001</v>
          </cell>
          <cell r="AL422">
            <v>8171</v>
          </cell>
          <cell r="AM422">
            <v>39.9</v>
          </cell>
        </row>
        <row r="423">
          <cell r="AJ423" t="str">
            <v>008172 - ROTISSERIA CABOTIA REFOGADA BENDITO KG</v>
          </cell>
          <cell r="AK423" t="str">
            <v>KG/0001</v>
          </cell>
          <cell r="AL423">
            <v>8172</v>
          </cell>
          <cell r="AM423">
            <v>39.9</v>
          </cell>
        </row>
        <row r="424">
          <cell r="AJ424" t="str">
            <v>008174 - ROTISSERIA CALDO DE CABOTIA BENDITO KG</v>
          </cell>
          <cell r="AK424" t="str">
            <v>KG/0001</v>
          </cell>
          <cell r="AL424">
            <v>8174</v>
          </cell>
          <cell r="AM424">
            <v>39.9</v>
          </cell>
        </row>
        <row r="425">
          <cell r="AJ425" t="str">
            <v>008173 - ROTISSERIA CALDO DE CABOTIA/CARNE SECA BENDITO KG</v>
          </cell>
          <cell r="AK425" t="str">
            <v>KG/0001</v>
          </cell>
          <cell r="AL425">
            <v>8173</v>
          </cell>
          <cell r="AM425">
            <v>48.9</v>
          </cell>
        </row>
        <row r="426">
          <cell r="AJ426" t="str">
            <v>008176 - ROTISSERIA CALDO DE MANDIOCA BENDITO KG</v>
          </cell>
          <cell r="AK426" t="str">
            <v>KG/0001</v>
          </cell>
          <cell r="AL426">
            <v>8176</v>
          </cell>
          <cell r="AM426">
            <v>34.9</v>
          </cell>
        </row>
        <row r="427">
          <cell r="AJ427" t="str">
            <v>008175 - ROTISSERIA CALDO DE MANDIOCA COM CARNE BENDITO KG</v>
          </cell>
          <cell r="AK427" t="str">
            <v>KG/0001</v>
          </cell>
          <cell r="AL427">
            <v>8175</v>
          </cell>
          <cell r="AM427">
            <v>46.9</v>
          </cell>
        </row>
        <row r="428">
          <cell r="AJ428" t="str">
            <v>008178 - ROTISSERIA CALDO DE MANDIOQUINHA BENDITO KG</v>
          </cell>
          <cell r="AK428" t="str">
            <v>KG/0001</v>
          </cell>
          <cell r="AL428">
            <v>8178</v>
          </cell>
          <cell r="AM428">
            <v>34.9</v>
          </cell>
        </row>
        <row r="429">
          <cell r="AJ429" t="str">
            <v>008177 - ROTISSERIA CALDO DE MANDIOQUINHA C/CARNE SECA BENDITO KG</v>
          </cell>
          <cell r="AK429" t="str">
            <v>KG/0001</v>
          </cell>
          <cell r="AL429">
            <v>8177</v>
          </cell>
          <cell r="AM429">
            <v>9.9</v>
          </cell>
        </row>
        <row r="430">
          <cell r="AJ430" t="str">
            <v>008179 - ROTISSERIA CALDO FRANGO BENDITO KG</v>
          </cell>
          <cell r="AK430" t="str">
            <v>KG/0001</v>
          </cell>
          <cell r="AL430">
            <v>8179</v>
          </cell>
          <cell r="AM430">
            <v>43.9</v>
          </cell>
        </row>
        <row r="431">
          <cell r="AJ431" t="str">
            <v>008197 - ROTISSERIA CALDO VERDE BENDITO KG</v>
          </cell>
          <cell r="AK431" t="str">
            <v>KG/0001</v>
          </cell>
          <cell r="AL431">
            <v>8197</v>
          </cell>
          <cell r="AM431">
            <v>43.9</v>
          </cell>
        </row>
        <row r="432">
          <cell r="AJ432" t="str">
            <v xml:space="preserve">009119 - ROTISSERIA CALIFORNIA BENDITO UN </v>
          </cell>
          <cell r="AK432" t="str">
            <v>UN/0001</v>
          </cell>
          <cell r="AL432">
            <v>9119</v>
          </cell>
          <cell r="AM432">
            <v>19.899999999999999</v>
          </cell>
        </row>
        <row r="433">
          <cell r="AJ433" t="str">
            <v>008201 - ROTISSERIA CANELONE FRANGO COM REQUEIJAO BENDITO KG</v>
          </cell>
          <cell r="AK433" t="str">
            <v>KG/0001</v>
          </cell>
          <cell r="AL433">
            <v>8201</v>
          </cell>
          <cell r="AM433">
            <v>69.900000000000006</v>
          </cell>
        </row>
        <row r="434">
          <cell r="AJ434" t="str">
            <v>008204 - ROTISSERIA CANELONE PRESUNTO E MUSSARELA BENDITO KG</v>
          </cell>
          <cell r="AK434" t="str">
            <v>KG/0001</v>
          </cell>
          <cell r="AL434">
            <v>8204</v>
          </cell>
          <cell r="AM434">
            <v>69.900000000000006</v>
          </cell>
        </row>
        <row r="435">
          <cell r="AJ435" t="str">
            <v xml:space="preserve">008206 - ROTISSERIA CANELONE Q.QUEIJOS BENDITO KG </v>
          </cell>
          <cell r="AK435" t="str">
            <v>KG/0001</v>
          </cell>
          <cell r="AL435">
            <v>8206</v>
          </cell>
          <cell r="AM435">
            <v>69.900000000000006</v>
          </cell>
        </row>
        <row r="436">
          <cell r="AJ436" t="str">
            <v>008221 - ROTISSERIA CAPONATA BERINJELA BENDITO KG</v>
          </cell>
          <cell r="AK436" t="str">
            <v>KG/0001</v>
          </cell>
          <cell r="AL436">
            <v>8221</v>
          </cell>
          <cell r="AM436">
            <v>39.9</v>
          </cell>
        </row>
        <row r="437">
          <cell r="AJ437" t="str">
            <v>008222 - ROTISSERIA CARNE C/ LEGUMES BENDITO KG</v>
          </cell>
          <cell r="AK437" t="str">
            <v>KG/0001</v>
          </cell>
          <cell r="AL437">
            <v>8222</v>
          </cell>
          <cell r="AM437">
            <v>49.9</v>
          </cell>
        </row>
        <row r="438">
          <cell r="AJ438" t="str">
            <v>008223 - ROTISSERIA CARNE DE PANELA BENDITO  KG</v>
          </cell>
          <cell r="AK438" t="str">
            <v>KG/0001</v>
          </cell>
          <cell r="AL438">
            <v>8223</v>
          </cell>
          <cell r="AM438">
            <v>57.9</v>
          </cell>
        </row>
        <row r="439">
          <cell r="AJ439" t="str">
            <v>008224 - ROTISSERIA CARNE FATIADA COM CEBOLA A DORE BENDITO KG</v>
          </cell>
          <cell r="AK439" t="str">
            <v>KG/0001</v>
          </cell>
          <cell r="AL439">
            <v>8224</v>
          </cell>
          <cell r="AM439">
            <v>54.9</v>
          </cell>
        </row>
        <row r="440">
          <cell r="AJ440" t="str">
            <v>008226 - ROTISSERIA CARNE FRIA DE PERNIL BENDITO KG</v>
          </cell>
          <cell r="AK440" t="str">
            <v>KG/0001</v>
          </cell>
          <cell r="AL440">
            <v>8226</v>
          </cell>
          <cell r="AM440">
            <v>49.9</v>
          </cell>
        </row>
        <row r="441">
          <cell r="AJ441" t="str">
            <v>008228 - ROTISSERIA CARNE MOIDA COM LEGUMES BENDITO KG</v>
          </cell>
          <cell r="AK441" t="str">
            <v>KG/0001</v>
          </cell>
          <cell r="AL441">
            <v>8228</v>
          </cell>
          <cell r="AM441">
            <v>49.9</v>
          </cell>
        </row>
        <row r="442">
          <cell r="AJ442" t="str">
            <v>008229 - ROTISSERIA CARNE MOIDA COM LEGUMES BENDITO KG</v>
          </cell>
          <cell r="AK442" t="str">
            <v>KG/0001</v>
          </cell>
          <cell r="AL442">
            <v>8229</v>
          </cell>
          <cell r="AM442">
            <v>39.9</v>
          </cell>
        </row>
        <row r="443">
          <cell r="AJ443" t="str">
            <v>008231 - ROTISSERIA CHARUTO BENDITO KG</v>
          </cell>
          <cell r="AK443" t="str">
            <v>KG/0001</v>
          </cell>
          <cell r="AL443">
            <v>8231</v>
          </cell>
          <cell r="AM443">
            <v>59.9</v>
          </cell>
        </row>
        <row r="444">
          <cell r="AJ444" t="str">
            <v>008232 - ROTISSERIA COMBO MINI LANCHE BENDITO UN</v>
          </cell>
          <cell r="AK444" t="str">
            <v>UN/0001</v>
          </cell>
          <cell r="AL444">
            <v>8232</v>
          </cell>
          <cell r="AM444">
            <v>19.989999999999998</v>
          </cell>
        </row>
        <row r="445">
          <cell r="AJ445" t="str">
            <v>008235 - ROTISSERIA CONCHIGLIONE BENDITO KG</v>
          </cell>
          <cell r="AK445" t="str">
            <v>KG/0001</v>
          </cell>
          <cell r="AL445">
            <v>8235</v>
          </cell>
          <cell r="AM445">
            <v>69.900000000000006</v>
          </cell>
        </row>
        <row r="446">
          <cell r="AJ446" t="str">
            <v>008237 - ROTISSERIA COPA LOMBO ACEBOLADO BENDITO KG</v>
          </cell>
          <cell r="AK446" t="str">
            <v>KG/0001</v>
          </cell>
          <cell r="AL446">
            <v>8237</v>
          </cell>
          <cell r="AM446">
            <v>79.900000000000006</v>
          </cell>
        </row>
        <row r="447">
          <cell r="AJ447" t="str">
            <v>008239 - ROTISSERIA COPA LOMBO A MILANESA BENDITO KG</v>
          </cell>
          <cell r="AK447" t="str">
            <v>KG/0001</v>
          </cell>
          <cell r="AL447">
            <v>8239</v>
          </cell>
          <cell r="AM447">
            <v>69.900000000000006</v>
          </cell>
        </row>
        <row r="448">
          <cell r="AJ448" t="str">
            <v>008240 - ROTISSERIA COSTELA ASSADA COM OSSO BENDITO KG</v>
          </cell>
          <cell r="AK448" t="str">
            <v>KG/0001</v>
          </cell>
          <cell r="AL448">
            <v>8240</v>
          </cell>
          <cell r="AM448">
            <v>69.900000000000006</v>
          </cell>
        </row>
        <row r="449">
          <cell r="AJ449" t="str">
            <v>008247 - ROTISSERIA COSTELA BOI DE PANELA BENDITO KG</v>
          </cell>
          <cell r="AK449" t="str">
            <v>KG/0001</v>
          </cell>
          <cell r="AL449">
            <v>8247</v>
          </cell>
          <cell r="AM449">
            <v>59.9</v>
          </cell>
        </row>
        <row r="450">
          <cell r="AJ450" t="str">
            <v>008259 - ROTISSERIA COSTELA BOVINA ASSADA BENDITO UN</v>
          </cell>
          <cell r="AK450" t="str">
            <v>UN/0001</v>
          </cell>
          <cell r="AL450">
            <v>8259</v>
          </cell>
          <cell r="AM450">
            <v>49.9</v>
          </cell>
        </row>
        <row r="451">
          <cell r="AJ451" t="str">
            <v>036025 - ROTISSERIA COSTELA BOVINA ASSADA BENDITO UN</v>
          </cell>
          <cell r="AK451" t="str">
            <v>UN/0001</v>
          </cell>
          <cell r="AL451">
            <v>360258</v>
          </cell>
          <cell r="AM451">
            <v>49.9</v>
          </cell>
        </row>
        <row r="452">
          <cell r="AJ452" t="str">
            <v>008251 - ROTISSERIA COSTELA BOVINA ASSADA SEM OSSO BENDITO  KG</v>
          </cell>
          <cell r="AK452" t="str">
            <v>KG/0001</v>
          </cell>
          <cell r="AL452">
            <v>8251</v>
          </cell>
          <cell r="AM452">
            <v>59.9</v>
          </cell>
        </row>
        <row r="453">
          <cell r="AJ453" t="str">
            <v>008267 - ROTISSERIA COSTELA C/ MANDIOCA BENDITO KG</v>
          </cell>
          <cell r="AK453" t="str">
            <v>KG/0001</v>
          </cell>
          <cell r="AL453">
            <v>8267</v>
          </cell>
          <cell r="AM453">
            <v>54.9</v>
          </cell>
        </row>
        <row r="454">
          <cell r="AJ454" t="str">
            <v>093693 - ROTISSERIA COSTELINHA DE PORCO FRITA KG</v>
          </cell>
          <cell r="AK454" t="str">
            <v>KG/0001</v>
          </cell>
          <cell r="AL454">
            <v>93693</v>
          </cell>
          <cell r="AM454">
            <v>79.900000000000006</v>
          </cell>
        </row>
        <row r="455">
          <cell r="AJ455" t="str">
            <v>008273 - ROTISSERIA COSTELINHA PORCO ASSADA BENDITO KG</v>
          </cell>
          <cell r="AK455" t="str">
            <v>KG/0001</v>
          </cell>
          <cell r="AL455">
            <v>8273</v>
          </cell>
          <cell r="AM455">
            <v>79.900000000000006</v>
          </cell>
        </row>
        <row r="456">
          <cell r="AJ456" t="str">
            <v>008274 - ROTISSERIA COSTELINHA PORCO MOLHO BARBECUE BENDITO KG</v>
          </cell>
          <cell r="AK456" t="str">
            <v>KG/0001</v>
          </cell>
          <cell r="AL456">
            <v>8274</v>
          </cell>
          <cell r="AM456">
            <v>84.9</v>
          </cell>
        </row>
        <row r="457">
          <cell r="AJ457" t="str">
            <v>008276 - ROTISSERIA COUVE FLOR AO MOLHO BRANCO BENDITO  KG</v>
          </cell>
          <cell r="AK457" t="str">
            <v>KG/0001</v>
          </cell>
          <cell r="AL457">
            <v>8276</v>
          </cell>
          <cell r="AM457">
            <v>29.9</v>
          </cell>
        </row>
        <row r="458">
          <cell r="AJ458" t="str">
            <v>008279 - ROTISSERIA COUVE FLOR EMPANADA BENDITO KG</v>
          </cell>
          <cell r="AK458" t="str">
            <v>KG/0001</v>
          </cell>
          <cell r="AL458">
            <v>8279</v>
          </cell>
          <cell r="AM458">
            <v>34.9</v>
          </cell>
        </row>
        <row r="459">
          <cell r="AJ459" t="str">
            <v>008281 - ROTISSERIA COUVE REFOGADA BENDITO KG</v>
          </cell>
          <cell r="AK459" t="str">
            <v>KG/0001</v>
          </cell>
          <cell r="AL459">
            <v>8281</v>
          </cell>
          <cell r="AM459">
            <v>49.9</v>
          </cell>
        </row>
        <row r="460">
          <cell r="AJ460" t="str">
            <v>008282 - ROTISSERIA COXA ASSADA BENDITO KG</v>
          </cell>
          <cell r="AK460" t="str">
            <v>KG/0001</v>
          </cell>
          <cell r="AL460">
            <v>8282</v>
          </cell>
          <cell r="AM460">
            <v>49.9</v>
          </cell>
        </row>
        <row r="461">
          <cell r="AJ461" t="str">
            <v>008284 - ROTISSERIA COXA SOBRECOXA ASSADA BENDITO KG</v>
          </cell>
          <cell r="AK461" t="str">
            <v>KG/0001</v>
          </cell>
          <cell r="AL461">
            <v>8284</v>
          </cell>
          <cell r="AM461">
            <v>61.9</v>
          </cell>
        </row>
        <row r="462">
          <cell r="AJ462" t="str">
            <v>008287 - ROTISSERIA COXINHA ASA ASSADA BENDITO KG</v>
          </cell>
          <cell r="AK462" t="str">
            <v>KG/0001</v>
          </cell>
          <cell r="AL462">
            <v>8287</v>
          </cell>
          <cell r="AM462">
            <v>58.9</v>
          </cell>
        </row>
        <row r="463">
          <cell r="AJ463" t="str">
            <v>008290 - ROTISSERIA COXINHA ASA EMPANADA BENDITO KG</v>
          </cell>
          <cell r="AK463" t="str">
            <v>KG/0001</v>
          </cell>
          <cell r="AL463">
            <v>8290</v>
          </cell>
          <cell r="AM463">
            <v>54.9</v>
          </cell>
        </row>
        <row r="464">
          <cell r="AJ464" t="str">
            <v>008519 - ROTISSERIA COXINHA BUFALO WINGS KG</v>
          </cell>
          <cell r="AK464" t="str">
            <v>KG/0001</v>
          </cell>
          <cell r="AL464">
            <v>8519</v>
          </cell>
          <cell r="AM464">
            <v>54.9</v>
          </cell>
        </row>
        <row r="465">
          <cell r="AJ465" t="str">
            <v>008291 - ROTISSERIA  CREME  DE BACALHAU BENDITO KG</v>
          </cell>
          <cell r="AK465" t="str">
            <v>KG/0001</v>
          </cell>
          <cell r="AL465">
            <v>8291</v>
          </cell>
          <cell r="AM465">
            <v>39.9</v>
          </cell>
        </row>
        <row r="466">
          <cell r="AJ466" t="str">
            <v>008292 - ROTISSERIA CREME DE MILHO BENDITO KG</v>
          </cell>
          <cell r="AK466" t="str">
            <v>KG/0001</v>
          </cell>
          <cell r="AL466">
            <v>8292</v>
          </cell>
          <cell r="AM466">
            <v>41.9</v>
          </cell>
        </row>
        <row r="467">
          <cell r="AJ467" t="str">
            <v>001717 - ROTISSERIA CROQUETE DE CARNE KG</v>
          </cell>
          <cell r="AK467" t="str">
            <v>KG/0001</v>
          </cell>
          <cell r="AL467">
            <v>1717</v>
          </cell>
          <cell r="AM467">
            <v>44.9</v>
          </cell>
        </row>
        <row r="468">
          <cell r="AJ468" t="str">
            <v>093966 - ROTISSERIA CUBOS DE FRANGO COM CREME MILHO KG</v>
          </cell>
          <cell r="AK468" t="str">
            <v>KG/0001</v>
          </cell>
          <cell r="AL468">
            <v>93966</v>
          </cell>
          <cell r="AM468">
            <v>34.9</v>
          </cell>
        </row>
        <row r="469">
          <cell r="AJ469" t="str">
            <v>008296 - ROTISSERIA CUPIM ASSADO AO MOLHO MADEIRA BENDITO KG</v>
          </cell>
          <cell r="AK469" t="str">
            <v>KG/0001</v>
          </cell>
          <cell r="AL469">
            <v>8296</v>
          </cell>
          <cell r="AM469">
            <v>99.9</v>
          </cell>
        </row>
        <row r="470">
          <cell r="AJ470" t="str">
            <v>093964 - ROTISSERIA CUPIM ASSADO MOLHO ALHO  KG</v>
          </cell>
          <cell r="AK470" t="str">
            <v>KG/0001</v>
          </cell>
          <cell r="AL470">
            <v>93964</v>
          </cell>
          <cell r="AM470">
            <v>99.9</v>
          </cell>
        </row>
        <row r="471">
          <cell r="AJ471" t="str">
            <v>008298 - ROTISSERIA DOBRADINHA BENDITO KG</v>
          </cell>
          <cell r="AK471" t="str">
            <v>KG/0001</v>
          </cell>
          <cell r="AL471">
            <v>8298</v>
          </cell>
          <cell r="AM471">
            <v>39.9</v>
          </cell>
        </row>
        <row r="472">
          <cell r="AJ472" t="str">
            <v>008302 - ROTISSERIA ESCONDIDINHO CALABRESA BENDITO KG</v>
          </cell>
          <cell r="AK472" t="str">
            <v>KG/0001</v>
          </cell>
          <cell r="AL472">
            <v>8302</v>
          </cell>
          <cell r="AM472">
            <v>49.9</v>
          </cell>
        </row>
        <row r="473">
          <cell r="AJ473" t="str">
            <v>008306 - ROTISSERIA ESCONDIDINHO DE CARNE BENDITO KG</v>
          </cell>
          <cell r="AK473" t="str">
            <v>KG/0001</v>
          </cell>
          <cell r="AL473">
            <v>8306</v>
          </cell>
          <cell r="AM473">
            <v>49.9</v>
          </cell>
        </row>
        <row r="474">
          <cell r="AJ474" t="str">
            <v>008307 - ROTISSERIA ESCONDIDINHO DE CARNE SECA BENDITO KG</v>
          </cell>
          <cell r="AK474" t="str">
            <v>KG/0001</v>
          </cell>
          <cell r="AL474">
            <v>8307</v>
          </cell>
          <cell r="AM474">
            <v>57.9</v>
          </cell>
        </row>
        <row r="475">
          <cell r="AJ475" t="str">
            <v>008309 - ROTISSERIA ESCONDIDINHO DE PERNIL BENDITO  KG</v>
          </cell>
          <cell r="AK475" t="str">
            <v>KG/0001</v>
          </cell>
          <cell r="AL475">
            <v>8309</v>
          </cell>
          <cell r="AM475">
            <v>54.9</v>
          </cell>
        </row>
        <row r="476">
          <cell r="AJ476" t="str">
            <v>008316 - ROTISSERIA ESCONDIDINHO FRANGO BENDITO KG</v>
          </cell>
          <cell r="AK476" t="str">
            <v>KG/0001</v>
          </cell>
          <cell r="AL476">
            <v>8316</v>
          </cell>
          <cell r="AM476">
            <v>57.9</v>
          </cell>
        </row>
        <row r="477">
          <cell r="AJ477" t="str">
            <v>008308 - ROTISSERIA ESCONDIDINHO FRANGO C/REQ.MANDIO.BENDITO KG</v>
          </cell>
          <cell r="AK477" t="str">
            <v>KG/0001</v>
          </cell>
          <cell r="AL477">
            <v>8308</v>
          </cell>
          <cell r="AM477">
            <v>49.9</v>
          </cell>
        </row>
        <row r="478">
          <cell r="AJ478" t="str">
            <v>008312 - ROTISSERIA ESCONDI.FRANGO C/PURE BATATA DOCE BENDITO  KG</v>
          </cell>
          <cell r="AK478" t="str">
            <v>KG/0001</v>
          </cell>
          <cell r="AL478">
            <v>8312</v>
          </cell>
          <cell r="AM478">
            <v>49.9</v>
          </cell>
        </row>
        <row r="479">
          <cell r="AJ479" t="str">
            <v>008317 - ROTISSERIA ESPAGUETE A BOLONHESA BENDITO KG</v>
          </cell>
          <cell r="AK479" t="str">
            <v>KG/0001</v>
          </cell>
          <cell r="AL479">
            <v>8317</v>
          </cell>
          <cell r="AM479">
            <v>39.9</v>
          </cell>
        </row>
        <row r="480">
          <cell r="AJ480" t="str">
            <v>006903 - ROTISSERIA ESPAGUETE A BOLONHESA + POLPETONE RECHEADO</v>
          </cell>
          <cell r="AK480" t="str">
            <v>UN/0001</v>
          </cell>
          <cell r="AL480">
            <v>6903</v>
          </cell>
          <cell r="AM480">
            <v>24.9</v>
          </cell>
        </row>
        <row r="481">
          <cell r="AJ481" t="str">
            <v>008323 - ROTISSERIA FAROFA BENDITO KG</v>
          </cell>
          <cell r="AK481" t="str">
            <v>KG/0001</v>
          </cell>
          <cell r="AL481">
            <v>8323</v>
          </cell>
          <cell r="AM481">
            <v>54.9</v>
          </cell>
        </row>
        <row r="482">
          <cell r="AJ482" t="str">
            <v>008328 - ROTISSERIA FEIJAO BENDITO KG</v>
          </cell>
          <cell r="AK482" t="str">
            <v>KG/0001</v>
          </cell>
          <cell r="AL482">
            <v>8328</v>
          </cell>
          <cell r="AM482">
            <v>34.9</v>
          </cell>
        </row>
        <row r="483">
          <cell r="AJ483" t="str">
            <v>008324 - ROTISSERIA FEIJAO GORDO BENDITO KG</v>
          </cell>
          <cell r="AK483" t="str">
            <v>KG/0001</v>
          </cell>
          <cell r="AL483">
            <v>8324</v>
          </cell>
          <cell r="AM483">
            <v>39.9</v>
          </cell>
        </row>
        <row r="484">
          <cell r="AJ484" t="str">
            <v>008331 - ROTISSERIA FEIJAO PRETO GORDO BENDITO KG</v>
          </cell>
          <cell r="AK484" t="str">
            <v>KG/0001</v>
          </cell>
          <cell r="AL484">
            <v>8331</v>
          </cell>
          <cell r="AM484">
            <v>34.9</v>
          </cell>
        </row>
        <row r="485">
          <cell r="AJ485" t="str">
            <v>008330 - ROTISSERIA FEIJAO PRETO GORDO BENDITO  KG</v>
          </cell>
          <cell r="AK485" t="str">
            <v>KG/0001</v>
          </cell>
          <cell r="AL485">
            <v>8330</v>
          </cell>
          <cell r="AM485">
            <v>34.9</v>
          </cell>
        </row>
        <row r="486">
          <cell r="AJ486" t="str">
            <v>008334 - ROTISSERIA FEIJAO TROPEIRO BENDITO KG</v>
          </cell>
          <cell r="AK486" t="str">
            <v>KG/0001</v>
          </cell>
          <cell r="AL486">
            <v>8334</v>
          </cell>
          <cell r="AM486">
            <v>34.9</v>
          </cell>
        </row>
        <row r="487">
          <cell r="AJ487" t="str">
            <v>008336 - ROTISSERIA FEIJOADA BENDITO KG</v>
          </cell>
          <cell r="AK487" t="str">
            <v>KG/0001</v>
          </cell>
          <cell r="AL487">
            <v>8336</v>
          </cell>
          <cell r="AM487">
            <v>46.9</v>
          </cell>
        </row>
        <row r="488">
          <cell r="AJ488" t="str">
            <v>008337 - ROTISSERIA FILE FRANGO 3 QUEIJOS BENDITO KG</v>
          </cell>
          <cell r="AK488" t="str">
            <v>KG/0001</v>
          </cell>
          <cell r="AL488">
            <v>8337</v>
          </cell>
          <cell r="AM488">
            <v>69.900000000000006</v>
          </cell>
        </row>
        <row r="489">
          <cell r="AJ489" t="str">
            <v>008341 - ROTISSERIA FILE FRANGO A MILANESA BENDITO KG</v>
          </cell>
          <cell r="AK489" t="str">
            <v>KG/0001</v>
          </cell>
          <cell r="AL489">
            <v>8341</v>
          </cell>
          <cell r="AM489">
            <v>69.900000000000006</v>
          </cell>
        </row>
        <row r="490">
          <cell r="AJ490" t="str">
            <v>003683 - ROTISSERIA FILE FRANGO AO MOLHO BRANCO KG</v>
          </cell>
          <cell r="AK490" t="str">
            <v>KG/0001</v>
          </cell>
          <cell r="AL490">
            <v>3683</v>
          </cell>
          <cell r="AM490">
            <v>69.900000000000006</v>
          </cell>
        </row>
        <row r="491">
          <cell r="AJ491" t="str">
            <v>008346 - ROTISSERIA FILE FRANGO BENDITO KG</v>
          </cell>
          <cell r="AK491" t="str">
            <v>KG/0001</v>
          </cell>
          <cell r="AL491">
            <v>8346</v>
          </cell>
          <cell r="AM491">
            <v>69.900000000000006</v>
          </cell>
        </row>
        <row r="492">
          <cell r="AJ492" t="str">
            <v>008345 - ROTISSERIA FILE FRANGO GRELHADO BENDITO KG</v>
          </cell>
          <cell r="AK492" t="str">
            <v>KG/0001</v>
          </cell>
          <cell r="AL492">
            <v>8345</v>
          </cell>
          <cell r="AM492">
            <v>69.900000000000006</v>
          </cell>
        </row>
        <row r="493">
          <cell r="AJ493" t="str">
            <v>103645 - ROTISSERIA FILE FRANGO KG</v>
          </cell>
          <cell r="AK493" t="str">
            <v>KG/0001</v>
          </cell>
          <cell r="AL493">
            <v>103645</v>
          </cell>
          <cell r="AM493">
            <v>69.900000000000006</v>
          </cell>
        </row>
        <row r="494">
          <cell r="AJ494" t="str">
            <v>006952 - ROTISSERIA FILE FRANGO M. MOSTARDA  KG</v>
          </cell>
          <cell r="AK494" t="str">
            <v>KG/0001</v>
          </cell>
          <cell r="AL494">
            <v>6952</v>
          </cell>
          <cell r="AM494">
            <v>49.9</v>
          </cell>
        </row>
        <row r="495">
          <cell r="AJ495" t="str">
            <v>008349 - ROTISSERIA FILE FRANGO PARMEGIANA BENDITO KG</v>
          </cell>
          <cell r="AK495" t="str">
            <v>KG/0001</v>
          </cell>
          <cell r="AL495">
            <v>8349</v>
          </cell>
          <cell r="AM495">
            <v>68.900000000000006</v>
          </cell>
        </row>
        <row r="496">
          <cell r="AJ496" t="str">
            <v>008350 - ROTISSERIA FILE FRANGO PIZZAIOLA BENDITO KG</v>
          </cell>
          <cell r="AK496" t="str">
            <v>KG/0001</v>
          </cell>
          <cell r="AL496">
            <v>8350</v>
          </cell>
          <cell r="AM496">
            <v>64.900000000000006</v>
          </cell>
        </row>
        <row r="497">
          <cell r="AJ497" t="str">
            <v>008352 - ROTISSERIA FILE MERLUZA EMPANADO BENDITO KG</v>
          </cell>
          <cell r="AK497" t="str">
            <v>KG/0001</v>
          </cell>
          <cell r="AL497">
            <v>8352</v>
          </cell>
          <cell r="AM497">
            <v>64.900000000000006</v>
          </cell>
        </row>
        <row r="498">
          <cell r="AJ498" t="str">
            <v>008358 - ROTISSERIA FILE PEIXE EMPANADO BENDITO KG</v>
          </cell>
          <cell r="AK498" t="str">
            <v>KG/0001</v>
          </cell>
          <cell r="AL498">
            <v>8358</v>
          </cell>
          <cell r="AM498">
            <v>99.9</v>
          </cell>
        </row>
        <row r="499">
          <cell r="AJ499" t="str">
            <v>008360 - ROTISSERIA FILE PEIXE FRITO BENDITO KG</v>
          </cell>
          <cell r="AK499" t="str">
            <v>KG/0001</v>
          </cell>
          <cell r="AL499">
            <v>8360</v>
          </cell>
          <cell r="AM499">
            <v>99.9</v>
          </cell>
        </row>
        <row r="500">
          <cell r="AJ500" t="str">
            <v>008361 - ROTISSERIA FILE SOBRECOXA ASSADA BENDITO KG</v>
          </cell>
          <cell r="AK500" t="str">
            <v>KG/0001</v>
          </cell>
          <cell r="AL500">
            <v>8361</v>
          </cell>
          <cell r="AM500">
            <v>59.9</v>
          </cell>
        </row>
        <row r="501">
          <cell r="AJ501" t="str">
            <v>008362 - ROTISSERIA FILE TILAPIA A PARMEGIANA BENDITO KG</v>
          </cell>
          <cell r="AK501" t="str">
            <v>KG/0001</v>
          </cell>
          <cell r="AL501">
            <v>8362</v>
          </cell>
          <cell r="AM501">
            <v>69.900000000000006</v>
          </cell>
        </row>
        <row r="502">
          <cell r="AJ502" t="str">
            <v>008363 - ROTISSERIA FILE TILAPIA ASSADA BENDITO KG</v>
          </cell>
          <cell r="AK502" t="str">
            <v>KG/0001</v>
          </cell>
          <cell r="AL502">
            <v>8363</v>
          </cell>
          <cell r="AM502">
            <v>129.9</v>
          </cell>
        </row>
        <row r="503">
          <cell r="AJ503" t="str">
            <v>008367 - ROTISSERIA FILE TILAPIA GRELHADA BENDITO KG</v>
          </cell>
          <cell r="AK503" t="str">
            <v>KG/0001</v>
          </cell>
          <cell r="AL503">
            <v>8367</v>
          </cell>
          <cell r="AM503">
            <v>162.9</v>
          </cell>
        </row>
        <row r="504">
          <cell r="AJ504" t="str">
            <v>001560 - ROTISSERIA FILE TILAPIA GRELHADA KG</v>
          </cell>
          <cell r="AK504" t="str">
            <v>KG/0001</v>
          </cell>
          <cell r="AL504">
            <v>1560</v>
          </cell>
          <cell r="AM504">
            <v>162.9</v>
          </cell>
        </row>
        <row r="505">
          <cell r="AJ505" t="str">
            <v>008371 - ROTISSERIA FILE TILAPIA MILANESA BENDITO KG</v>
          </cell>
          <cell r="AK505" t="str">
            <v>KG/0001</v>
          </cell>
          <cell r="AL505">
            <v>8371</v>
          </cell>
          <cell r="AM505">
            <v>93.9</v>
          </cell>
        </row>
        <row r="506">
          <cell r="AJ506" t="str">
            <v>001706 - ROTISSERIA FILE TILAPIA MILANESA KG</v>
          </cell>
          <cell r="AK506" t="str">
            <v>KG/0001</v>
          </cell>
          <cell r="AL506">
            <v>1706</v>
          </cell>
          <cell r="AM506">
            <v>93.9</v>
          </cell>
        </row>
        <row r="507">
          <cell r="AJ507" t="str">
            <v>008372 - ROTISSERIA FRALDINHA ASSADA BENDITO KG</v>
          </cell>
          <cell r="AK507" t="str">
            <v>KG/0001</v>
          </cell>
          <cell r="AL507">
            <v>8372</v>
          </cell>
          <cell r="AM507">
            <v>89.9</v>
          </cell>
        </row>
        <row r="508">
          <cell r="AJ508" t="str">
            <v>003682 - ROTISSERIA FRALDINHA ASSADA KG</v>
          </cell>
          <cell r="AK508" t="str">
            <v>KG/0001</v>
          </cell>
          <cell r="AL508">
            <v>3682</v>
          </cell>
          <cell r="AM508">
            <v>89.9</v>
          </cell>
        </row>
        <row r="509">
          <cell r="AJ509" t="str">
            <v>008374 - ROTISSERIA FRALDINHA BENDITO KG</v>
          </cell>
          <cell r="AK509" t="str">
            <v>KG/0001</v>
          </cell>
          <cell r="AL509">
            <v>8374</v>
          </cell>
          <cell r="AM509">
            <v>126.9</v>
          </cell>
        </row>
        <row r="510">
          <cell r="AJ510" t="str">
            <v>001814 - ROTISSERIA FRALDINHA KG</v>
          </cell>
          <cell r="AK510" t="str">
            <v>KG/0001</v>
          </cell>
          <cell r="AL510">
            <v>1814</v>
          </cell>
          <cell r="AM510">
            <v>126.9</v>
          </cell>
        </row>
        <row r="511">
          <cell r="AJ511" t="str">
            <v>008375 - ROTISSERIA FRANGO ASSADO C/FAROFA BENDITO KG</v>
          </cell>
          <cell r="AK511" t="str">
            <v>KG/0001</v>
          </cell>
          <cell r="AL511">
            <v>8375</v>
          </cell>
          <cell r="AM511">
            <v>24.9</v>
          </cell>
        </row>
        <row r="512">
          <cell r="AJ512" t="str">
            <v>003156 - ROTISSERIA FRANGO ASSADO C/FAROFA KG</v>
          </cell>
          <cell r="AK512" t="str">
            <v>KG/0001</v>
          </cell>
          <cell r="AL512">
            <v>3156</v>
          </cell>
          <cell r="AM512">
            <v>24.9</v>
          </cell>
        </row>
        <row r="513">
          <cell r="AJ513" t="str">
            <v>008379 - ROTISSERIA FRANGO DE PANELA BENDITO KG</v>
          </cell>
          <cell r="AK513" t="str">
            <v>KG/0001</v>
          </cell>
          <cell r="AL513">
            <v>8379</v>
          </cell>
          <cell r="AM513">
            <v>39.9</v>
          </cell>
        </row>
        <row r="514">
          <cell r="AJ514" t="str">
            <v>096119 - ROTISSERIA FRANGO DE PANELA KG</v>
          </cell>
          <cell r="AK514" t="str">
            <v>KG/0001</v>
          </cell>
          <cell r="AL514">
            <v>96119</v>
          </cell>
          <cell r="AM514">
            <v>39.9</v>
          </cell>
        </row>
        <row r="515">
          <cell r="AJ515" t="str">
            <v>004083 - ROTISSERIA FRANGO DESOSSADO RECHEADO</v>
          </cell>
          <cell r="AK515" t="str">
            <v>KG/0001</v>
          </cell>
          <cell r="AL515">
            <v>4083</v>
          </cell>
          <cell r="AM515">
            <v>49</v>
          </cell>
        </row>
        <row r="516">
          <cell r="AJ516" t="str">
            <v xml:space="preserve">008380 - ROTISSERIA FRANGO DESOSSADO RECHEADO BENDITO KG </v>
          </cell>
          <cell r="AK516" t="str">
            <v>KG/0001</v>
          </cell>
          <cell r="AL516">
            <v>8380</v>
          </cell>
          <cell r="AM516">
            <v>49</v>
          </cell>
        </row>
        <row r="517">
          <cell r="AJ517" t="str">
            <v>008381 - ROTISSERIA FRANGO XADREZ BENDITO KG</v>
          </cell>
          <cell r="AK517" t="str">
            <v>KG/0001</v>
          </cell>
          <cell r="AL517">
            <v>8381</v>
          </cell>
          <cell r="AM517">
            <v>49.9</v>
          </cell>
        </row>
        <row r="518">
          <cell r="AJ518" t="str">
            <v>094313 - ROTISSERIA FRANGO XADREZ KG</v>
          </cell>
          <cell r="AK518" t="str">
            <v>KG/0001</v>
          </cell>
          <cell r="AL518">
            <v>94313</v>
          </cell>
          <cell r="AM518">
            <v>39.9</v>
          </cell>
        </row>
        <row r="519">
          <cell r="AJ519" t="str">
            <v>008383 - ROTISSERIA FRICASSE DE FRANGO BENDITO KG</v>
          </cell>
          <cell r="AK519" t="str">
            <v>KG/0001</v>
          </cell>
          <cell r="AL519">
            <v>8383</v>
          </cell>
          <cell r="AM519">
            <v>59.9</v>
          </cell>
        </row>
        <row r="520">
          <cell r="AJ520" t="str">
            <v>109163 - ROTISSERIA FRICASSE DE FRANGO KG</v>
          </cell>
          <cell r="AK520" t="str">
            <v>KG/0001</v>
          </cell>
          <cell r="AL520">
            <v>109163</v>
          </cell>
          <cell r="AM520">
            <v>59.9</v>
          </cell>
        </row>
        <row r="521">
          <cell r="AJ521" t="str">
            <v>008384 - ROTISSERIA GALINHADA BENDITO KG</v>
          </cell>
          <cell r="AK521" t="str">
            <v>KG/0001</v>
          </cell>
          <cell r="AL521">
            <v>8384</v>
          </cell>
          <cell r="AM521">
            <v>39.9</v>
          </cell>
        </row>
        <row r="522">
          <cell r="AJ522" t="str">
            <v xml:space="preserve">008386 - ROTISSERIA GELEIA DE PIMENTA BENDITO KG </v>
          </cell>
          <cell r="AK522" t="str">
            <v>KG/0001</v>
          </cell>
          <cell r="AL522">
            <v>8386</v>
          </cell>
          <cell r="AM522">
            <v>49.9</v>
          </cell>
        </row>
        <row r="523">
          <cell r="AJ523" t="str">
            <v>008385 - ROTISSERIA GELEIA DE PIMENTA C/ABACAXI BENDITO KG</v>
          </cell>
          <cell r="AK523" t="str">
            <v>KG/0001</v>
          </cell>
          <cell r="AL523">
            <v>8385</v>
          </cell>
          <cell r="AM523">
            <v>49.9</v>
          </cell>
        </row>
        <row r="524">
          <cell r="AJ524" t="str">
            <v>004642 - ROTISSERIA GELEIA DE PIMENTA C/ABACAXI KG</v>
          </cell>
          <cell r="AK524" t="str">
            <v>KG/0001</v>
          </cell>
          <cell r="AL524">
            <v>4642</v>
          </cell>
          <cell r="AM524">
            <v>43.9</v>
          </cell>
        </row>
        <row r="525">
          <cell r="AJ525" t="str">
            <v>005688 - ROTISSERIA GELEIA DE PIMENTA C/ CREAM CHEESE 200 GR</v>
          </cell>
          <cell r="AK525" t="str">
            <v>UN/0001</v>
          </cell>
          <cell r="AL525">
            <v>5688</v>
          </cell>
          <cell r="AM525">
            <v>19.899999999999999</v>
          </cell>
        </row>
        <row r="526">
          <cell r="AJ526" t="str">
            <v xml:space="preserve">005687 - ROTISSERIA GELEIA DE PIMENTA KG </v>
          </cell>
          <cell r="AK526" t="str">
            <v>KG/0001</v>
          </cell>
          <cell r="AL526">
            <v>5687</v>
          </cell>
          <cell r="AM526">
            <v>39.9</v>
          </cell>
        </row>
        <row r="527">
          <cell r="AJ527" t="str">
            <v>008387 - ROTISSERIA HAMBURGUER FRANGO BENDITO KG</v>
          </cell>
          <cell r="AK527" t="str">
            <v>KG/0001</v>
          </cell>
          <cell r="AL527">
            <v>8387</v>
          </cell>
          <cell r="AM527">
            <v>44.9</v>
          </cell>
        </row>
        <row r="528">
          <cell r="AJ528" t="str">
            <v>004141 - ROTISSERIA HAMBURGUER FRANGO KG</v>
          </cell>
          <cell r="AK528" t="str">
            <v>KG/0001</v>
          </cell>
          <cell r="AL528">
            <v>4141</v>
          </cell>
          <cell r="AM528">
            <v>44.9</v>
          </cell>
        </row>
        <row r="529">
          <cell r="AJ529" t="str">
            <v>008389 - ROTISSERIA HAMBURGUER GOURMET BENDITO KG</v>
          </cell>
          <cell r="AK529" t="str">
            <v>KG/0001</v>
          </cell>
          <cell r="AL529">
            <v>8389</v>
          </cell>
          <cell r="AM529">
            <v>49.9</v>
          </cell>
        </row>
        <row r="530">
          <cell r="AJ530" t="str">
            <v>009124 - ROTISSERIA HOT HOLL BENDITO UN</v>
          </cell>
          <cell r="AK530" t="str">
            <v>UN/0001</v>
          </cell>
          <cell r="AL530">
            <v>9124</v>
          </cell>
          <cell r="AM530">
            <v>25.9</v>
          </cell>
        </row>
        <row r="531">
          <cell r="AJ531" t="str">
            <v>008390 - ROTISSERIA ISCA DE FRANGO ACEBOLADA BENDITO KG</v>
          </cell>
          <cell r="AK531" t="str">
            <v>KG/0001</v>
          </cell>
          <cell r="AL531">
            <v>8390</v>
          </cell>
          <cell r="AM531">
            <v>64.900000000000006</v>
          </cell>
        </row>
        <row r="532">
          <cell r="AJ532" t="str">
            <v>008391 - ROTISSERIA JILO FRITO BENDITO KG</v>
          </cell>
          <cell r="AK532" t="str">
            <v>KG/0001</v>
          </cell>
          <cell r="AL532">
            <v>8391</v>
          </cell>
          <cell r="AM532">
            <v>52.9</v>
          </cell>
        </row>
        <row r="533">
          <cell r="AJ533" t="str">
            <v>008392 - ROTISSERIA JILO REFOGADO BENDITO KG</v>
          </cell>
          <cell r="AK533" t="str">
            <v>KG/0001</v>
          </cell>
          <cell r="AL533">
            <v>8392</v>
          </cell>
          <cell r="AM533">
            <v>14.9</v>
          </cell>
        </row>
        <row r="534">
          <cell r="AJ534" t="str">
            <v>008393 - ROTISSERIA JOELHO PORCO ASSADO BENDITO KG</v>
          </cell>
          <cell r="AK534" t="str">
            <v>KG/0001</v>
          </cell>
          <cell r="AL534">
            <v>8393</v>
          </cell>
          <cell r="AM534">
            <v>59.9</v>
          </cell>
        </row>
        <row r="535">
          <cell r="AJ535" t="str">
            <v>095389 - ROTISSERIA JOELHO PORCO ASSADO KG</v>
          </cell>
          <cell r="AK535" t="str">
            <v>KG/0001</v>
          </cell>
          <cell r="AL535">
            <v>95389</v>
          </cell>
          <cell r="AM535">
            <v>49.9</v>
          </cell>
        </row>
        <row r="536">
          <cell r="AJ536" t="str">
            <v>008396 - ROTISSERIA LAGARTO AO MOLHO MADEIRA BENDITO KG</v>
          </cell>
          <cell r="AK536" t="str">
            <v>KG/0001</v>
          </cell>
          <cell r="AL536">
            <v>8396</v>
          </cell>
          <cell r="AM536">
            <v>94.9</v>
          </cell>
        </row>
        <row r="537">
          <cell r="AJ537" t="str">
            <v>093466 - ROTISSERIA LAGARTO AO MOLHO MADEIRA KG</v>
          </cell>
          <cell r="AK537" t="str">
            <v>KG/0001</v>
          </cell>
          <cell r="AL537">
            <v>93466</v>
          </cell>
          <cell r="AM537">
            <v>94.9</v>
          </cell>
        </row>
        <row r="538">
          <cell r="AJ538" t="str">
            <v>008397 - ROTISSERIA LAGARTO ASSADO BENDITO KG</v>
          </cell>
          <cell r="AK538" t="str">
            <v>KG/0001</v>
          </cell>
          <cell r="AL538">
            <v>8397</v>
          </cell>
          <cell r="AM538">
            <v>93.9</v>
          </cell>
        </row>
        <row r="539">
          <cell r="AJ539" t="str">
            <v>008398 - ROTISSERIA LAGARTO RECH AO MOLHO MADEIRA BENDITO KG</v>
          </cell>
          <cell r="AK539" t="str">
            <v>KG/0001</v>
          </cell>
          <cell r="AL539">
            <v>8398</v>
          </cell>
          <cell r="AM539">
            <v>94.9</v>
          </cell>
        </row>
        <row r="540">
          <cell r="AJ540" t="str">
            <v>005764 - ROTISSERIA LAGARTO RECH AO MOLHO MADEIRA KG</v>
          </cell>
          <cell r="AK540" t="str">
            <v>KG/0001</v>
          </cell>
          <cell r="AL540">
            <v>5764</v>
          </cell>
          <cell r="AM540">
            <v>94.9</v>
          </cell>
        </row>
        <row r="541">
          <cell r="AJ541" t="str">
            <v>008399 - ROTISSERIA LASANHA ABOBRINHA BENDITO KG</v>
          </cell>
          <cell r="AK541" t="str">
            <v>KG/0001</v>
          </cell>
          <cell r="AL541">
            <v>8399</v>
          </cell>
          <cell r="AM541">
            <v>43.9</v>
          </cell>
        </row>
        <row r="542">
          <cell r="AJ542" t="str">
            <v>003706 - ROTISSERIA LASANHA ABOBRINHA KG</v>
          </cell>
          <cell r="AK542" t="str">
            <v>KG/0001</v>
          </cell>
          <cell r="AL542">
            <v>3706</v>
          </cell>
          <cell r="AM542">
            <v>43.9</v>
          </cell>
        </row>
        <row r="543">
          <cell r="AJ543" t="str">
            <v>008400 - ROTISSERIA LASANHA A BOLONHESA BENDITO  KG</v>
          </cell>
          <cell r="AK543" t="str">
            <v>KG/0001</v>
          </cell>
          <cell r="AL543">
            <v>8400</v>
          </cell>
          <cell r="AM543">
            <v>56.9</v>
          </cell>
        </row>
        <row r="544">
          <cell r="AJ544" t="str">
            <v>008401 - ROTISSERIA LASANHA A BOLONHESA MASSA FRESCA BENDITO KG</v>
          </cell>
          <cell r="AK544" t="str">
            <v>KG/0001</v>
          </cell>
          <cell r="AL544">
            <v>8401</v>
          </cell>
          <cell r="AM544">
            <v>53.9</v>
          </cell>
        </row>
        <row r="545">
          <cell r="AJ545" t="str">
            <v>008402 - ROTISSERIA LASANHA BERINJELA BENDITO KG</v>
          </cell>
          <cell r="AK545" t="str">
            <v>KG/0001</v>
          </cell>
          <cell r="AL545">
            <v>8402</v>
          </cell>
          <cell r="AM545">
            <v>41.9</v>
          </cell>
        </row>
        <row r="546">
          <cell r="AJ546" t="str">
            <v>008403 - ROTISSERIA LEGUMES BENDITO KG</v>
          </cell>
          <cell r="AK546" t="str">
            <v>KG/0001</v>
          </cell>
          <cell r="AL546">
            <v>8403</v>
          </cell>
          <cell r="AM546">
            <v>14.9</v>
          </cell>
        </row>
        <row r="547">
          <cell r="AJ547" t="str">
            <v>008404 - ROTISSERIA LEGUMES REFOGADO BENDITO KG</v>
          </cell>
          <cell r="AK547" t="str">
            <v>KG/0001</v>
          </cell>
          <cell r="AL547">
            <v>8404</v>
          </cell>
          <cell r="AM547">
            <v>24.9</v>
          </cell>
        </row>
        <row r="548">
          <cell r="AJ548" t="str">
            <v>008408 - ROTISSERIA LINGUICA ARTESANAL ASSADA BENDITO  KG</v>
          </cell>
          <cell r="AK548" t="str">
            <v>KG/0001</v>
          </cell>
          <cell r="AL548">
            <v>8408</v>
          </cell>
          <cell r="AM548">
            <v>69.900000000000006</v>
          </cell>
        </row>
        <row r="549">
          <cell r="AJ549" t="str">
            <v>008409 - ROTISSERIA LINGUICA ASSADA BENDITO KG</v>
          </cell>
          <cell r="AK549" t="str">
            <v>KG/0001</v>
          </cell>
          <cell r="AL549">
            <v>8409</v>
          </cell>
          <cell r="AM549">
            <v>59.9</v>
          </cell>
        </row>
        <row r="550">
          <cell r="AJ550" t="str">
            <v>008410 - ROTISSERIA LINGUICA FRANGO ASSADA BENDITO KG</v>
          </cell>
          <cell r="AK550" t="str">
            <v>KG/0001</v>
          </cell>
          <cell r="AL550">
            <v>8410</v>
          </cell>
          <cell r="AM550">
            <v>59.9</v>
          </cell>
        </row>
        <row r="551">
          <cell r="AJ551" t="str">
            <v>008416 - ROTISSERIA LINGUICA RECHEADA ASSADA BENDITO KG</v>
          </cell>
          <cell r="AK551" t="str">
            <v>KG/0001</v>
          </cell>
          <cell r="AL551">
            <v>8416</v>
          </cell>
          <cell r="AM551">
            <v>64.900000000000006</v>
          </cell>
        </row>
        <row r="552">
          <cell r="AJ552" t="str">
            <v>008424 - ROTISSERIA LINGUICINHA FINININHA BENDITO KG</v>
          </cell>
          <cell r="AK552" t="str">
            <v>KG/0001</v>
          </cell>
          <cell r="AL552">
            <v>8424</v>
          </cell>
          <cell r="AM552">
            <v>69.900000000000006</v>
          </cell>
        </row>
        <row r="553">
          <cell r="AJ553" t="str">
            <v>008426 - ROTISSERIA LOMBO ASSADO BENDITO KG</v>
          </cell>
          <cell r="AK553" t="str">
            <v>KG/0001</v>
          </cell>
          <cell r="AL553">
            <v>8426</v>
          </cell>
          <cell r="AM553">
            <v>79</v>
          </cell>
        </row>
        <row r="554">
          <cell r="AJ554" t="str">
            <v>008427 - ROTISSERIA LOMBO EMPANADO BENDITO KG</v>
          </cell>
          <cell r="AK554" t="str">
            <v>KG/0001</v>
          </cell>
          <cell r="AL554">
            <v>8427</v>
          </cell>
          <cell r="AM554">
            <v>64.900000000000006</v>
          </cell>
        </row>
        <row r="555">
          <cell r="AJ555" t="str">
            <v>004980 - ROTISSERIA LOMBO RECHEADO 1KG</v>
          </cell>
          <cell r="AK555" t="str">
            <v>UN/0001</v>
          </cell>
          <cell r="AL555">
            <v>4980</v>
          </cell>
          <cell r="AM555">
            <v>79.900000000000006</v>
          </cell>
        </row>
        <row r="556">
          <cell r="AJ556" t="str">
            <v>036026 - ROTISSERIA LOMBO RECHEADO BENDITO 1KG</v>
          </cell>
          <cell r="AK556" t="str">
            <v>UN/0001</v>
          </cell>
          <cell r="AL556">
            <v>360265</v>
          </cell>
          <cell r="AM556">
            <v>79.900000000000006</v>
          </cell>
        </row>
        <row r="557">
          <cell r="AJ557" t="str">
            <v>008435 - ROTISSERIA LOMBO RECHEADO BENDITO KG</v>
          </cell>
          <cell r="AK557" t="str">
            <v>KG/0001</v>
          </cell>
          <cell r="AL557">
            <v>8435</v>
          </cell>
          <cell r="AM557">
            <v>79.900000000000006</v>
          </cell>
        </row>
        <row r="558">
          <cell r="AJ558" t="str">
            <v>008436 - ROTISSERIA MACARRAO ALHO E OLEO BENDITO KG</v>
          </cell>
          <cell r="AK558" t="str">
            <v>KG/0001</v>
          </cell>
          <cell r="AL558">
            <v>8436</v>
          </cell>
          <cell r="AM558">
            <v>31.9</v>
          </cell>
        </row>
        <row r="559">
          <cell r="AJ559" t="str">
            <v>100058 - ROTISSERIA MACARRAO ALHO E OLEO KG</v>
          </cell>
          <cell r="AK559" t="str">
            <v>KG/0001</v>
          </cell>
          <cell r="AL559">
            <v>100058</v>
          </cell>
          <cell r="AM559">
            <v>31.9</v>
          </cell>
        </row>
        <row r="560">
          <cell r="AJ560" t="str">
            <v>102857 - ROTISSERIA MACARRAO ALHO E OLEO KG</v>
          </cell>
          <cell r="AK560" t="str">
            <v>KG/0001</v>
          </cell>
          <cell r="AL560">
            <v>102857</v>
          </cell>
          <cell r="AM560">
            <v>31.9</v>
          </cell>
        </row>
        <row r="561">
          <cell r="AJ561" t="str">
            <v>008438 - ROTISSERIA MACARRAO A MODA BENDITO KG</v>
          </cell>
          <cell r="AK561" t="str">
            <v>KG/0001</v>
          </cell>
          <cell r="AL561">
            <v>8438</v>
          </cell>
          <cell r="AM561">
            <v>31.9</v>
          </cell>
        </row>
        <row r="562">
          <cell r="AJ562" t="str">
            <v>008439 - ROTISSERIA MACARRAO AO MOLHO BRANCO BENDITO KG</v>
          </cell>
          <cell r="AK562" t="str">
            <v>KG/0001</v>
          </cell>
          <cell r="AL562">
            <v>8439</v>
          </cell>
          <cell r="AM562">
            <v>32.9</v>
          </cell>
        </row>
        <row r="563">
          <cell r="AJ563" t="str">
            <v>107413 - ROTISSERIA MACARRAO AO MOLHO BRANCO KG</v>
          </cell>
          <cell r="AK563" t="str">
            <v>KG/0001</v>
          </cell>
          <cell r="AL563">
            <v>107413</v>
          </cell>
          <cell r="AM563">
            <v>32.9</v>
          </cell>
        </row>
        <row r="564">
          <cell r="AJ564" t="str">
            <v>008474 - ROTISSERIA MACARRAO BENDITO  KG</v>
          </cell>
          <cell r="AK564" t="str">
            <v>KG/0001</v>
          </cell>
          <cell r="AL564">
            <v>8474</v>
          </cell>
          <cell r="AM564">
            <v>32.9</v>
          </cell>
        </row>
        <row r="565">
          <cell r="AJ565" t="str">
            <v>008441 - ROTISSERIA MACARRAO C/ALMONDEGA BENDITO KG</v>
          </cell>
          <cell r="AK565" t="str">
            <v>KG/0001</v>
          </cell>
          <cell r="AL565">
            <v>8441</v>
          </cell>
          <cell r="AM565">
            <v>29.9</v>
          </cell>
        </row>
        <row r="566">
          <cell r="AJ566" t="str">
            <v>093626 - ROTISSERIA MACARRAO C/BROCOLIS E BACON KG</v>
          </cell>
          <cell r="AK566" t="str">
            <v>KG/0001</v>
          </cell>
          <cell r="AL566">
            <v>93626</v>
          </cell>
          <cell r="AM566">
            <v>39.9</v>
          </cell>
        </row>
        <row r="567">
          <cell r="AJ567" t="str">
            <v>008442 - ROTISSERIA MACARRAO C/CALABRESA MOLHO ROSE BENDITO KG</v>
          </cell>
          <cell r="AK567" t="str">
            <v>KG/0001</v>
          </cell>
          <cell r="AL567">
            <v>8442</v>
          </cell>
          <cell r="AM567">
            <v>38.9</v>
          </cell>
        </row>
        <row r="568">
          <cell r="AJ568" t="str">
            <v>008326 - ROTISSERIA MACARRAO C/CHEDDAR E BACON</v>
          </cell>
          <cell r="AK568" t="str">
            <v>KG/0001</v>
          </cell>
          <cell r="AL568">
            <v>8326</v>
          </cell>
          <cell r="AM568">
            <v>49.9</v>
          </cell>
        </row>
        <row r="569">
          <cell r="AJ569" t="str">
            <v>008444 - ROTISSERIA MACARRAO  C/ MOLHO PESTO BENDITO KG</v>
          </cell>
          <cell r="AK569" t="str">
            <v>KG/0001</v>
          </cell>
          <cell r="AL569">
            <v>8444</v>
          </cell>
          <cell r="AM569">
            <v>34.9</v>
          </cell>
        </row>
        <row r="570">
          <cell r="AJ570" t="str">
            <v>008445 - ROTISSERIA MACARRAO COM BACALHAU BENDITO  KG</v>
          </cell>
          <cell r="AK570" t="str">
            <v>KG/0001</v>
          </cell>
          <cell r="AL570">
            <v>8445</v>
          </cell>
          <cell r="AM570">
            <v>79.900000000000006</v>
          </cell>
        </row>
        <row r="571">
          <cell r="AJ571" t="str">
            <v>008450 - ROTISSERIA MACARRAO C/SALSICHA BENDITO KG</v>
          </cell>
          <cell r="AK571" t="str">
            <v>KG/0001</v>
          </cell>
          <cell r="AL571">
            <v>8450</v>
          </cell>
          <cell r="AM571">
            <v>25.9</v>
          </cell>
        </row>
        <row r="572">
          <cell r="AJ572" t="str">
            <v>008459 - ROTISSERIA MACARRAO ESPECIAL BENDITO KG</v>
          </cell>
          <cell r="AK572" t="str">
            <v>KG/0001</v>
          </cell>
          <cell r="AL572">
            <v>8459</v>
          </cell>
          <cell r="AM572">
            <v>34.9</v>
          </cell>
        </row>
        <row r="573">
          <cell r="AJ573" t="str">
            <v>001998 - ROTISSERIA MACARRAO ESPECIAL KG</v>
          </cell>
          <cell r="AK573" t="str">
            <v>KG/0001</v>
          </cell>
          <cell r="AL573">
            <v>1998</v>
          </cell>
          <cell r="AM573">
            <v>34.9</v>
          </cell>
        </row>
        <row r="574">
          <cell r="AJ574" t="str">
            <v>008465 - ROTISSERIA MACARRAO INTEGRAL ALHO PORO TOMATE BENDITO KG</v>
          </cell>
          <cell r="AK574" t="str">
            <v>KG/0001</v>
          </cell>
          <cell r="AL574">
            <v>8465</v>
          </cell>
          <cell r="AM574">
            <v>41.9</v>
          </cell>
        </row>
        <row r="575">
          <cell r="AJ575" t="str">
            <v>008473 - ROTISSERIA MACARRAO INTEGRAL C/ MOLHO PESTO BENDITO KG</v>
          </cell>
          <cell r="AK575" t="str">
            <v>KG/0001</v>
          </cell>
          <cell r="AL575">
            <v>8473</v>
          </cell>
          <cell r="AM575">
            <v>39.9</v>
          </cell>
        </row>
        <row r="576">
          <cell r="AJ576" t="str">
            <v>110332 - ROTISSERIA MACARRAO  KG</v>
          </cell>
          <cell r="AK576" t="str">
            <v>KG/0001</v>
          </cell>
          <cell r="AL576">
            <v>110332</v>
          </cell>
          <cell r="AM576">
            <v>32.9</v>
          </cell>
        </row>
        <row r="577">
          <cell r="AJ577" t="str">
            <v>008475 - ROTISSERIA MACARRAO MOLHO BRANCO C/ALHO PORO BENDITO KG</v>
          </cell>
          <cell r="AK577" t="str">
            <v>KG/0001</v>
          </cell>
          <cell r="AL577">
            <v>8475</v>
          </cell>
          <cell r="AM577">
            <v>34.9</v>
          </cell>
        </row>
        <row r="578">
          <cell r="AJ578" t="str">
            <v>008479 - ROTISSERIA  MACARRAO PRIMAVERA BENDITO KG</v>
          </cell>
          <cell r="AK578" t="str">
            <v>KG/0001</v>
          </cell>
          <cell r="AL578">
            <v>8479</v>
          </cell>
          <cell r="AM578">
            <v>39.9</v>
          </cell>
        </row>
        <row r="579">
          <cell r="AJ579" t="str">
            <v>002957 - ROTISSERIA  MACARRAO PRIMAVERA  KG</v>
          </cell>
          <cell r="AK579" t="str">
            <v>KG/0001</v>
          </cell>
          <cell r="AL579">
            <v>2957</v>
          </cell>
          <cell r="AM579">
            <v>39.9</v>
          </cell>
        </row>
        <row r="580">
          <cell r="AJ580" t="str">
            <v>008480 - ROTISSERIA MACARRONADA A BOLONHESA BENDITO KG</v>
          </cell>
          <cell r="AK580" t="str">
            <v>KG/0001</v>
          </cell>
          <cell r="AL580">
            <v>8480</v>
          </cell>
          <cell r="AM580">
            <v>39.9</v>
          </cell>
        </row>
        <row r="581">
          <cell r="AJ581" t="str">
            <v>094461 - ROTISSERIA MACARRONADA A BOLONHESA KG</v>
          </cell>
          <cell r="AK581" t="str">
            <v>KG/0001</v>
          </cell>
          <cell r="AL581">
            <v>94461</v>
          </cell>
          <cell r="AM581">
            <v>31.9</v>
          </cell>
        </row>
        <row r="582">
          <cell r="AJ582" t="str">
            <v>008481 - ROTISSERIA MAC.SPAGUETI M.ALMONDEGA FGO BENDITO KG</v>
          </cell>
          <cell r="AK582" t="str">
            <v>KG/0001</v>
          </cell>
          <cell r="AL582">
            <v>8481</v>
          </cell>
          <cell r="AM582">
            <v>39.9</v>
          </cell>
        </row>
        <row r="583">
          <cell r="AJ583" t="str">
            <v>006237 - ROTISSERIA MAC.SPAGUETI M.ALMONDEGA FGO KG</v>
          </cell>
          <cell r="AK583" t="str">
            <v>KG/0001</v>
          </cell>
          <cell r="AL583">
            <v>6237</v>
          </cell>
          <cell r="AM583">
            <v>39.9</v>
          </cell>
        </row>
        <row r="584">
          <cell r="AJ584" t="str">
            <v>008483 - ROTISSERIA MAIONESE BENDITO KG</v>
          </cell>
          <cell r="AK584" t="str">
            <v>KG/0001</v>
          </cell>
          <cell r="AL584">
            <v>8483</v>
          </cell>
          <cell r="AM584">
            <v>49.9</v>
          </cell>
        </row>
        <row r="585">
          <cell r="AJ585" t="str">
            <v>006857 - ROTISSERIA MAIONESE DE LEGUMES COM FRANGO</v>
          </cell>
          <cell r="AK585" t="str">
            <v>KG/0001</v>
          </cell>
          <cell r="AL585">
            <v>6857</v>
          </cell>
          <cell r="AM585">
            <v>49.9</v>
          </cell>
        </row>
        <row r="586">
          <cell r="AJ586" t="str">
            <v>008482 - ROTISSERIA MAIONESE DE LEGUMES COM FRANGO BENDITO KG</v>
          </cell>
          <cell r="AK586" t="str">
            <v>KG/0001</v>
          </cell>
          <cell r="AL586">
            <v>8482</v>
          </cell>
          <cell r="AM586">
            <v>49.9</v>
          </cell>
        </row>
        <row r="587">
          <cell r="AJ587" t="str">
            <v>093469 - ROTISSERIA MAIONESE KG</v>
          </cell>
          <cell r="AK587" t="str">
            <v>KG/0001</v>
          </cell>
          <cell r="AL587">
            <v>93469</v>
          </cell>
          <cell r="AM587">
            <v>49.9</v>
          </cell>
        </row>
        <row r="588">
          <cell r="AJ588" t="str">
            <v>100865 - ROTISSERIA MAMINHA ASSADA</v>
          </cell>
          <cell r="AK588" t="str">
            <v>KG/0001</v>
          </cell>
          <cell r="AL588">
            <v>100865</v>
          </cell>
          <cell r="AM588">
            <v>115.9</v>
          </cell>
        </row>
        <row r="589">
          <cell r="AJ589" t="str">
            <v>008484 - ROTISSERIA MAMINHA ASSADA BENDITO KG</v>
          </cell>
          <cell r="AK589" t="str">
            <v>KG/0001</v>
          </cell>
          <cell r="AL589">
            <v>8484</v>
          </cell>
          <cell r="AM589">
            <v>115.9</v>
          </cell>
        </row>
        <row r="590">
          <cell r="AJ590" t="str">
            <v>008485 - ROTISSERIA MANDIOCA FRITA BENDITO KG</v>
          </cell>
          <cell r="AK590" t="str">
            <v>KG/0001</v>
          </cell>
          <cell r="AL590">
            <v>8485</v>
          </cell>
          <cell r="AM590">
            <v>34.9</v>
          </cell>
        </row>
        <row r="591">
          <cell r="AJ591" t="str">
            <v>096166 - ROTISSERIA MANDIOCA FRITA KG</v>
          </cell>
          <cell r="AK591" t="str">
            <v>KG/0001</v>
          </cell>
          <cell r="AL591">
            <v>96166</v>
          </cell>
          <cell r="AM591">
            <v>34.9</v>
          </cell>
        </row>
        <row r="592">
          <cell r="AJ592" t="str">
            <v>008491 - ROTISSERIA MEDALHAO FRANGO BENDITO KG</v>
          </cell>
          <cell r="AK592" t="str">
            <v>KG/0001</v>
          </cell>
          <cell r="AL592">
            <v>8491</v>
          </cell>
          <cell r="AM592">
            <v>78.900000000000006</v>
          </cell>
        </row>
        <row r="593">
          <cell r="AJ593" t="str">
            <v>094146 - ROTISSERIA MEDALHAO FRANGO KG</v>
          </cell>
          <cell r="AK593" t="str">
            <v>KG/0001</v>
          </cell>
          <cell r="AL593">
            <v>94146</v>
          </cell>
          <cell r="AM593">
            <v>78.900000000000006</v>
          </cell>
        </row>
        <row r="594">
          <cell r="AJ594" t="str">
            <v>008492 - ROTISSERIA MEDALHAO SUINO BENDITO KG</v>
          </cell>
          <cell r="AK594" t="str">
            <v>KG/0001</v>
          </cell>
          <cell r="AL594">
            <v>8492</v>
          </cell>
          <cell r="AM594">
            <v>64.900000000000006</v>
          </cell>
        </row>
        <row r="595">
          <cell r="AJ595" t="str">
            <v>094808 - ROTISSERIA MEDALHAO SUINO DESCONTAO KG</v>
          </cell>
          <cell r="AK595" t="str">
            <v>KG/0001</v>
          </cell>
          <cell r="AL595">
            <v>94808</v>
          </cell>
          <cell r="AM595">
            <v>64.900000000000006</v>
          </cell>
        </row>
        <row r="596">
          <cell r="AJ596" t="str">
            <v>008493 - ROTISSERIA MILHO REFOGADO BENDITO KG</v>
          </cell>
          <cell r="AK596" t="str">
            <v>KG/0001</v>
          </cell>
          <cell r="AL596">
            <v>8493</v>
          </cell>
          <cell r="AM596">
            <v>34.9</v>
          </cell>
        </row>
        <row r="597">
          <cell r="AJ597" t="str">
            <v>100583 - ROTISSERIA MILHO REFOGADO KG</v>
          </cell>
          <cell r="AK597" t="str">
            <v>KG/0001</v>
          </cell>
          <cell r="AL597">
            <v>100583</v>
          </cell>
          <cell r="AM597">
            <v>34.9</v>
          </cell>
        </row>
        <row r="598">
          <cell r="AJ598" t="str">
            <v>008494 - ROTISSERIA MIX CHURRASCO BENDITO KG</v>
          </cell>
          <cell r="AK598" t="str">
            <v>KG/0001</v>
          </cell>
          <cell r="AL598">
            <v>8494</v>
          </cell>
          <cell r="AM598">
            <v>59.9</v>
          </cell>
        </row>
        <row r="599">
          <cell r="AJ599" t="str">
            <v>006815 - ROTISSERIA MIX CHURRASCO KG</v>
          </cell>
          <cell r="AK599" t="str">
            <v>KG/0001</v>
          </cell>
          <cell r="AL599">
            <v>6815</v>
          </cell>
          <cell r="AM599">
            <v>59.9</v>
          </cell>
        </row>
        <row r="600">
          <cell r="AJ600" t="str">
            <v>008497 - ROTISSERIA MIX LEGUMES ASSADO BENDITO KG</v>
          </cell>
          <cell r="AK600" t="str">
            <v>KG/0001</v>
          </cell>
          <cell r="AL600">
            <v>8497</v>
          </cell>
          <cell r="AM600">
            <v>29.9</v>
          </cell>
        </row>
        <row r="601">
          <cell r="AJ601" t="str">
            <v>001984 - ROTISSERIA MIX LEGUMES ASSADO KG</v>
          </cell>
          <cell r="AK601" t="str">
            <v>KG/0001</v>
          </cell>
          <cell r="AL601">
            <v>1984</v>
          </cell>
          <cell r="AM601">
            <v>29.9</v>
          </cell>
        </row>
        <row r="602">
          <cell r="AJ602" t="str">
            <v xml:space="preserve">004651 - ROTISSERIA MOLHO PIMENTA ARTESANAL </v>
          </cell>
          <cell r="AK602" t="str">
            <v>KG/0001</v>
          </cell>
          <cell r="AL602">
            <v>4651</v>
          </cell>
          <cell r="AM602">
            <v>29.9</v>
          </cell>
        </row>
        <row r="603">
          <cell r="AJ603" t="str">
            <v>008498 - ROTISSERIA MOLHO PIMENTA ARTESANAL BENDITO KG</v>
          </cell>
          <cell r="AK603" t="str">
            <v>KG/0001</v>
          </cell>
          <cell r="AL603">
            <v>8498</v>
          </cell>
          <cell r="AM603">
            <v>29.9</v>
          </cell>
        </row>
        <row r="604">
          <cell r="AJ604" t="str">
            <v>006960 - ROTISSERIA NHOQUE AO MOLHO SUGO KG</v>
          </cell>
          <cell r="AK604" t="str">
            <v>KG/0001</v>
          </cell>
          <cell r="AL604">
            <v>6960</v>
          </cell>
          <cell r="AM604">
            <v>39.9</v>
          </cell>
        </row>
        <row r="605">
          <cell r="AJ605" t="str">
            <v>008502 - ROTISSERIA NHOQUE DE BATATA C/ CARNE BENDITO KG</v>
          </cell>
          <cell r="AK605" t="str">
            <v>KG/0001</v>
          </cell>
          <cell r="AL605">
            <v>8502</v>
          </cell>
          <cell r="AM605">
            <v>52.9</v>
          </cell>
        </row>
        <row r="606">
          <cell r="AJ606" t="str">
            <v>093473 - ROTISSERIA NHOQUE DE BATATA C/ CARNE KG</v>
          </cell>
          <cell r="AK606" t="str">
            <v>KG/0001</v>
          </cell>
          <cell r="AL606">
            <v>93473</v>
          </cell>
          <cell r="AM606">
            <v>49.9</v>
          </cell>
        </row>
        <row r="607">
          <cell r="AJ607" t="str">
            <v>008503 - ROTISSERIA OMELETE DE FORNO BENDITO KG</v>
          </cell>
          <cell r="AK607" t="str">
            <v>KG/0001</v>
          </cell>
          <cell r="AL607">
            <v>8503</v>
          </cell>
          <cell r="AM607">
            <v>57.8</v>
          </cell>
        </row>
        <row r="608">
          <cell r="AJ608" t="str">
            <v>006519 - ROTISSERIA OMELETE DE FORNO  KG</v>
          </cell>
          <cell r="AK608" t="str">
            <v>KG/0001</v>
          </cell>
          <cell r="AL608">
            <v>6519</v>
          </cell>
          <cell r="AM608">
            <v>57.8</v>
          </cell>
        </row>
        <row r="609">
          <cell r="AJ609" t="str">
            <v>008505 - ROTISSERIA OVOS COZIDO BENDITO KG</v>
          </cell>
          <cell r="AK609" t="str">
            <v>KG/0001</v>
          </cell>
          <cell r="AL609">
            <v>8505</v>
          </cell>
          <cell r="AM609">
            <v>36.9</v>
          </cell>
        </row>
        <row r="610">
          <cell r="AJ610" t="str">
            <v>005299 - ROTISSERIA OVOS COZIDO KG</v>
          </cell>
          <cell r="AK610" t="str">
            <v>KG/0001</v>
          </cell>
          <cell r="AL610">
            <v>5299</v>
          </cell>
          <cell r="AM610">
            <v>36.9</v>
          </cell>
        </row>
        <row r="611">
          <cell r="AJ611" t="str">
            <v>008506 - ROTISSERIA OVOS FRITOS BENDITO KG</v>
          </cell>
          <cell r="AK611" t="str">
            <v>KG/0001</v>
          </cell>
          <cell r="AL611">
            <v>8506</v>
          </cell>
          <cell r="AM611">
            <v>54.9</v>
          </cell>
        </row>
        <row r="612">
          <cell r="AJ612" t="str">
            <v>005312 - ROTISSERIA OVOS FRITOS KG</v>
          </cell>
          <cell r="AK612" t="str">
            <v>KG/0001</v>
          </cell>
          <cell r="AL612">
            <v>5312</v>
          </cell>
          <cell r="AM612">
            <v>54.9</v>
          </cell>
        </row>
        <row r="613">
          <cell r="AJ613" t="str">
            <v>008507 - ROTISSERIA PANCETA ASSADA BENDITO KG</v>
          </cell>
          <cell r="AK613" t="str">
            <v>KG/0001</v>
          </cell>
          <cell r="AL613">
            <v>8507</v>
          </cell>
          <cell r="AM613">
            <v>59.9</v>
          </cell>
        </row>
        <row r="614">
          <cell r="AJ614" t="str">
            <v>098130 - ROTISSERIA PANCETA ASSADA KG</v>
          </cell>
          <cell r="AK614" t="str">
            <v>KG/0001</v>
          </cell>
          <cell r="AL614">
            <v>98130</v>
          </cell>
          <cell r="AM614">
            <v>59.9</v>
          </cell>
        </row>
        <row r="615">
          <cell r="AJ615" t="str">
            <v>008518 - ROTISSERIA PANCETA PURURUCA BENDITO KG</v>
          </cell>
          <cell r="AK615" t="str">
            <v>KG/0001</v>
          </cell>
          <cell r="AL615">
            <v>8518</v>
          </cell>
          <cell r="AM615">
            <v>79.900000000000006</v>
          </cell>
        </row>
        <row r="616">
          <cell r="AJ616" t="str">
            <v>001293 - ROTISSERIA PANCETA PURURUCA KG</v>
          </cell>
          <cell r="AK616" t="str">
            <v>KG/0001</v>
          </cell>
          <cell r="AL616">
            <v>1293</v>
          </cell>
          <cell r="AM616">
            <v>79.900000000000006</v>
          </cell>
        </row>
        <row r="617">
          <cell r="AJ617" t="str">
            <v>006991 - ROTISSERIA PANQUECA 3 QUEJOS KG</v>
          </cell>
          <cell r="AK617" t="str">
            <v>KG/0001</v>
          </cell>
          <cell r="AL617">
            <v>6991</v>
          </cell>
          <cell r="AM617">
            <v>0</v>
          </cell>
        </row>
        <row r="618">
          <cell r="AJ618" t="str">
            <v>006998 - ROTISSERIA PANQUECA 3 QUEJOS KG</v>
          </cell>
          <cell r="AK618" t="str">
            <v>KG/0001</v>
          </cell>
          <cell r="AL618">
            <v>6998</v>
          </cell>
          <cell r="AM618">
            <v>49.9</v>
          </cell>
        </row>
        <row r="619">
          <cell r="AJ619" t="str">
            <v>008525 - ROTISSERIA PANQUECA CALABRESA BENDITO  KG</v>
          </cell>
          <cell r="AK619" t="str">
            <v>KG/0001</v>
          </cell>
          <cell r="AL619">
            <v>8525</v>
          </cell>
          <cell r="AM619">
            <v>59.9</v>
          </cell>
        </row>
        <row r="620">
          <cell r="AJ620" t="str">
            <v>006578 - ROTISSERIA PANQUECA CALABRESA KG</v>
          </cell>
          <cell r="AK620" t="str">
            <v>KG/0001</v>
          </cell>
          <cell r="AL620">
            <v>6578</v>
          </cell>
          <cell r="AM620">
            <v>59.9</v>
          </cell>
        </row>
        <row r="621">
          <cell r="AJ621" t="str">
            <v>008526 - ROTISSERIA PANQUECA CARNE QUEIJO BENDITO KG</v>
          </cell>
          <cell r="AK621" t="str">
            <v>KG/0001</v>
          </cell>
          <cell r="AL621">
            <v>8526</v>
          </cell>
          <cell r="AM621">
            <v>69.900000000000006</v>
          </cell>
        </row>
        <row r="622">
          <cell r="AJ622" t="str">
            <v>005753 - ROTISSERIA PANQUECA CARNE QUEIJO KG</v>
          </cell>
          <cell r="AK622" t="str">
            <v>KG/0001</v>
          </cell>
          <cell r="AL622">
            <v>5753</v>
          </cell>
          <cell r="AM622">
            <v>69.900000000000006</v>
          </cell>
        </row>
        <row r="623">
          <cell r="AJ623" t="str">
            <v>105406 - ROTISSERIA PANQUECA DE CARNE AO POMODORO</v>
          </cell>
          <cell r="AK623" t="str">
            <v>KG/0001</v>
          </cell>
          <cell r="AL623">
            <v>105406</v>
          </cell>
          <cell r="AM623">
            <v>69.900000000000006</v>
          </cell>
        </row>
        <row r="624">
          <cell r="AJ624" t="str">
            <v>008529 - ROTISSERIA PANQUECA DE CARNE AO POMODORO BENDITO KG</v>
          </cell>
          <cell r="AK624" t="str">
            <v>KG/0001</v>
          </cell>
          <cell r="AL624">
            <v>8529</v>
          </cell>
          <cell r="AM624">
            <v>69.900000000000006</v>
          </cell>
        </row>
        <row r="625">
          <cell r="AJ625" t="str">
            <v>008532 - ROTISSERIA PANQUECA DE FRANGO BENDITO KG</v>
          </cell>
          <cell r="AK625" t="str">
            <v>KG/0001</v>
          </cell>
          <cell r="AL625">
            <v>8532</v>
          </cell>
          <cell r="AM625">
            <v>63.9</v>
          </cell>
        </row>
        <row r="626">
          <cell r="AJ626" t="str">
            <v>105407 - ROTISSERIA PANQUECA DE FRANGO KG</v>
          </cell>
          <cell r="AK626" t="str">
            <v>KG/0001</v>
          </cell>
          <cell r="AL626">
            <v>105407</v>
          </cell>
          <cell r="AM626">
            <v>63.9</v>
          </cell>
        </row>
        <row r="627">
          <cell r="AJ627" t="str">
            <v>008541 - ROTISSERIA PANQUECA FRANGO C REQUEIJAO BENDITO KG</v>
          </cell>
          <cell r="AK627" t="str">
            <v>KG/0001</v>
          </cell>
          <cell r="AL627">
            <v>8541</v>
          </cell>
          <cell r="AM627">
            <v>63.9</v>
          </cell>
        </row>
        <row r="628">
          <cell r="AJ628" t="str">
            <v>005752 - ROTISSERIA PANQUECA FRANGO C REQUEIJAO KG</v>
          </cell>
          <cell r="AK628" t="str">
            <v>KG/0001</v>
          </cell>
          <cell r="AL628">
            <v>5752</v>
          </cell>
          <cell r="AM628">
            <v>63.9</v>
          </cell>
        </row>
        <row r="629">
          <cell r="AJ629" t="str">
            <v>006032 - ROTISSERIA PANQUECA INTEGRAL DE BETERRABA COM FRANGO  KG</v>
          </cell>
          <cell r="AK629" t="str">
            <v>KG/0001</v>
          </cell>
          <cell r="AL629">
            <v>6032</v>
          </cell>
          <cell r="AM629">
            <v>63.9</v>
          </cell>
        </row>
        <row r="630">
          <cell r="AJ630" t="str">
            <v>006031 - ROTISSERIA PANQUECA INTEGRAL DE COUVE COM CARNE MOIDA  KG</v>
          </cell>
          <cell r="AK630" t="str">
            <v>KG/0001</v>
          </cell>
          <cell r="AL630">
            <v>6031</v>
          </cell>
          <cell r="AM630">
            <v>59.9</v>
          </cell>
        </row>
        <row r="631">
          <cell r="AJ631" t="str">
            <v>009067 - ROTISSERIA PANQUECA MASSA ESPINAFRE C/PALMITO BENDITO KG</v>
          </cell>
          <cell r="AK631" t="str">
            <v>KG/0001</v>
          </cell>
          <cell r="AL631">
            <v>9067</v>
          </cell>
          <cell r="AM631">
            <v>62.9</v>
          </cell>
        </row>
        <row r="632">
          <cell r="AJ632" t="str">
            <v>009075 - ROTISSERIA PANQUECA MASSA ESPINAFRE FRAN.CREAM.BENDITO KG</v>
          </cell>
          <cell r="AK632" t="str">
            <v>KG/0001</v>
          </cell>
          <cell r="AL632">
            <v>9075</v>
          </cell>
          <cell r="AM632">
            <v>62.9</v>
          </cell>
        </row>
        <row r="633">
          <cell r="AJ633" t="str">
            <v>008544 - ROTISSERIA PANQUECA PRESUNTO E MUSSARELA BENDITO KG</v>
          </cell>
          <cell r="AK633" t="str">
            <v>KG/0001</v>
          </cell>
          <cell r="AL633">
            <v>8544</v>
          </cell>
          <cell r="AM633">
            <v>59.9</v>
          </cell>
        </row>
        <row r="634">
          <cell r="AJ634" t="str">
            <v>093471 - ROTISSERIA PANQUECA PRESUNTO E MUSSARELA KG</v>
          </cell>
          <cell r="AK634" t="str">
            <v>KG/0001</v>
          </cell>
          <cell r="AL634">
            <v>93471</v>
          </cell>
          <cell r="AM634">
            <v>59.9</v>
          </cell>
        </row>
        <row r="635">
          <cell r="AJ635" t="str">
            <v>008545 - ROTISSERIA PANQUECA S/MOLHO CARNE BENDITO KG</v>
          </cell>
          <cell r="AK635" t="str">
            <v>KG/0001</v>
          </cell>
          <cell r="AL635">
            <v>8545</v>
          </cell>
          <cell r="AM635">
            <v>59.9</v>
          </cell>
        </row>
        <row r="636">
          <cell r="AJ636" t="str">
            <v>006834 - ROTISSERIA PANQUECA S/MOLHO CARNE KG</v>
          </cell>
          <cell r="AK636" t="str">
            <v>KG/0001</v>
          </cell>
          <cell r="AL636">
            <v>6834</v>
          </cell>
          <cell r="AM636">
            <v>59.9</v>
          </cell>
        </row>
        <row r="637">
          <cell r="AJ637" t="str">
            <v>008546 - ROTISSERIA PANQUECA S/MOLHO FRANGO BENDITO KG</v>
          </cell>
          <cell r="AK637" t="str">
            <v>KG/0001</v>
          </cell>
          <cell r="AL637">
            <v>8546</v>
          </cell>
          <cell r="AM637">
            <v>63.9</v>
          </cell>
        </row>
        <row r="638">
          <cell r="AJ638" t="str">
            <v>006833 - ROTISSERIA PANQUECA S/MOLHO FRANGO KG</v>
          </cell>
          <cell r="AK638" t="str">
            <v>KG/0001</v>
          </cell>
          <cell r="AL638">
            <v>6833</v>
          </cell>
          <cell r="AM638">
            <v>63.9</v>
          </cell>
        </row>
        <row r="639">
          <cell r="AJ639" t="str">
            <v>008547 - ROTISSERIA PANQUECA S/MOLHO PRESUNTO E QUEIJO BENDITO KG</v>
          </cell>
          <cell r="AK639" t="str">
            <v>KG/0001</v>
          </cell>
          <cell r="AL639">
            <v>8547</v>
          </cell>
          <cell r="AM639">
            <v>59.9</v>
          </cell>
        </row>
        <row r="640">
          <cell r="AJ640" t="str">
            <v>006832 - ROTISSERIA PANQUECA S/MOLHO PRESUNTO E QUEIJO KG</v>
          </cell>
          <cell r="AK640" t="str">
            <v>KG/0001</v>
          </cell>
          <cell r="AL640">
            <v>6832</v>
          </cell>
          <cell r="AM640">
            <v>59.9</v>
          </cell>
        </row>
        <row r="641">
          <cell r="AJ641" t="str">
            <v>027995 - ROTISSERIA PATE ALHO 180GR</v>
          </cell>
          <cell r="AK641" t="str">
            <v>UN/0001</v>
          </cell>
          <cell r="AL641">
            <v>279956</v>
          </cell>
          <cell r="AM641">
            <v>9.98</v>
          </cell>
        </row>
        <row r="642">
          <cell r="AJ642" t="str">
            <v>008548 - ROTISSERIA PATE ALHO BENDITO 180GR</v>
          </cell>
          <cell r="AK642" t="str">
            <v>UN/0001</v>
          </cell>
          <cell r="AL642">
            <v>8548</v>
          </cell>
          <cell r="AM642">
            <v>32.840000000000003</v>
          </cell>
        </row>
        <row r="643">
          <cell r="AJ643" t="str">
            <v>008551 - ROTISSERIA PATE ALHO BENDITO KG</v>
          </cell>
          <cell r="AK643" t="str">
            <v>KG/0001</v>
          </cell>
          <cell r="AL643">
            <v>8551</v>
          </cell>
          <cell r="AM643">
            <v>59.9</v>
          </cell>
        </row>
        <row r="644">
          <cell r="AJ644" t="str">
            <v>003221 - ROTISSERIA PATE ALHO C/ AZEITONA PRETA</v>
          </cell>
          <cell r="AK644" t="str">
            <v>KG/0001</v>
          </cell>
          <cell r="AL644">
            <v>3221</v>
          </cell>
          <cell r="AM644">
            <v>69.900000000000006</v>
          </cell>
        </row>
        <row r="645">
          <cell r="AJ645" t="str">
            <v>008549 - ROTISSERIA PATE ALHO C/ AZEITONA PRETA BENDITO KG</v>
          </cell>
          <cell r="AK645" t="str">
            <v>KG/0001</v>
          </cell>
          <cell r="AL645">
            <v>8549</v>
          </cell>
          <cell r="AM645">
            <v>69.900000000000006</v>
          </cell>
        </row>
        <row r="646">
          <cell r="AJ646" t="str">
            <v>003219 - ROTISSERIA PATE ALHO KG</v>
          </cell>
          <cell r="AK646" t="str">
            <v>KG/0001</v>
          </cell>
          <cell r="AL646">
            <v>3219</v>
          </cell>
          <cell r="AM646">
            <v>59.9</v>
          </cell>
        </row>
        <row r="647">
          <cell r="AJ647" t="str">
            <v>008552 - ROTISSERIA PATE BACONESE BENDITO KG</v>
          </cell>
          <cell r="AK647" t="str">
            <v>KG/0001</v>
          </cell>
          <cell r="AL647">
            <v>8552</v>
          </cell>
          <cell r="AM647">
            <v>28.9</v>
          </cell>
        </row>
        <row r="648">
          <cell r="AJ648" t="str">
            <v>006558 - ROTISSERIA PATE BACONESE KG</v>
          </cell>
          <cell r="AK648" t="str">
            <v>KG/0001</v>
          </cell>
          <cell r="AL648">
            <v>6558</v>
          </cell>
          <cell r="AM648">
            <v>28.9</v>
          </cell>
        </row>
        <row r="649">
          <cell r="AJ649" t="str">
            <v>001613 - ROTISSERIA PATE DE ALHO CROCANTE KG</v>
          </cell>
          <cell r="AK649" t="str">
            <v>KG/0001</v>
          </cell>
          <cell r="AL649">
            <v>1613</v>
          </cell>
          <cell r="AM649">
            <v>69.900000000000006</v>
          </cell>
        </row>
        <row r="650">
          <cell r="AJ650" t="str">
            <v>027997 - ROTISSERIA PATE DE RICOTA 180GR</v>
          </cell>
          <cell r="AK650" t="str">
            <v>UN/0001</v>
          </cell>
          <cell r="AL650">
            <v>279970</v>
          </cell>
          <cell r="AM650">
            <v>39.99</v>
          </cell>
        </row>
        <row r="651">
          <cell r="AJ651" t="str">
            <v>008553 - ROTISSERIA PATE DE RICOTA BENDITO 180GR</v>
          </cell>
          <cell r="AK651" t="str">
            <v>UN/0001</v>
          </cell>
          <cell r="AL651">
            <v>8553</v>
          </cell>
          <cell r="AM651">
            <v>39.99</v>
          </cell>
        </row>
        <row r="652">
          <cell r="AJ652" t="str">
            <v>008554 - ROTISSERIA PATE DE RICOTA BENDITO  KG</v>
          </cell>
          <cell r="AK652" t="str">
            <v>KG/0001</v>
          </cell>
          <cell r="AL652">
            <v>8554</v>
          </cell>
          <cell r="AM652">
            <v>29.9</v>
          </cell>
        </row>
        <row r="653">
          <cell r="AJ653" t="str">
            <v>004347 - ROTISSERIA PATE DE RICOTA KG</v>
          </cell>
          <cell r="AK653" t="str">
            <v>KG/0001</v>
          </cell>
          <cell r="AL653">
            <v>4347</v>
          </cell>
          <cell r="AM653">
            <v>29.9</v>
          </cell>
        </row>
        <row r="654">
          <cell r="AJ654" t="str">
            <v>008555 - ROTISSERIA PATE GORGONZOLA BENDITO KG</v>
          </cell>
          <cell r="AK654" t="str">
            <v>KG/0001</v>
          </cell>
          <cell r="AL654">
            <v>8555</v>
          </cell>
          <cell r="AM654">
            <v>99.9</v>
          </cell>
        </row>
        <row r="655">
          <cell r="AJ655" t="str">
            <v>006835 - ROTISSERIA PATE GORGONZOLA KG</v>
          </cell>
          <cell r="AK655" t="str">
            <v>KG/0001</v>
          </cell>
          <cell r="AL655">
            <v>6835</v>
          </cell>
          <cell r="AM655">
            <v>79.900000000000006</v>
          </cell>
        </row>
        <row r="656">
          <cell r="AJ656" t="str">
            <v>008556 - ROTISSERIA PATE PIMENTA BIQUINHO BENDITO KG</v>
          </cell>
          <cell r="AK656" t="str">
            <v>KG/0001</v>
          </cell>
          <cell r="AL656">
            <v>8556</v>
          </cell>
          <cell r="AM656">
            <v>79.900000000000006</v>
          </cell>
        </row>
        <row r="657">
          <cell r="AJ657" t="str">
            <v>006689 - ROTISSERIA PATE PIMENTA BIQUINHO KG</v>
          </cell>
          <cell r="AK657" t="str">
            <v>KG/0001</v>
          </cell>
          <cell r="AL657">
            <v>6689</v>
          </cell>
          <cell r="AM657">
            <v>79.900000000000006</v>
          </cell>
        </row>
        <row r="658">
          <cell r="AJ658" t="str">
            <v>094812 - ROTISSERIA PEIXE ASSADO</v>
          </cell>
          <cell r="AK658" t="str">
            <v>KG/0001</v>
          </cell>
          <cell r="AL658">
            <v>94812</v>
          </cell>
          <cell r="AM658">
            <v>84.9</v>
          </cell>
        </row>
        <row r="659">
          <cell r="AJ659" t="str">
            <v xml:space="preserve">008557 - ROTISSERIA PEIXE ASSADO BENDITO KG </v>
          </cell>
          <cell r="AK659" t="str">
            <v>KG/0001</v>
          </cell>
          <cell r="AL659">
            <v>8557</v>
          </cell>
          <cell r="AM659">
            <v>84.9</v>
          </cell>
        </row>
        <row r="660">
          <cell r="AJ660" t="str">
            <v>006901 - ROTISSERIA PENNE MOLHO BECHAMEL C/ BROCOLIS E BACON</v>
          </cell>
          <cell r="AK660" t="str">
            <v>KG/0001</v>
          </cell>
          <cell r="AL660">
            <v>6901</v>
          </cell>
          <cell r="AM660">
            <v>39.9</v>
          </cell>
        </row>
        <row r="661">
          <cell r="AJ661" t="str">
            <v xml:space="preserve">008559 - ROTISSERIA PENNE MOLHO BECHAMEL C/ BROCOLIS E BACON BENDITO </v>
          </cell>
          <cell r="AK661" t="str">
            <v>KG/0001</v>
          </cell>
          <cell r="AL661">
            <v>8559</v>
          </cell>
          <cell r="AM661">
            <v>39.9</v>
          </cell>
        </row>
        <row r="662">
          <cell r="AJ662" t="str">
            <v>008563 - ROTISSERIA PERNIL ACEBOLADO BENDITO  KG</v>
          </cell>
          <cell r="AK662" t="str">
            <v>KG/0001</v>
          </cell>
          <cell r="AL662">
            <v>8563</v>
          </cell>
          <cell r="AM662">
            <v>59.9</v>
          </cell>
        </row>
        <row r="663">
          <cell r="AJ663" t="str">
            <v>093485 - ROTISSERIA PERNIL ACEBOLADO KG</v>
          </cell>
          <cell r="AK663" t="str">
            <v>KG/0001</v>
          </cell>
          <cell r="AL663">
            <v>93485</v>
          </cell>
          <cell r="AM663">
            <v>59.9</v>
          </cell>
        </row>
        <row r="664">
          <cell r="AJ664" t="str">
            <v>008565 - ROTISSERIA PERNIL ASSADO C/OSSO BENDITO KG</v>
          </cell>
          <cell r="AK664" t="str">
            <v>KG/0001</v>
          </cell>
          <cell r="AL664">
            <v>8565</v>
          </cell>
          <cell r="AM664">
            <v>49</v>
          </cell>
        </row>
        <row r="665">
          <cell r="AJ665" t="str">
            <v>101682 - ROTISSERIA PERNIL ASSADO C/OSSO KG</v>
          </cell>
          <cell r="AK665" t="str">
            <v>KG/0001</v>
          </cell>
          <cell r="AL665">
            <v>101682</v>
          </cell>
          <cell r="AM665">
            <v>49</v>
          </cell>
        </row>
        <row r="666">
          <cell r="AJ666" t="str">
            <v>093651 - ROTISSERIA PERNIL ASSADO DESOSSADO KG</v>
          </cell>
          <cell r="AK666" t="str">
            <v>KG/0001</v>
          </cell>
          <cell r="AL666">
            <v>93651</v>
          </cell>
          <cell r="AM666">
            <v>69.900000000000006</v>
          </cell>
        </row>
        <row r="667">
          <cell r="AJ667" t="str">
            <v>008566 - ROTISSERIA PERNIL DE PANELA BENDITO KG</v>
          </cell>
          <cell r="AK667" t="str">
            <v>KG/0001</v>
          </cell>
          <cell r="AL667">
            <v>8566</v>
          </cell>
          <cell r="AM667">
            <v>59.9</v>
          </cell>
        </row>
        <row r="668">
          <cell r="AJ668" t="str">
            <v>094646 - ROTISSERIA PERNIL DE PANELA KG</v>
          </cell>
          <cell r="AK668" t="str">
            <v>KG/0001</v>
          </cell>
          <cell r="AL668">
            <v>94646</v>
          </cell>
          <cell r="AM668">
            <v>59.9</v>
          </cell>
        </row>
        <row r="669">
          <cell r="AJ669" t="str">
            <v>008568 - ROTISSERIA PICADINHO CARNE ASSADA BENDITO KG</v>
          </cell>
          <cell r="AK669" t="str">
            <v>KG/0001</v>
          </cell>
          <cell r="AL669">
            <v>8568</v>
          </cell>
          <cell r="AM669">
            <v>79.900000000000006</v>
          </cell>
        </row>
        <row r="670">
          <cell r="AJ670" t="str">
            <v>097608 - ROTISSERIA PICADINHO CARNE ASSADA KG</v>
          </cell>
          <cell r="AK670" t="str">
            <v>KG/0001</v>
          </cell>
          <cell r="AL670">
            <v>97608</v>
          </cell>
          <cell r="AM670">
            <v>79.900000000000006</v>
          </cell>
        </row>
        <row r="671">
          <cell r="AJ671" t="str">
            <v>008569 - ROTISSERIA PICANHA ASSADA BENDITO  KG</v>
          </cell>
          <cell r="AK671" t="str">
            <v>KG/0001</v>
          </cell>
          <cell r="AL671">
            <v>8569</v>
          </cell>
          <cell r="AM671">
            <v>99.9</v>
          </cell>
        </row>
        <row r="672">
          <cell r="AJ672" t="str">
            <v>099666 - ROTISSERIA PICANHA ASSADA KG</v>
          </cell>
          <cell r="AK672" t="str">
            <v>KG/0001</v>
          </cell>
          <cell r="AL672">
            <v>99666</v>
          </cell>
          <cell r="AM672">
            <v>99.9</v>
          </cell>
        </row>
        <row r="673">
          <cell r="AJ673" t="str">
            <v>008571 - ROTISSERIA POLENTA AO MOLHO CARNE MOIDA BENDITO KG</v>
          </cell>
          <cell r="AK673" t="str">
            <v>KG/0001</v>
          </cell>
          <cell r="AL673">
            <v>8571</v>
          </cell>
          <cell r="AM673">
            <v>39.9</v>
          </cell>
        </row>
        <row r="674">
          <cell r="AJ674" t="str">
            <v>101183 - ROTISSERIA POLENTA AO MOLHO KG</v>
          </cell>
          <cell r="AK674" t="str">
            <v>KG/0001</v>
          </cell>
          <cell r="AL674">
            <v>101183</v>
          </cell>
          <cell r="AM674">
            <v>24.9</v>
          </cell>
        </row>
        <row r="675">
          <cell r="AJ675" t="str">
            <v>008572 - ROTISSERIA POLENTA COM COUVE E FRANGO BENDITO KG</v>
          </cell>
          <cell r="AK675" t="str">
            <v>KG/0001</v>
          </cell>
          <cell r="AL675">
            <v>8572</v>
          </cell>
          <cell r="AM675">
            <v>20.99</v>
          </cell>
        </row>
        <row r="676">
          <cell r="AJ676" t="str">
            <v>008574 - ROTISSERIA POLENTA COM COUVE E FRANGO BENDITO UND</v>
          </cell>
          <cell r="AK676" t="str">
            <v>UN/0001</v>
          </cell>
          <cell r="AL676">
            <v>8574</v>
          </cell>
          <cell r="AM676">
            <v>20.99</v>
          </cell>
        </row>
        <row r="677">
          <cell r="AJ677" t="str">
            <v>005966 - ROTISSERIA POLENTA COM COUVE E FRANGO KG</v>
          </cell>
          <cell r="AK677" t="str">
            <v>KG/0001</v>
          </cell>
          <cell r="AL677">
            <v>5966</v>
          </cell>
          <cell r="AM677">
            <v>20.99</v>
          </cell>
        </row>
        <row r="678">
          <cell r="AJ678" t="str">
            <v>004699 - ROTISSERIA POLENTA COM COUVE E FRANGO UND</v>
          </cell>
          <cell r="AK678" t="str">
            <v>UN/0001</v>
          </cell>
          <cell r="AL678">
            <v>4699</v>
          </cell>
          <cell r="AM678">
            <v>20.99</v>
          </cell>
        </row>
        <row r="679">
          <cell r="AJ679" t="str">
            <v>008575 - ROTISSERIA POLPETONE ITALIANO BENDITO KG</v>
          </cell>
          <cell r="AK679" t="str">
            <v>KG/0001</v>
          </cell>
          <cell r="AL679">
            <v>8575</v>
          </cell>
          <cell r="AM679">
            <v>86.59</v>
          </cell>
        </row>
        <row r="680">
          <cell r="AJ680" t="str">
            <v>005686 - ROTISSERIA POLPETONE ITALIANO KG</v>
          </cell>
          <cell r="AK680" t="str">
            <v>KG/0001</v>
          </cell>
          <cell r="AL680">
            <v>5686</v>
          </cell>
          <cell r="AM680">
            <v>69.900000000000006</v>
          </cell>
        </row>
        <row r="681">
          <cell r="AJ681" t="str">
            <v>008577 - ROTISSERIA PONTA DE PEITO ASSADA BENDITO  KG</v>
          </cell>
          <cell r="AK681" t="str">
            <v>KG/0001</v>
          </cell>
          <cell r="AL681">
            <v>8577</v>
          </cell>
          <cell r="AM681">
            <v>79.900000000000006</v>
          </cell>
        </row>
        <row r="682">
          <cell r="AJ682" t="str">
            <v>094424 - ROTISSERIA PONTA DE PEITO ASSADA KG</v>
          </cell>
          <cell r="AK682" t="str">
            <v>KG/0001</v>
          </cell>
          <cell r="AL682">
            <v>94424</v>
          </cell>
          <cell r="AM682">
            <v>79.900000000000006</v>
          </cell>
        </row>
        <row r="683">
          <cell r="AJ683" t="str">
            <v>096543 - ROTISSERIA PONTA PEITO ASSADA UNIDADE</v>
          </cell>
          <cell r="AK683" t="str">
            <v>UN/0001</v>
          </cell>
          <cell r="AL683">
            <v>96543</v>
          </cell>
          <cell r="AM683">
            <v>49.9</v>
          </cell>
        </row>
        <row r="684">
          <cell r="AJ684" t="str">
            <v>008578 - ROTISSERIA POSTA DE TILAPIA BENDITO KG</v>
          </cell>
          <cell r="AK684" t="str">
            <v>KG/0001</v>
          </cell>
          <cell r="AL684">
            <v>8578</v>
          </cell>
          <cell r="AM684">
            <v>69.900000000000006</v>
          </cell>
        </row>
        <row r="685">
          <cell r="AJ685" t="str">
            <v>005848 - ROTISSERIA POSTA DE TILAPIA KG</v>
          </cell>
          <cell r="AK685" t="str">
            <v>KG/0001</v>
          </cell>
          <cell r="AL685">
            <v>5848</v>
          </cell>
          <cell r="AM685">
            <v>69.900000000000006</v>
          </cell>
        </row>
        <row r="686">
          <cell r="AJ686" t="str">
            <v>008580 - ROTISSERIA PRIME RIB ASSADO BENDITO KG</v>
          </cell>
          <cell r="AK686" t="str">
            <v>KG/0001</v>
          </cell>
          <cell r="AL686">
            <v>8580</v>
          </cell>
          <cell r="AM686">
            <v>49.9</v>
          </cell>
        </row>
        <row r="687">
          <cell r="AJ687" t="str">
            <v>002822 - ROTISSERIA PRIME RIB ASSADO KG</v>
          </cell>
          <cell r="AK687" t="str">
            <v>KG/0001</v>
          </cell>
          <cell r="AL687">
            <v>2822</v>
          </cell>
          <cell r="AM687">
            <v>49.9</v>
          </cell>
        </row>
        <row r="688">
          <cell r="AJ688" t="str">
            <v>008598 - ROTISSERIA PURE DE BATATA BENDITO KG</v>
          </cell>
          <cell r="AK688" t="str">
            <v>KG/0001</v>
          </cell>
          <cell r="AL688">
            <v>8598</v>
          </cell>
          <cell r="AM688">
            <v>48.9</v>
          </cell>
        </row>
        <row r="689">
          <cell r="AJ689" t="str">
            <v>093489 - ROTISSERIA PURE DE BATATA KG</v>
          </cell>
          <cell r="AK689" t="str">
            <v>KG/0001</v>
          </cell>
          <cell r="AL689">
            <v>93489</v>
          </cell>
          <cell r="AM689">
            <v>48.9</v>
          </cell>
        </row>
        <row r="690">
          <cell r="AJ690" t="str">
            <v>008599 - ROTISSERIA PURE DE MANDIOQUINHA BENDITO KG</v>
          </cell>
          <cell r="AK690" t="str">
            <v>KG/0001</v>
          </cell>
          <cell r="AL690">
            <v>8599</v>
          </cell>
          <cell r="AM690">
            <v>42.9</v>
          </cell>
        </row>
        <row r="691">
          <cell r="AJ691" t="str">
            <v>001227 - ROTISSERIA PURE DE MANDIOQUINHA KG</v>
          </cell>
          <cell r="AK691" t="str">
            <v>KG/0001</v>
          </cell>
          <cell r="AL691">
            <v>1227</v>
          </cell>
          <cell r="AM691">
            <v>42.9</v>
          </cell>
        </row>
        <row r="692">
          <cell r="AJ692" t="str">
            <v>008602 - ROTISSERIA QUIBE ASSADO BENDITO KG</v>
          </cell>
          <cell r="AK692" t="str">
            <v>KG/0001</v>
          </cell>
          <cell r="AL692">
            <v>8602</v>
          </cell>
          <cell r="AM692">
            <v>34.9</v>
          </cell>
        </row>
        <row r="693">
          <cell r="AJ693" t="str">
            <v>094238 - ROTISSERIA QUIBE ASSADO KG</v>
          </cell>
          <cell r="AK693" t="str">
            <v>KG/0001</v>
          </cell>
          <cell r="AL693">
            <v>94238</v>
          </cell>
          <cell r="AM693">
            <v>34.9</v>
          </cell>
        </row>
        <row r="694">
          <cell r="AJ694" t="str">
            <v>008605 - ROTISSERIA QUIBEBE DE MANDIOCA BENDITO KG</v>
          </cell>
          <cell r="AK694" t="str">
            <v>KG/0001</v>
          </cell>
          <cell r="AL694">
            <v>8605</v>
          </cell>
          <cell r="AM694">
            <v>34.9</v>
          </cell>
        </row>
        <row r="695">
          <cell r="AJ695" t="str">
            <v>003480 - ROTISSERIA QUIBEBE DE MANDIOCA KG</v>
          </cell>
          <cell r="AK695" t="str">
            <v>KG/0001</v>
          </cell>
          <cell r="AL695">
            <v>3480</v>
          </cell>
          <cell r="AM695">
            <v>34.9</v>
          </cell>
        </row>
        <row r="696">
          <cell r="AJ696" t="str">
            <v>008614 - ROTISSERIA QUIBE FRITO BENDITO KG</v>
          </cell>
          <cell r="AK696" t="str">
            <v>KG/0001</v>
          </cell>
          <cell r="AL696">
            <v>8614</v>
          </cell>
          <cell r="AM696">
            <v>59.9</v>
          </cell>
        </row>
        <row r="697">
          <cell r="AJ697" t="str">
            <v>095180 - ROTISSERIA QUIBE FRITO KG</v>
          </cell>
          <cell r="AK697" t="str">
            <v>KG/0001</v>
          </cell>
          <cell r="AL697">
            <v>95180</v>
          </cell>
          <cell r="AM697">
            <v>59.9</v>
          </cell>
        </row>
        <row r="698">
          <cell r="AJ698" t="str">
            <v>008616 - ROTISSERIA QUIBE RECHEADO BENDITO  KG</v>
          </cell>
          <cell r="AK698" t="str">
            <v>KG/0001</v>
          </cell>
          <cell r="AL698">
            <v>8616</v>
          </cell>
          <cell r="AM698">
            <v>64.900000000000006</v>
          </cell>
        </row>
        <row r="699">
          <cell r="AJ699" t="str">
            <v>102073 - ROTISSERIA QUIBE RECHEADO KG</v>
          </cell>
          <cell r="AK699" t="str">
            <v>KG/0001</v>
          </cell>
          <cell r="AL699">
            <v>102073</v>
          </cell>
          <cell r="AM699">
            <v>64.900000000000006</v>
          </cell>
        </row>
        <row r="700">
          <cell r="AJ700" t="str">
            <v>008619 - ROTISSERIA RABADA AO MOLHO BENDITO KG</v>
          </cell>
          <cell r="AK700" t="str">
            <v>KG/0001</v>
          </cell>
          <cell r="AL700">
            <v>8619</v>
          </cell>
          <cell r="AM700">
            <v>59.9</v>
          </cell>
        </row>
        <row r="701">
          <cell r="AJ701" t="str">
            <v>094692 - ROTISSERIA RABADA AO MOLHO KG</v>
          </cell>
          <cell r="AK701" t="str">
            <v>KG/0001</v>
          </cell>
          <cell r="AL701">
            <v>94692</v>
          </cell>
          <cell r="AM701">
            <v>59.9</v>
          </cell>
        </row>
        <row r="702">
          <cell r="AJ702" t="str">
            <v>008624 - ROTISSERIA RABADA COM POLENTA BENDITO KG</v>
          </cell>
          <cell r="AK702" t="str">
            <v>KG/0001</v>
          </cell>
          <cell r="AL702">
            <v>8624</v>
          </cell>
          <cell r="AM702">
            <v>39.9</v>
          </cell>
        </row>
        <row r="703">
          <cell r="AJ703" t="str">
            <v>003456 - ROTISSERIA RABADA COM POLENTA KG</v>
          </cell>
          <cell r="AK703" t="str">
            <v>KG/0001</v>
          </cell>
          <cell r="AL703">
            <v>3456</v>
          </cell>
          <cell r="AM703">
            <v>39.9</v>
          </cell>
        </row>
        <row r="704">
          <cell r="AJ704" t="str">
            <v>008633 - ROTISSERIA REPOLHO REFOGADO BENDITO KG</v>
          </cell>
          <cell r="AK704" t="str">
            <v>KG/0001</v>
          </cell>
          <cell r="AL704">
            <v>8633</v>
          </cell>
          <cell r="AM704">
            <v>19.899999999999999</v>
          </cell>
        </row>
        <row r="705">
          <cell r="AJ705" t="str">
            <v>098190 - ROTISSERIA REPOLHO REFOGADO KG</v>
          </cell>
          <cell r="AK705" t="str">
            <v>KG/0001</v>
          </cell>
          <cell r="AL705">
            <v>98190</v>
          </cell>
          <cell r="AM705">
            <v>19.899999999999999</v>
          </cell>
        </row>
        <row r="706">
          <cell r="AJ706" t="str">
            <v>008646 - ROTISSERIA ROCAMBOLE DE CARNE MOIDA BENDITO KG</v>
          </cell>
          <cell r="AK706" t="str">
            <v>KG/0001</v>
          </cell>
          <cell r="AL706">
            <v>8646</v>
          </cell>
          <cell r="AM706">
            <v>79.900000000000006</v>
          </cell>
        </row>
        <row r="707">
          <cell r="AJ707" t="str">
            <v>093456 - ROTISSERIA ROCAMBOLE DE CARNE MOIDA KG</v>
          </cell>
          <cell r="AK707" t="str">
            <v>KG/0001</v>
          </cell>
          <cell r="AL707">
            <v>93456</v>
          </cell>
          <cell r="AM707">
            <v>79.900000000000006</v>
          </cell>
        </row>
        <row r="708">
          <cell r="AJ708" t="str">
            <v>004985 - ROTISSERIA ROCAMBOLE DE FRANGO 650G</v>
          </cell>
          <cell r="AK708" t="str">
            <v>UN/0001</v>
          </cell>
          <cell r="AL708">
            <v>4985</v>
          </cell>
          <cell r="AM708">
            <v>43.9</v>
          </cell>
        </row>
        <row r="709">
          <cell r="AJ709" t="str">
            <v>008647 - ROTISSERIA ROCAMBOLE DE FRANGO BENDITO  650G</v>
          </cell>
          <cell r="AK709" t="str">
            <v>UN/0001</v>
          </cell>
          <cell r="AL709">
            <v>8647</v>
          </cell>
          <cell r="AM709">
            <v>43.9</v>
          </cell>
        </row>
        <row r="710">
          <cell r="AJ710" t="str">
            <v>008648 - ROTISSERIA ROCAMBOLE DE FRANGO BENDITO KG</v>
          </cell>
          <cell r="AK710" t="str">
            <v>KG/0001</v>
          </cell>
          <cell r="AL710">
            <v>8648</v>
          </cell>
          <cell r="AM710">
            <v>69.900000000000006</v>
          </cell>
        </row>
        <row r="711">
          <cell r="AJ711" t="str">
            <v>093907 - ROTISSERIA ROCAMBOLE DE FRANGO KG</v>
          </cell>
          <cell r="AK711" t="str">
            <v>KG/0001</v>
          </cell>
          <cell r="AL711">
            <v>93907</v>
          </cell>
          <cell r="AM711">
            <v>69.900000000000006</v>
          </cell>
        </row>
        <row r="712">
          <cell r="AJ712" t="str">
            <v>008649 - ROTISSERIA ROCAMBOLE DE KAFTA RECHEADO BENDITO KG</v>
          </cell>
          <cell r="AK712" t="str">
            <v>KG/0001</v>
          </cell>
          <cell r="AL712">
            <v>8649</v>
          </cell>
          <cell r="AM712">
            <v>39.9</v>
          </cell>
        </row>
        <row r="713">
          <cell r="AJ713" t="str">
            <v>001734 - ROTISSERIA ROCAMBOLE DE KAFTA RECHEADO KG</v>
          </cell>
          <cell r="AK713" t="str">
            <v>KG/0001</v>
          </cell>
          <cell r="AL713">
            <v>1734</v>
          </cell>
          <cell r="AM713">
            <v>39.9</v>
          </cell>
        </row>
        <row r="714">
          <cell r="AJ714" t="str">
            <v>008658 - ROTISSERIA ROLE FRANGO RECHEADO BENDITO KG</v>
          </cell>
          <cell r="AK714" t="str">
            <v>KG/0001</v>
          </cell>
          <cell r="AL714">
            <v>8658</v>
          </cell>
          <cell r="AM714">
            <v>54.9</v>
          </cell>
        </row>
        <row r="715">
          <cell r="AJ715" t="str">
            <v>001017 - ROTISSERIA ROLE FRANGO RECHEADO KG</v>
          </cell>
          <cell r="AK715" t="str">
            <v>KG/0001</v>
          </cell>
          <cell r="AL715">
            <v>1017</v>
          </cell>
          <cell r="AM715">
            <v>54.9</v>
          </cell>
        </row>
        <row r="716">
          <cell r="AJ716" t="str">
            <v xml:space="preserve">003152 - ROTISSERIA RONDELE 4 QUEIJOS </v>
          </cell>
          <cell r="AK716" t="str">
            <v>KG/0001</v>
          </cell>
          <cell r="AL716">
            <v>3152</v>
          </cell>
          <cell r="AM716">
            <v>69.900000000000006</v>
          </cell>
        </row>
        <row r="717">
          <cell r="AJ717" t="str">
            <v>008659 - ROTISSERIA RONDELE 4 QUEIJOS BENDITO KG</v>
          </cell>
          <cell r="AK717" t="str">
            <v>KG/0001</v>
          </cell>
          <cell r="AL717">
            <v>8659</v>
          </cell>
          <cell r="AM717">
            <v>69.900000000000006</v>
          </cell>
        </row>
        <row r="718">
          <cell r="AJ718" t="str">
            <v>008663 - ROTISSERIA RONDELE FRANGO REQUEIJAO BENDITO KG</v>
          </cell>
          <cell r="AK718" t="str">
            <v>KG/0001</v>
          </cell>
          <cell r="AL718">
            <v>8663</v>
          </cell>
          <cell r="AM718">
            <v>69.900000000000006</v>
          </cell>
        </row>
        <row r="719">
          <cell r="AJ719" t="str">
            <v>001296 - ROTISSERIA RONDELE FRANGO REQUEIJAO KG</v>
          </cell>
          <cell r="AK719" t="str">
            <v>KG/0001</v>
          </cell>
          <cell r="AL719">
            <v>1296</v>
          </cell>
          <cell r="AM719">
            <v>69.900000000000006</v>
          </cell>
        </row>
        <row r="720">
          <cell r="AJ720" t="str">
            <v>008667 - ROTISSERIA RONDELE PRESUNTO MUSSARELA BOLONHESA BENDITO KG</v>
          </cell>
          <cell r="AK720" t="str">
            <v>KG/0001</v>
          </cell>
          <cell r="AL720">
            <v>8667</v>
          </cell>
          <cell r="AM720">
            <v>69.900000000000006</v>
          </cell>
        </row>
        <row r="721">
          <cell r="AJ721" t="str">
            <v>093480 - ROTISSERIA RONDELE PRESUNTO MUSSARELA BOLONHESA KG</v>
          </cell>
          <cell r="AK721" t="str">
            <v>KG/0001</v>
          </cell>
          <cell r="AL721">
            <v>93480</v>
          </cell>
          <cell r="AM721">
            <v>69.900000000000006</v>
          </cell>
        </row>
        <row r="722">
          <cell r="AJ722" t="str">
            <v>009121 - ROTISSERIA RUCULA C/CREAM CHEESE BENDITO UN</v>
          </cell>
          <cell r="AK722" t="str">
            <v>UN/0001</v>
          </cell>
          <cell r="AL722">
            <v>9121</v>
          </cell>
          <cell r="AM722">
            <v>0</v>
          </cell>
        </row>
        <row r="723">
          <cell r="AJ723" t="str">
            <v>008668 - ROTISSERIA SALADA BATATA DOCE BENDITO KG</v>
          </cell>
          <cell r="AK723" t="str">
            <v>KG/0001</v>
          </cell>
          <cell r="AL723">
            <v>8668</v>
          </cell>
          <cell r="AM723">
            <v>34.9</v>
          </cell>
        </row>
        <row r="724">
          <cell r="AJ724" t="str">
            <v>008671 - ROTISSERIA SALADA BATATONESE BENDITO KG</v>
          </cell>
          <cell r="AK724" t="str">
            <v>KG/0001</v>
          </cell>
          <cell r="AL724">
            <v>8671</v>
          </cell>
          <cell r="AM724">
            <v>38.9</v>
          </cell>
        </row>
        <row r="725">
          <cell r="AJ725" t="str">
            <v>008963 - ROTISSERIA SALADA CEASER C/FRANGO BENDITO</v>
          </cell>
          <cell r="AK725" t="str">
            <v>UN/0001</v>
          </cell>
          <cell r="AL725">
            <v>8963</v>
          </cell>
          <cell r="AM725">
            <v>24.9</v>
          </cell>
        </row>
        <row r="726">
          <cell r="AJ726" t="str">
            <v>008688 - ROTISSERIA SALADA CENOURA BENDITO KG</v>
          </cell>
          <cell r="AK726" t="str">
            <v>KG/0001</v>
          </cell>
          <cell r="AL726">
            <v>8688</v>
          </cell>
          <cell r="AM726">
            <v>19.899999999999999</v>
          </cell>
        </row>
        <row r="727">
          <cell r="AJ727" t="str">
            <v>008673 - ROTISSERIA SALADA CENOURA/BETERRABA BENDITO KG</v>
          </cell>
          <cell r="AK727" t="str">
            <v>KG/0001</v>
          </cell>
          <cell r="AL727">
            <v>8673</v>
          </cell>
          <cell r="AM727">
            <v>29.9</v>
          </cell>
        </row>
        <row r="728">
          <cell r="AJ728" t="str">
            <v>003232 - ROTISSERIA SALADA CENOURA/BETERRABA  KG</v>
          </cell>
          <cell r="AK728" t="str">
            <v>KG/0001</v>
          </cell>
          <cell r="AL728">
            <v>3232</v>
          </cell>
          <cell r="AM728">
            <v>21.9</v>
          </cell>
        </row>
        <row r="729">
          <cell r="AJ729" t="str">
            <v>008674 - ROTISSERIA SALADA CENOURA C/CHUCHU BENDITO KG</v>
          </cell>
          <cell r="AK729" t="str">
            <v>KG/0001</v>
          </cell>
          <cell r="AL729">
            <v>8674</v>
          </cell>
          <cell r="AM729">
            <v>24.9</v>
          </cell>
        </row>
        <row r="730">
          <cell r="AJ730" t="str">
            <v>008687 - ROTISSERIA SALADA CENOURA C/VAGEM BENDITO KG</v>
          </cell>
          <cell r="AK730" t="str">
            <v>KG/0001</v>
          </cell>
          <cell r="AL730">
            <v>8687</v>
          </cell>
          <cell r="AM730">
            <v>32.9</v>
          </cell>
        </row>
        <row r="731">
          <cell r="AJ731" t="str">
            <v>008689 - ROTISSERIA SALADA CENOURA/VAGEM/MANDIOQ BENDITO KG</v>
          </cell>
          <cell r="AK731" t="str">
            <v>KG/0001</v>
          </cell>
          <cell r="AL731">
            <v>8689</v>
          </cell>
          <cell r="AM731">
            <v>21.9</v>
          </cell>
        </row>
        <row r="732">
          <cell r="AJ732" t="str">
            <v>008690 - ROTISSERIA SALADA DE BATATA CURTINHA BENDITO KG</v>
          </cell>
          <cell r="AK732" t="str">
            <v>KG/0001</v>
          </cell>
          <cell r="AL732">
            <v>8690</v>
          </cell>
          <cell r="AM732">
            <v>34.9</v>
          </cell>
        </row>
        <row r="733">
          <cell r="AJ733" t="str">
            <v>008694 - ROTISSERIA SALADA DE BERINJELA BENDITO KG</v>
          </cell>
          <cell r="AK733" t="str">
            <v>KG/0001</v>
          </cell>
          <cell r="AL733">
            <v>8694</v>
          </cell>
          <cell r="AM733">
            <v>39.9</v>
          </cell>
        </row>
        <row r="734">
          <cell r="AJ734" t="str">
            <v>008695 - ROTISSERIA SALADA DE BETERRABA BENDITO KG</v>
          </cell>
          <cell r="AK734" t="str">
            <v>KG/0001</v>
          </cell>
          <cell r="AL734">
            <v>8695</v>
          </cell>
          <cell r="AM734">
            <v>23.9</v>
          </cell>
        </row>
        <row r="735">
          <cell r="AJ735" t="str">
            <v>005497 - ROTISSERIA SALADA DE BETERRABA KG</v>
          </cell>
          <cell r="AK735" t="str">
            <v>KG/0001</v>
          </cell>
          <cell r="AL735">
            <v>5497</v>
          </cell>
          <cell r="AM735">
            <v>23.9</v>
          </cell>
        </row>
        <row r="736">
          <cell r="AJ736" t="str">
            <v>008703 - ROTISSERIA SALADA DE BROCOLIS BENDITO KG</v>
          </cell>
          <cell r="AK736" t="str">
            <v>KG/0001</v>
          </cell>
          <cell r="AL736">
            <v>8703</v>
          </cell>
          <cell r="AM736">
            <v>24.9</v>
          </cell>
        </row>
        <row r="737">
          <cell r="AJ737" t="str">
            <v>008702 - ROTISSERIA SALADA DE BROCOLIS C/COUVE FLOR BENDITO KG</v>
          </cell>
          <cell r="AK737" t="str">
            <v>KG/0001</v>
          </cell>
          <cell r="AL737">
            <v>8702</v>
          </cell>
          <cell r="AM737">
            <v>39.9</v>
          </cell>
        </row>
        <row r="738">
          <cell r="AJ738" t="str">
            <v>105400 - ROTISSERIA SALADA DE CHUCHU KG</v>
          </cell>
          <cell r="AK738" t="str">
            <v>KG/0001</v>
          </cell>
          <cell r="AL738">
            <v>105400</v>
          </cell>
          <cell r="AM738">
            <v>19.899999999999999</v>
          </cell>
        </row>
        <row r="739">
          <cell r="AJ739" t="str">
            <v>008704 - ROTISSERIA SALADA DE COUVE FLOR BENDITO KG</v>
          </cell>
          <cell r="AK739" t="str">
            <v>KG/0001</v>
          </cell>
          <cell r="AL739">
            <v>8704</v>
          </cell>
          <cell r="AM739">
            <v>24.9</v>
          </cell>
        </row>
        <row r="740">
          <cell r="AJ740" t="str">
            <v>094885 - ROTISSERIA SALADA DE COUVE FLOR KG</v>
          </cell>
          <cell r="AK740" t="str">
            <v>KG/0001</v>
          </cell>
          <cell r="AL740">
            <v>94885</v>
          </cell>
          <cell r="AM740">
            <v>24.9</v>
          </cell>
        </row>
        <row r="741">
          <cell r="AJ741" t="str">
            <v>008713 - ROTISSERIA SALADA DE GRAO DE BICO BENDITO KG</v>
          </cell>
          <cell r="AK741" t="str">
            <v>KG/0001</v>
          </cell>
          <cell r="AL741">
            <v>8713</v>
          </cell>
          <cell r="AM741">
            <v>44.9</v>
          </cell>
        </row>
        <row r="742">
          <cell r="AJ742" t="str">
            <v>008707 - ROTISSERIA SALADA DE GRAO DE BICO C/ ATUM BENDITO KG</v>
          </cell>
          <cell r="AK742" t="str">
            <v>KG/0001</v>
          </cell>
          <cell r="AL742">
            <v>8707</v>
          </cell>
          <cell r="AM742">
            <v>39.9</v>
          </cell>
        </row>
        <row r="743">
          <cell r="AJ743" t="str">
            <v>008712 - ROTISSERIA SALADA DE GRAO DE BICO C/BACALHAU BENDITO KG</v>
          </cell>
          <cell r="AK743" t="str">
            <v>KG/0001</v>
          </cell>
          <cell r="AL743">
            <v>8712</v>
          </cell>
          <cell r="AM743">
            <v>89.9</v>
          </cell>
        </row>
        <row r="744">
          <cell r="AJ744" t="str">
            <v>008714 - ROTISSERIA SALADA DE JILO  BENDITO KG</v>
          </cell>
          <cell r="AK744" t="str">
            <v>KG/0001</v>
          </cell>
          <cell r="AL744">
            <v>8714</v>
          </cell>
          <cell r="AM744">
            <v>24.9</v>
          </cell>
        </row>
        <row r="745">
          <cell r="AJ745" t="str">
            <v>105659 - ROTISSERIA SALADA DE JILO DESCONTAO KG</v>
          </cell>
          <cell r="AK745" t="str">
            <v>KG/0001</v>
          </cell>
          <cell r="AL745">
            <v>105659</v>
          </cell>
          <cell r="AM745">
            <v>24.9</v>
          </cell>
        </row>
        <row r="746">
          <cell r="AJ746" t="str">
            <v>008725 - ROTISSERIA SALADA DE MACARRAO BENDITO KG</v>
          </cell>
          <cell r="AK746" t="str">
            <v>KG/0001</v>
          </cell>
          <cell r="AL746">
            <v>8725</v>
          </cell>
          <cell r="AM746">
            <v>37.9</v>
          </cell>
        </row>
        <row r="747">
          <cell r="AJ747" t="str">
            <v>008716 - ROTISSERIA SALADA DE MACARRAO BIFUM BENDITO KG</v>
          </cell>
          <cell r="AK747" t="str">
            <v>KG/0001</v>
          </cell>
          <cell r="AL747">
            <v>8716</v>
          </cell>
          <cell r="AM747">
            <v>64.900000000000006</v>
          </cell>
        </row>
        <row r="748">
          <cell r="AJ748" t="str">
            <v>001490 - ROTISSERIA SALADA DE MACARRAO BIFUM KG</v>
          </cell>
          <cell r="AK748" t="str">
            <v>KG/0001</v>
          </cell>
          <cell r="AL748">
            <v>1490</v>
          </cell>
          <cell r="AM748">
            <v>64.900000000000006</v>
          </cell>
        </row>
        <row r="749">
          <cell r="AJ749" t="str">
            <v>008726 - ROTISSERIA SALADA DE VINAGRETE BENDITO KG</v>
          </cell>
          <cell r="AK749" t="str">
            <v>KG/0001</v>
          </cell>
          <cell r="AL749">
            <v>8726</v>
          </cell>
          <cell r="AM749">
            <v>21.9</v>
          </cell>
        </row>
        <row r="750">
          <cell r="AJ750" t="str">
            <v>004593 - ROTISSERIA SALADA DE VINAGRETE KG</v>
          </cell>
          <cell r="AK750" t="str">
            <v>KG/0001</v>
          </cell>
          <cell r="AL750">
            <v>4593</v>
          </cell>
          <cell r="AM750">
            <v>21.9</v>
          </cell>
        </row>
        <row r="751">
          <cell r="AJ751" t="str">
            <v>008727 - ROTISSERIA SALADA FEIJAO BRANCO BENDITO KG</v>
          </cell>
          <cell r="AK751" t="str">
            <v>KG/0001</v>
          </cell>
          <cell r="AL751">
            <v>8727</v>
          </cell>
          <cell r="AM751">
            <v>27.9</v>
          </cell>
        </row>
        <row r="752">
          <cell r="AJ752" t="str">
            <v>008728 - ROTISSERIA SALADA FRIA BENDITO KG</v>
          </cell>
          <cell r="AK752" t="str">
            <v>KG/0001</v>
          </cell>
          <cell r="AL752">
            <v>8728</v>
          </cell>
          <cell r="AM752">
            <v>19.899999999999999</v>
          </cell>
        </row>
        <row r="753">
          <cell r="AJ753" t="str">
            <v>008729 - ROTISSERIA SALADA MANDIOCA VINAGRETE BENDITO KG</v>
          </cell>
          <cell r="AK753" t="str">
            <v>KG/0001</v>
          </cell>
          <cell r="AL753">
            <v>8729</v>
          </cell>
          <cell r="AM753">
            <v>29.9</v>
          </cell>
        </row>
        <row r="754">
          <cell r="AJ754" t="str">
            <v>008964 - ROTISSERIA SALADA MIX DE FOLHA C/PEITO PERU BENDITO</v>
          </cell>
          <cell r="AK754" t="str">
            <v>UN/0001</v>
          </cell>
          <cell r="AL754">
            <v>8964</v>
          </cell>
          <cell r="AM754">
            <v>21.9</v>
          </cell>
        </row>
        <row r="755">
          <cell r="AJ755" t="str">
            <v>008962 - ROTISSERIA SALADA MIX DE FOLHA E LEGUMES C/PROTEINAS BENDITO</v>
          </cell>
          <cell r="AK755" t="str">
            <v>UN/0001</v>
          </cell>
          <cell r="AL755">
            <v>8962</v>
          </cell>
          <cell r="AM755">
            <v>21.9</v>
          </cell>
        </row>
        <row r="756">
          <cell r="AJ756" t="str">
            <v xml:space="preserve">008960 - ROTISSERIA SALADA MIX DE FOLHA E LEGUMES C/PROTEINAS KG </v>
          </cell>
          <cell r="AK756" t="str">
            <v>KG/0001</v>
          </cell>
          <cell r="AL756">
            <v>8960</v>
          </cell>
          <cell r="AM756">
            <v>0</v>
          </cell>
        </row>
        <row r="757">
          <cell r="AJ757" t="str">
            <v>008759 - ROTISSERIA SALADA MIX LEGUMES BENDITO KG</v>
          </cell>
          <cell r="AK757" t="str">
            <v>KG/0001</v>
          </cell>
          <cell r="AL757">
            <v>8759</v>
          </cell>
          <cell r="AM757">
            <v>19.899999999999999</v>
          </cell>
        </row>
        <row r="758">
          <cell r="AJ758" t="str">
            <v>008769 - ROTISSERIA SALADA OVO CODORNA MIX BENDITO KG</v>
          </cell>
          <cell r="AK758" t="str">
            <v>KG/0001</v>
          </cell>
          <cell r="AL758">
            <v>8769</v>
          </cell>
          <cell r="AM758">
            <v>39.9</v>
          </cell>
        </row>
        <row r="759">
          <cell r="AJ759" t="str">
            <v>009125 - ROTISSERIA SALADA POKE DE KANI BENDITO UN</v>
          </cell>
          <cell r="AK759" t="str">
            <v>UN/0001</v>
          </cell>
          <cell r="AL759">
            <v>9125</v>
          </cell>
          <cell r="AM759">
            <v>28.9</v>
          </cell>
        </row>
        <row r="760">
          <cell r="AJ760" t="str">
            <v>009126 - ROTISSERIA SALADA POKE DE SALMAO GRELHADO BENDITO UN</v>
          </cell>
          <cell r="AK760" t="str">
            <v>UN/0001</v>
          </cell>
          <cell r="AL760">
            <v>9126</v>
          </cell>
          <cell r="AM760">
            <v>0</v>
          </cell>
        </row>
        <row r="761">
          <cell r="AJ761" t="str">
            <v>009129 - ROTISSERIA SALADA POKE DE SHIMEJI BENDITO UN</v>
          </cell>
          <cell r="AK761" t="str">
            <v>UN/0001</v>
          </cell>
          <cell r="AL761">
            <v>9129</v>
          </cell>
          <cell r="AM761">
            <v>29.9</v>
          </cell>
        </row>
        <row r="762">
          <cell r="AJ762" t="str">
            <v>008782 - ROTISSERIA SALADA QUIABO BENDITO KG</v>
          </cell>
          <cell r="AK762" t="str">
            <v>KG/0001</v>
          </cell>
          <cell r="AL762">
            <v>8782</v>
          </cell>
          <cell r="AM762">
            <v>24.9</v>
          </cell>
        </row>
        <row r="763">
          <cell r="AJ763" t="str">
            <v>008789 - ROTISSERIA SALADA SUNOMONO BENDITOKG</v>
          </cell>
          <cell r="AK763" t="str">
            <v>KG/0001</v>
          </cell>
          <cell r="AL763">
            <v>8789</v>
          </cell>
          <cell r="AM763">
            <v>39.9</v>
          </cell>
        </row>
        <row r="764">
          <cell r="AJ764" t="str">
            <v xml:space="preserve">009120 - ROTISSERIA SALMAO GRELHADO BEDNITO UN </v>
          </cell>
          <cell r="AK764" t="str">
            <v>UN/0001</v>
          </cell>
          <cell r="AL764">
            <v>9120</v>
          </cell>
          <cell r="AM764">
            <v>21.9</v>
          </cell>
        </row>
        <row r="765">
          <cell r="AJ765" t="str">
            <v>008790 - ROTISSERIA SALPICAO BENDITO KG</v>
          </cell>
          <cell r="AK765" t="str">
            <v>KG/0001</v>
          </cell>
          <cell r="AL765">
            <v>8790</v>
          </cell>
          <cell r="AM765">
            <v>59.9</v>
          </cell>
        </row>
        <row r="766">
          <cell r="AJ766" t="str">
            <v>008791 - ROTISSERIA SALSICHA AO MOLHO BENDITO KG</v>
          </cell>
          <cell r="AK766" t="str">
            <v>KG/0001</v>
          </cell>
          <cell r="AL766">
            <v>8791</v>
          </cell>
          <cell r="AM766">
            <v>29.9</v>
          </cell>
        </row>
        <row r="767">
          <cell r="AJ767" t="str">
            <v>102528 - ROTISSERIA SALSICHA AO MOLHO KG</v>
          </cell>
          <cell r="AK767" t="str">
            <v>KG/0001</v>
          </cell>
          <cell r="AL767">
            <v>102528</v>
          </cell>
          <cell r="AM767">
            <v>29.9</v>
          </cell>
        </row>
        <row r="768">
          <cell r="AJ768" t="str">
            <v>008801 - ROTISSERIA SOBRECOXA DE FRANGO DE PANELA BENDITO KG</v>
          </cell>
          <cell r="AK768" t="str">
            <v>KG/0001</v>
          </cell>
          <cell r="AL768">
            <v>8801</v>
          </cell>
          <cell r="AM768">
            <v>39.9</v>
          </cell>
        </row>
        <row r="769">
          <cell r="AJ769" t="str">
            <v>111271 - ROTISSERIA SOBRECOXA DE FRANGO DE PANELA KG</v>
          </cell>
          <cell r="AK769" t="str">
            <v>KG/0001</v>
          </cell>
          <cell r="AL769">
            <v>111271</v>
          </cell>
          <cell r="AM769">
            <v>39.9</v>
          </cell>
        </row>
        <row r="770">
          <cell r="AJ770" t="str">
            <v>008804 - ROTISSERIA SOBRECOXA RECHEADA BENDITO KG</v>
          </cell>
          <cell r="AK770" t="str">
            <v>KG/0001</v>
          </cell>
          <cell r="AL770">
            <v>8804</v>
          </cell>
          <cell r="AM770">
            <v>49.9</v>
          </cell>
        </row>
        <row r="771">
          <cell r="AJ771" t="str">
            <v>008821 - ROTISSERIA SOBRECOXA RECHEADA BENDITO KG</v>
          </cell>
          <cell r="AK771" t="str">
            <v>KG/0001</v>
          </cell>
          <cell r="AL771">
            <v>8821</v>
          </cell>
          <cell r="AM771">
            <v>49.9</v>
          </cell>
        </row>
        <row r="772">
          <cell r="AJ772" t="str">
            <v>093965 - ROTISSERIA SOBRECOXA RECHEADA KG</v>
          </cell>
          <cell r="AK772" t="str">
            <v>KG/0001</v>
          </cell>
          <cell r="AL772">
            <v>93965</v>
          </cell>
          <cell r="AM772">
            <v>49.9</v>
          </cell>
        </row>
        <row r="773">
          <cell r="AJ773" t="str">
            <v>008824 - ROTISSERIA SOFIATELLI PRESUNTO E MUSSARELA BENDITO KG</v>
          </cell>
          <cell r="AK773" t="str">
            <v>KG/0001</v>
          </cell>
          <cell r="AL773">
            <v>8824</v>
          </cell>
          <cell r="AM773">
            <v>69.900000000000006</v>
          </cell>
        </row>
        <row r="774">
          <cell r="AJ774" t="str">
            <v>006435 - ROTISSERIA SOFIATELLI PRESUNTO E MUSSARELA KG</v>
          </cell>
          <cell r="AK774" t="str">
            <v>KG/0001</v>
          </cell>
          <cell r="AL774">
            <v>6435</v>
          </cell>
          <cell r="AM774">
            <v>69.900000000000006</v>
          </cell>
        </row>
        <row r="775">
          <cell r="AJ775" t="str">
            <v>008829 - ROTISSERIA SOFIATELLI Q.QUEIJO BENDITO KG</v>
          </cell>
          <cell r="AK775" t="str">
            <v>KG/0001</v>
          </cell>
          <cell r="AL775">
            <v>8829</v>
          </cell>
          <cell r="AM775">
            <v>82.35</v>
          </cell>
        </row>
        <row r="776">
          <cell r="AJ776" t="str">
            <v>006437 - ROTISSERIA SOFIATELLI Q.QUEIJO KG</v>
          </cell>
          <cell r="AK776" t="str">
            <v>KG/0001</v>
          </cell>
          <cell r="AL776">
            <v>6437</v>
          </cell>
          <cell r="AM776">
            <v>69.900000000000006</v>
          </cell>
        </row>
        <row r="777">
          <cell r="AJ777" t="str">
            <v>008834 - ROTISSERIA STROGONOFF DE CARNE BENDITO KG</v>
          </cell>
          <cell r="AK777" t="str">
            <v>KG/0001</v>
          </cell>
          <cell r="AL777">
            <v>8834</v>
          </cell>
          <cell r="AM777">
            <v>63.9</v>
          </cell>
        </row>
        <row r="778">
          <cell r="AJ778" t="str">
            <v>008837 - ROTISSERIA STROGONOFF DE FRANGO BENDITO KG</v>
          </cell>
          <cell r="AK778" t="str">
            <v>KG/0001</v>
          </cell>
          <cell r="AL778">
            <v>8837</v>
          </cell>
          <cell r="AM778">
            <v>69.900000000000006</v>
          </cell>
        </row>
        <row r="779">
          <cell r="AJ779" t="str">
            <v>009123 - ROTISSERIA SUSHI KANI C/CREAM CHEESE BENDITO UN</v>
          </cell>
          <cell r="AK779" t="str">
            <v>UN/0001</v>
          </cell>
          <cell r="AL779">
            <v>9123</v>
          </cell>
          <cell r="AM779">
            <v>0</v>
          </cell>
        </row>
        <row r="780">
          <cell r="AJ780" t="str">
            <v>009122 - ROTISSERIA SUSHI TOMATE SECO BENDITO UN</v>
          </cell>
          <cell r="AK780" t="str">
            <v>UN/0001</v>
          </cell>
          <cell r="AL780">
            <v>9122</v>
          </cell>
          <cell r="AM780">
            <v>0</v>
          </cell>
        </row>
        <row r="781">
          <cell r="AJ781" t="str">
            <v>008839 - ROTISSERIA TABULE BENDITO KG</v>
          </cell>
          <cell r="AK781" t="str">
            <v>KG/0001</v>
          </cell>
          <cell r="AL781">
            <v>8839</v>
          </cell>
          <cell r="AM781">
            <v>24.9</v>
          </cell>
        </row>
        <row r="782">
          <cell r="AJ782" t="str">
            <v>008846 - ROTISSERIA TENDER BOLINHA BENDITO UN</v>
          </cell>
          <cell r="AK782" t="str">
            <v>UN/0001</v>
          </cell>
          <cell r="AL782">
            <v>8846</v>
          </cell>
          <cell r="AM782">
            <v>69.900000000000006</v>
          </cell>
        </row>
        <row r="783">
          <cell r="AJ783" t="str">
            <v>036049 - ROTISSERIA TENDER BOLINHA BENDITO UN</v>
          </cell>
          <cell r="AK783" t="str">
            <v>UN/0001</v>
          </cell>
          <cell r="AL783">
            <v>360494</v>
          </cell>
          <cell r="AM783">
            <v>69.900000000000006</v>
          </cell>
        </row>
        <row r="784">
          <cell r="AJ784" t="str">
            <v>008847 - ROTISSERIA TIRINHA DE CARNE BENDITO KG</v>
          </cell>
          <cell r="AK784" t="str">
            <v>KG/0001</v>
          </cell>
          <cell r="AL784">
            <v>8847</v>
          </cell>
          <cell r="AM784">
            <v>69.900000000000006</v>
          </cell>
        </row>
        <row r="785">
          <cell r="AJ785" t="str">
            <v>008854 - ROTISSERIA TIRINHA MERLUZA EMPANADA BENDITO KG</v>
          </cell>
          <cell r="AK785" t="str">
            <v>KG/0001</v>
          </cell>
          <cell r="AL785">
            <v>8854</v>
          </cell>
          <cell r="AM785">
            <v>99.9</v>
          </cell>
        </row>
        <row r="786">
          <cell r="AJ786" t="str">
            <v>006768 - ROTISSERIA TIRINHA MERLUZA EMPANADA  KG</v>
          </cell>
          <cell r="AK786" t="str">
            <v>KG/0001</v>
          </cell>
          <cell r="AL786">
            <v>6768</v>
          </cell>
          <cell r="AM786">
            <v>99.9</v>
          </cell>
        </row>
        <row r="787">
          <cell r="AJ787" t="str">
            <v>008855 - ROTISSERIA TIRINHA TILAPIA EMPANADA BENDITO KG</v>
          </cell>
          <cell r="AK787" t="str">
            <v>KG/0001</v>
          </cell>
          <cell r="AL787">
            <v>8855</v>
          </cell>
          <cell r="AM787">
            <v>109.9</v>
          </cell>
        </row>
        <row r="788">
          <cell r="AJ788" t="str">
            <v>002829 - ROTISSERIA TIRINHA TILAPIA EMPANADA  KG</v>
          </cell>
          <cell r="AK788" t="str">
            <v>KG/0001</v>
          </cell>
          <cell r="AL788">
            <v>2829</v>
          </cell>
          <cell r="AM788">
            <v>109.9</v>
          </cell>
        </row>
        <row r="789">
          <cell r="AJ789" t="str">
            <v xml:space="preserve">008862 - ROTISSERIA TOMATE CONFIT BENDITO KG </v>
          </cell>
          <cell r="AK789" t="str">
            <v>KG/0001</v>
          </cell>
          <cell r="AL789">
            <v>8862</v>
          </cell>
          <cell r="AM789">
            <v>59.9</v>
          </cell>
        </row>
        <row r="790">
          <cell r="AJ790" t="str">
            <v>008863 - ROTISSERIA TOMATE RECHEADO BENDITO KG</v>
          </cell>
          <cell r="AK790" t="str">
            <v>KG/0001</v>
          </cell>
          <cell r="AL790">
            <v>8863</v>
          </cell>
          <cell r="AM790">
            <v>69.900000000000006</v>
          </cell>
        </row>
        <row r="791">
          <cell r="AJ791" t="str">
            <v>008872 - ROTISSERIA TULIPA ASSADA BENDITO KG</v>
          </cell>
          <cell r="AK791" t="str">
            <v>KG/0001</v>
          </cell>
          <cell r="AL791">
            <v>8872</v>
          </cell>
          <cell r="AM791">
            <v>63.9</v>
          </cell>
        </row>
        <row r="792">
          <cell r="AJ792" t="str">
            <v>008523 - ROTISSERIA TULIPA BUFALO WINGS KG</v>
          </cell>
          <cell r="AK792" t="str">
            <v>KG/0001</v>
          </cell>
          <cell r="AL792">
            <v>8523</v>
          </cell>
          <cell r="AM792">
            <v>54.9</v>
          </cell>
        </row>
        <row r="793">
          <cell r="AJ793" t="str">
            <v>008874 - ROTISSERIA TUTU DE FEIJAO BENDITO KG</v>
          </cell>
          <cell r="AK793" t="str">
            <v>KG/0001</v>
          </cell>
          <cell r="AL793">
            <v>8874</v>
          </cell>
          <cell r="AM793">
            <v>37.9</v>
          </cell>
        </row>
        <row r="794">
          <cell r="AJ794" t="str">
            <v>096167 - ROTISSERIA TUTU DE FEIJAO KG</v>
          </cell>
          <cell r="AK794" t="str">
            <v>KG/0001</v>
          </cell>
          <cell r="AL794">
            <v>96167</v>
          </cell>
          <cell r="AM794">
            <v>34.9</v>
          </cell>
        </row>
        <row r="795">
          <cell r="AJ795" t="str">
            <v>008895 - ROTISSERIA VACA ATOLADA BENDITO KG</v>
          </cell>
          <cell r="AK795" t="str">
            <v>KG/0001</v>
          </cell>
          <cell r="AL795">
            <v>8895</v>
          </cell>
          <cell r="AM795">
            <v>49.9</v>
          </cell>
        </row>
        <row r="796">
          <cell r="AJ796" t="str">
            <v>008900 - ROTISSERIA YAKISSOBA BENDITO KG</v>
          </cell>
          <cell r="AK796" t="str">
            <v>KG/0001</v>
          </cell>
          <cell r="AL796">
            <v>8900</v>
          </cell>
          <cell r="AM796">
            <v>44.9</v>
          </cell>
        </row>
        <row r="797">
          <cell r="AJ797" t="str">
            <v>008898 - ROTISSERIA YAKISSOBA INTEGRAL BENDITO KG</v>
          </cell>
          <cell r="AK797" t="str">
            <v>KG/0001</v>
          </cell>
          <cell r="AL797">
            <v>8898</v>
          </cell>
          <cell r="AM797">
            <v>39.9</v>
          </cell>
        </row>
        <row r="798">
          <cell r="AJ798" t="str">
            <v>001669 - ROTISSERIA YAKISSOBA KG</v>
          </cell>
          <cell r="AK798" t="str">
            <v>KG/0001</v>
          </cell>
          <cell r="AL798">
            <v>1669</v>
          </cell>
          <cell r="AM798">
            <v>39.9</v>
          </cell>
        </row>
        <row r="799">
          <cell r="AJ799" t="str">
            <v>008542 - ROT.PANQUECA INTEGRAL BETERRABA C/FRANGO BENDITO  KG</v>
          </cell>
          <cell r="AK799" t="str">
            <v>KG/0001</v>
          </cell>
          <cell r="AL799">
            <v>8542</v>
          </cell>
          <cell r="AM799">
            <v>63.9</v>
          </cell>
        </row>
        <row r="800">
          <cell r="AJ800" t="str">
            <v>008543 - ROT.PANQUECA INTEGRAL DE COUVE COM CARNE MOIDA BENDITO KG</v>
          </cell>
          <cell r="AK800" t="str">
            <v>KG/0001</v>
          </cell>
          <cell r="AL800">
            <v>8543</v>
          </cell>
          <cell r="AM800">
            <v>59.9</v>
          </cell>
        </row>
        <row r="801">
          <cell r="AJ801" t="str">
            <v>006872 - ROT REFFRIGERADO FEIJOADA KG</v>
          </cell>
          <cell r="AK801" t="str">
            <v>KG/0001</v>
          </cell>
          <cell r="AL801">
            <v>6872</v>
          </cell>
          <cell r="AM801">
            <v>46.9</v>
          </cell>
        </row>
        <row r="802">
          <cell r="AJ802" t="str">
            <v>006925 - ROT REFRIGERADA COSTELINHA PORCO MOLHO BARBECUE UN</v>
          </cell>
          <cell r="AK802" t="str">
            <v>UN/0001</v>
          </cell>
          <cell r="AL802">
            <v>6925</v>
          </cell>
          <cell r="AM802">
            <v>39.9</v>
          </cell>
        </row>
        <row r="803">
          <cell r="AJ803" t="str">
            <v>005988 - ROT REFRIGERADO BOBO DE FRANGO  KG</v>
          </cell>
          <cell r="AK803" t="str">
            <v>KG/0001</v>
          </cell>
          <cell r="AL803">
            <v>5988</v>
          </cell>
          <cell r="AM803">
            <v>59.9</v>
          </cell>
        </row>
        <row r="804">
          <cell r="AJ804" t="str">
            <v>005932 - ROT REFRIGERADO CALDO DE CABOTIA COM CARNE SECA KG</v>
          </cell>
          <cell r="AK804" t="str">
            <v>KG/0001</v>
          </cell>
          <cell r="AL804">
            <v>5932</v>
          </cell>
          <cell r="AM804">
            <v>39.9</v>
          </cell>
        </row>
        <row r="805">
          <cell r="AJ805" t="str">
            <v>005937 - ROT REFRIGERADO CALDO DE MANDIOCA KG</v>
          </cell>
          <cell r="AK805" t="str">
            <v>KG/0001</v>
          </cell>
          <cell r="AL805">
            <v>5937</v>
          </cell>
          <cell r="AM805">
            <v>32.9</v>
          </cell>
        </row>
        <row r="806">
          <cell r="AJ806" t="str">
            <v>005933 - ROT REFRIGERADO CALDO DE MANDIOQUINHA COM BACON KG</v>
          </cell>
          <cell r="AK806" t="str">
            <v>KG/0001</v>
          </cell>
          <cell r="AL806">
            <v>5933</v>
          </cell>
          <cell r="AM806">
            <v>34.9</v>
          </cell>
        </row>
        <row r="807">
          <cell r="AJ807" t="str">
            <v>093444 - ROT REFRIGERADO CANELONE AO MOLHO SUGO KG</v>
          </cell>
          <cell r="AK807" t="str">
            <v>KG/0001</v>
          </cell>
          <cell r="AL807">
            <v>93444</v>
          </cell>
          <cell r="AM807">
            <v>69.900000000000006</v>
          </cell>
        </row>
        <row r="808">
          <cell r="AJ808" t="str">
            <v>005768 - ROT REFRIGERADO CANELONE PRESUNTO E MUSSARELA AO PESTO KG</v>
          </cell>
          <cell r="AK808" t="str">
            <v>KG/0001</v>
          </cell>
          <cell r="AL808">
            <v>5768</v>
          </cell>
          <cell r="AM808">
            <v>64.900000000000006</v>
          </cell>
        </row>
        <row r="809">
          <cell r="AJ809" t="str">
            <v>006910 - ROT REFRIGERADO CARNE MOIDA COM LEGUMES KG</v>
          </cell>
          <cell r="AK809" t="str">
            <v>KG/0001</v>
          </cell>
          <cell r="AL809">
            <v>6910</v>
          </cell>
          <cell r="AM809">
            <v>49.9</v>
          </cell>
        </row>
        <row r="810">
          <cell r="AJ810" t="str">
            <v>005935 - ROT REFRIGERADO CARNE PANELA C BATATA KG</v>
          </cell>
          <cell r="AK810" t="str">
            <v>KG/0001</v>
          </cell>
          <cell r="AL810">
            <v>5935</v>
          </cell>
          <cell r="AM810">
            <v>54.9</v>
          </cell>
        </row>
        <row r="811">
          <cell r="AJ811" t="str">
            <v>001859 - ROT REFRIGERADO COSTELINHA MOLHO BARBECUE KG</v>
          </cell>
          <cell r="AK811" t="str">
            <v>KG/0001</v>
          </cell>
          <cell r="AL811">
            <v>1859</v>
          </cell>
          <cell r="AM811">
            <v>79.900000000000006</v>
          </cell>
        </row>
        <row r="812">
          <cell r="AJ812" t="str">
            <v>006875 - ROT REFRIGERADO COUVE KG</v>
          </cell>
          <cell r="AK812" t="str">
            <v>KG/0001</v>
          </cell>
          <cell r="AL812">
            <v>6875</v>
          </cell>
          <cell r="AM812">
            <v>49.9</v>
          </cell>
        </row>
        <row r="813">
          <cell r="AJ813" t="str">
            <v>006906 - ROT REFRIGERADO DOBRADINHA KG</v>
          </cell>
          <cell r="AK813" t="str">
            <v>KG/0001</v>
          </cell>
          <cell r="AL813">
            <v>6906</v>
          </cell>
          <cell r="AM813">
            <v>39.9</v>
          </cell>
        </row>
        <row r="814">
          <cell r="AJ814" t="str">
            <v>006896 - ROT REFRIGERADO ESPAGUETE A BOLONHESA</v>
          </cell>
          <cell r="AK814" t="str">
            <v>KG/0001</v>
          </cell>
          <cell r="AL814">
            <v>6896</v>
          </cell>
          <cell r="AM814">
            <v>32.9</v>
          </cell>
        </row>
        <row r="815">
          <cell r="AJ815" t="str">
            <v>006904 - ROT REFRIGERADO ESPAGUETE + POLPETONE</v>
          </cell>
          <cell r="AK815" t="str">
            <v>UN/0001</v>
          </cell>
          <cell r="AL815">
            <v>6904</v>
          </cell>
          <cell r="AM815">
            <v>18.899999999999999</v>
          </cell>
        </row>
        <row r="816">
          <cell r="AJ816" t="str">
            <v>006873 - ROT REFRIGERADO FAROFA KG</v>
          </cell>
          <cell r="AK816" t="str">
            <v>KG/0001</v>
          </cell>
          <cell r="AL816">
            <v>6873</v>
          </cell>
          <cell r="AM816">
            <v>54.9</v>
          </cell>
        </row>
        <row r="817">
          <cell r="AJ817" t="str">
            <v>005974 - ROT REFRIGERADO FILE FRANGO A PARMEGIANA KG</v>
          </cell>
          <cell r="AK817" t="str">
            <v>KG/0001</v>
          </cell>
          <cell r="AL817">
            <v>5974</v>
          </cell>
          <cell r="AM817">
            <v>68.900000000000006</v>
          </cell>
        </row>
        <row r="818">
          <cell r="AJ818" t="str">
            <v>001857 - ROT REFRIGERADO LAGARTO AO MOLHO MADEIRA KG</v>
          </cell>
          <cell r="AK818" t="str">
            <v>KG/0001</v>
          </cell>
          <cell r="AL818">
            <v>1857</v>
          </cell>
          <cell r="AM818">
            <v>94.9</v>
          </cell>
        </row>
        <row r="819">
          <cell r="AJ819" t="str">
            <v>006077 - ROT REFRIGERADO LASANHA DE BROCOLIS E QUEIJO KG</v>
          </cell>
          <cell r="AK819" t="str">
            <v>KG/0001</v>
          </cell>
          <cell r="AL819">
            <v>6077</v>
          </cell>
          <cell r="AM819">
            <v>44.9</v>
          </cell>
        </row>
        <row r="820">
          <cell r="AJ820" t="str">
            <v>005975 - ROT REFRIGERADO MAMINHA AO MOLHO MADEIRA KG</v>
          </cell>
          <cell r="AK820" t="str">
            <v>KG/0001</v>
          </cell>
          <cell r="AL820">
            <v>5975</v>
          </cell>
          <cell r="AM820">
            <v>109.9</v>
          </cell>
        </row>
        <row r="821">
          <cell r="AJ821" t="str">
            <v>002764 - ROT REFRIGERADO NHOQUE A BOLONHESA KG</v>
          </cell>
          <cell r="AK821" t="str">
            <v>KG/0001</v>
          </cell>
          <cell r="AL821">
            <v>2764</v>
          </cell>
          <cell r="AM821">
            <v>49.9</v>
          </cell>
        </row>
        <row r="822">
          <cell r="AJ822" t="str">
            <v>006879 - ROT REFRIGERADO PANQUECA DE CARNE AO POMODORO</v>
          </cell>
          <cell r="AK822" t="str">
            <v>KG/0001</v>
          </cell>
          <cell r="AL822">
            <v>6879</v>
          </cell>
          <cell r="AM822">
            <v>69.900000000000006</v>
          </cell>
        </row>
        <row r="823">
          <cell r="AJ823" t="str">
            <v>005908 - ROT REFRIGERADO PANQUECA DE ESPINAFRE KG</v>
          </cell>
          <cell r="AK823" t="str">
            <v>KG/0001</v>
          </cell>
          <cell r="AL823">
            <v>5908</v>
          </cell>
          <cell r="AM823">
            <v>49.9</v>
          </cell>
        </row>
        <row r="824">
          <cell r="AJ824" t="str">
            <v>006878 - ROT REFRIGERADO PANQUECA FRANGO C/CATUPIRY KG</v>
          </cell>
          <cell r="AK824" t="str">
            <v>KG/0001</v>
          </cell>
          <cell r="AL824">
            <v>6878</v>
          </cell>
          <cell r="AM824">
            <v>63.9</v>
          </cell>
        </row>
        <row r="825">
          <cell r="AJ825" t="str">
            <v>002771 - ROT REFRIGERADO PANQUECA PRESUNTO MUSSARELA KG</v>
          </cell>
          <cell r="AK825" t="str">
            <v>KG/0001</v>
          </cell>
          <cell r="AL825">
            <v>2771</v>
          </cell>
          <cell r="AM825">
            <v>63.9</v>
          </cell>
        </row>
        <row r="826">
          <cell r="AJ826" t="str">
            <v>006874 - ROT REFRIGERADO PENNE AO MOLHO BRANCO C/BACON</v>
          </cell>
          <cell r="AK826" t="str">
            <v>KG/0001</v>
          </cell>
          <cell r="AL826">
            <v>6874</v>
          </cell>
          <cell r="AM826">
            <v>32.9</v>
          </cell>
        </row>
        <row r="827">
          <cell r="AJ827" t="str">
            <v>006898 - ROT REFRIGERADO PENNE MOLHO BECHAMEL BROCOLIS E BACON</v>
          </cell>
          <cell r="AK827" t="str">
            <v>KG/0001</v>
          </cell>
          <cell r="AL827">
            <v>6898</v>
          </cell>
          <cell r="AM827">
            <v>39.9</v>
          </cell>
        </row>
        <row r="828">
          <cell r="AJ828" t="str">
            <v>003129 - ROT REFRIGERADO PERNIL ASSADO AO MOLHO FERRUGEM KG</v>
          </cell>
          <cell r="AK828" t="str">
            <v>KG/0001</v>
          </cell>
          <cell r="AL828">
            <v>3129</v>
          </cell>
          <cell r="AM828">
            <v>54.9</v>
          </cell>
        </row>
        <row r="829">
          <cell r="AJ829" t="str">
            <v>006893 - ROT REFRIGERADO REFEICAO CARNE MOIDA C/ LEGUMES</v>
          </cell>
          <cell r="AK829" t="str">
            <v>UN/0001</v>
          </cell>
          <cell r="AL829">
            <v>6893</v>
          </cell>
          <cell r="AM829">
            <v>19.899999999999999</v>
          </cell>
        </row>
        <row r="830">
          <cell r="AJ830" t="str">
            <v xml:space="preserve">005395 - ROT REFRIGERADO REFEICAO FEIJOADA UN </v>
          </cell>
          <cell r="AK830" t="str">
            <v>UN/0001</v>
          </cell>
          <cell r="AL830">
            <v>5395</v>
          </cell>
          <cell r="AM830">
            <v>24.9</v>
          </cell>
        </row>
        <row r="831">
          <cell r="AJ831" t="str">
            <v>006894 - ROT REFRIGERADO REFEICAO LAGARTO MOLHO MADEIRA</v>
          </cell>
          <cell r="AK831" t="str">
            <v>UN/0001</v>
          </cell>
          <cell r="AL831">
            <v>6894</v>
          </cell>
          <cell r="AM831">
            <v>24.9</v>
          </cell>
        </row>
        <row r="832">
          <cell r="AJ832" t="str">
            <v xml:space="preserve">006876 - ROT REFRIGERADO REFEICAO STROGONOFF FRANGO UN </v>
          </cell>
          <cell r="AK832" t="str">
            <v>UN/0001</v>
          </cell>
          <cell r="AL832">
            <v>6876</v>
          </cell>
          <cell r="AM832">
            <v>21.9</v>
          </cell>
        </row>
        <row r="833">
          <cell r="AJ833" t="str">
            <v>005782 - ROT REFRIGERADO RONDELE RICOTA E ALHO PORO AO MOLHO SUGO KG</v>
          </cell>
          <cell r="AK833" t="str">
            <v>KG/0001</v>
          </cell>
          <cell r="AL833">
            <v>5782</v>
          </cell>
          <cell r="AM833">
            <v>64.900000000000006</v>
          </cell>
        </row>
        <row r="834">
          <cell r="AJ834" t="str">
            <v>005775 - ROT REFRIGERADO RONDELLI RICOTA COM ALHO PORO AO SUGO KG</v>
          </cell>
          <cell r="AK834" t="str">
            <v>KG/0001</v>
          </cell>
          <cell r="AL834">
            <v>5775</v>
          </cell>
          <cell r="AM834">
            <v>64.900000000000006</v>
          </cell>
        </row>
        <row r="835">
          <cell r="AJ835" t="str">
            <v>001861 - ROT REFRIGERADO STROGONOFE DE FRANGO KG</v>
          </cell>
          <cell r="AK835" t="str">
            <v>KG/0001</v>
          </cell>
          <cell r="AL835">
            <v>1861</v>
          </cell>
          <cell r="AM835">
            <v>71.900000000000006</v>
          </cell>
        </row>
        <row r="836">
          <cell r="AJ836" t="str">
            <v>008904 - SALADA PRIMAVERA BENDITO KG</v>
          </cell>
          <cell r="AK836" t="str">
            <v>KG/0001</v>
          </cell>
          <cell r="AL836">
            <v>8904</v>
          </cell>
          <cell r="AM836">
            <v>29.9</v>
          </cell>
        </row>
        <row r="837">
          <cell r="AJ837" t="str">
            <v xml:space="preserve">008901 - SALADA PRIMAVERA GRANDE BENDITO UND </v>
          </cell>
          <cell r="AK837" t="str">
            <v>UN/0001</v>
          </cell>
          <cell r="AL837">
            <v>8901</v>
          </cell>
          <cell r="AM837">
            <v>10.9</v>
          </cell>
        </row>
        <row r="838">
          <cell r="AJ838" t="str">
            <v xml:space="preserve">036055 - SALADA PRIMAVERA PEQUENA BENDITO UND </v>
          </cell>
          <cell r="AK838" t="str">
            <v>UN/0001</v>
          </cell>
          <cell r="AL838">
            <v>360555</v>
          </cell>
          <cell r="AM838">
            <v>5.9</v>
          </cell>
        </row>
        <row r="839">
          <cell r="AJ839" t="str">
            <v>008905 - SOPA DE LEGUMES COM FRANGO BENDITO KG</v>
          </cell>
          <cell r="AK839" t="str">
            <v>KG/0001</v>
          </cell>
          <cell r="AL839">
            <v>8905</v>
          </cell>
          <cell r="AM839">
            <v>18.899999999999999</v>
          </cell>
        </row>
        <row r="840">
          <cell r="AJ840" t="str">
            <v>008907 - STEAK DE FRANGO BENDITO KG</v>
          </cell>
          <cell r="AK840" t="str">
            <v>KG/0001</v>
          </cell>
          <cell r="AL840">
            <v>8907</v>
          </cell>
          <cell r="AM840">
            <v>24.99</v>
          </cell>
        </row>
        <row r="841">
          <cell r="AJ841" t="str">
            <v>008908 - SUI PROD.BANHA BENDITO KG</v>
          </cell>
          <cell r="AK841" t="str">
            <v>KG/0001</v>
          </cell>
          <cell r="AL841">
            <v>8908</v>
          </cell>
          <cell r="AM841">
            <v>29.9</v>
          </cell>
        </row>
        <row r="842">
          <cell r="AJ842" t="str">
            <v>007065 - SUI PROD.BANHA KG</v>
          </cell>
          <cell r="AK842" t="str">
            <v>KG/0001</v>
          </cell>
          <cell r="AL842">
            <v>7065</v>
          </cell>
          <cell r="AM842">
            <v>29.9</v>
          </cell>
        </row>
        <row r="843">
          <cell r="AJ843" t="str">
            <v>007075 - SUI PROD.TORRESMO FRITO KG</v>
          </cell>
          <cell r="AK843" t="str">
            <v>KG/0001</v>
          </cell>
          <cell r="AL843">
            <v>7075</v>
          </cell>
          <cell r="AM843">
            <v>79.900000000000006</v>
          </cell>
        </row>
        <row r="844">
          <cell r="AJ844" t="str">
            <v>006904 - ROT REFRIGERADO ESPAGUETE + POLPETONE</v>
          </cell>
          <cell r="AK844" t="str">
            <v>UN/0001</v>
          </cell>
          <cell r="AL844">
            <v>6904</v>
          </cell>
          <cell r="AM844">
            <v>18.899999999999999</v>
          </cell>
        </row>
        <row r="845">
          <cell r="AJ845" t="str">
            <v>006873 - ROT REFRIGERADO FAROFA KG</v>
          </cell>
          <cell r="AK845" t="str">
            <v>KG/0001</v>
          </cell>
          <cell r="AL845">
            <v>6873</v>
          </cell>
          <cell r="AM845">
            <v>54.9</v>
          </cell>
        </row>
        <row r="846">
          <cell r="AJ846" t="str">
            <v>005974 - ROT REFRIGERADO FILE FRANGO A PARMEGIANA KG</v>
          </cell>
          <cell r="AK846" t="str">
            <v>KG/0001</v>
          </cell>
          <cell r="AL846">
            <v>5974</v>
          </cell>
          <cell r="AM846">
            <v>68.900000000000006</v>
          </cell>
        </row>
        <row r="847">
          <cell r="AJ847" t="str">
            <v>001857 - ROT REFRIGERADO LAGARTO AO MOLHO MADEIRA KG</v>
          </cell>
          <cell r="AK847" t="str">
            <v>KG/0001</v>
          </cell>
          <cell r="AL847">
            <v>1857</v>
          </cell>
          <cell r="AM847">
            <v>59.9</v>
          </cell>
        </row>
        <row r="848">
          <cell r="AJ848" t="str">
            <v>006077 - ROT REFRIGERADO LASANHA DE BROCOLIS E QUEIJO KG</v>
          </cell>
          <cell r="AK848" t="str">
            <v>KG/0001</v>
          </cell>
          <cell r="AL848">
            <v>6077</v>
          </cell>
          <cell r="AM848">
            <v>44.9</v>
          </cell>
        </row>
        <row r="849">
          <cell r="AJ849" t="str">
            <v>005975 - ROT REFRIGERADO MAMINHA AO MOLHO MADEIRA KG</v>
          </cell>
          <cell r="AK849" t="str">
            <v>KG/0001</v>
          </cell>
          <cell r="AL849">
            <v>5975</v>
          </cell>
          <cell r="AM849">
            <v>109.9</v>
          </cell>
        </row>
        <row r="850">
          <cell r="AJ850" t="str">
            <v>002764 - ROT REFRIGERADO NHOQUE A BOLONHESA KG</v>
          </cell>
          <cell r="AK850" t="str">
            <v>KG/0001</v>
          </cell>
          <cell r="AL850">
            <v>2764</v>
          </cell>
          <cell r="AM850">
            <v>49.9</v>
          </cell>
        </row>
        <row r="851">
          <cell r="AJ851" t="str">
            <v>006879 - ROT REFRIGERADO PANQUECA DE CARNE AO POMODORO</v>
          </cell>
          <cell r="AK851" t="str">
            <v>KG/0001</v>
          </cell>
          <cell r="AL851">
            <v>6879</v>
          </cell>
          <cell r="AM851">
            <v>69.900000000000006</v>
          </cell>
        </row>
        <row r="852">
          <cell r="AJ852" t="str">
            <v>005908 - ROT REFRIGERADO PANQUECA DE ESPINAFRE KG</v>
          </cell>
          <cell r="AK852" t="str">
            <v>KG/0001</v>
          </cell>
          <cell r="AL852">
            <v>5908</v>
          </cell>
          <cell r="AM852">
            <v>49.9</v>
          </cell>
        </row>
        <row r="853">
          <cell r="AJ853" t="str">
            <v>006878 - ROT REFRIGERADO PANQUECA FRANGO C/CATUPIRY KG</v>
          </cell>
          <cell r="AK853" t="str">
            <v>KG/0001</v>
          </cell>
          <cell r="AL853">
            <v>6878</v>
          </cell>
          <cell r="AM853">
            <v>63.9</v>
          </cell>
        </row>
        <row r="854">
          <cell r="AJ854" t="str">
            <v>002771 - ROT REFRIGERADO PANQUECA PRESUNTO MUSSARELA KG</v>
          </cell>
          <cell r="AK854" t="str">
            <v>KG/0001</v>
          </cell>
          <cell r="AL854">
            <v>2771</v>
          </cell>
          <cell r="AM854">
            <v>63.9</v>
          </cell>
        </row>
        <row r="855">
          <cell r="AJ855" t="str">
            <v>006874 - ROT REFRIGERADO PENNE AO MOLHO BRANCO C/BACON</v>
          </cell>
          <cell r="AK855" t="str">
            <v>KG/0001</v>
          </cell>
          <cell r="AL855">
            <v>6874</v>
          </cell>
          <cell r="AM855">
            <v>32.9</v>
          </cell>
        </row>
        <row r="856">
          <cell r="AJ856" t="str">
            <v>006898 - ROT REFRIGERADO PENNE MOLHO BECHAMEL BROCOLIS E BACON</v>
          </cell>
          <cell r="AK856" t="str">
            <v>KG/0001</v>
          </cell>
          <cell r="AL856">
            <v>6898</v>
          </cell>
          <cell r="AM856">
            <v>39.9</v>
          </cell>
        </row>
        <row r="857">
          <cell r="AJ857" t="str">
            <v>003129 - ROT REFRIGERADO PERNIL ASSADO AO MOLHO FERRUGEM KG</v>
          </cell>
          <cell r="AK857" t="str">
            <v>KG/0001</v>
          </cell>
          <cell r="AL857">
            <v>3129</v>
          </cell>
          <cell r="AM857">
            <v>54.9</v>
          </cell>
        </row>
        <row r="858">
          <cell r="AJ858" t="str">
            <v>006893 - ROT REFRIGERADO REFEICAO CARNE MOIDA C/ LEGUMES</v>
          </cell>
          <cell r="AK858" t="str">
            <v>UN/0001</v>
          </cell>
          <cell r="AL858">
            <v>6893</v>
          </cell>
          <cell r="AM858">
            <v>19.899999999999999</v>
          </cell>
        </row>
        <row r="859">
          <cell r="AJ859" t="str">
            <v xml:space="preserve">005395 - ROT REFRIGERADO REFEICAO FEIJOADA UN </v>
          </cell>
          <cell r="AK859" t="str">
            <v>UN/0001</v>
          </cell>
          <cell r="AL859">
            <v>5395</v>
          </cell>
          <cell r="AM859">
            <v>24.9</v>
          </cell>
        </row>
        <row r="860">
          <cell r="AJ860" t="str">
            <v>006894 - ROT REFRIGERADO REFEICAO LAGARTO MOLHO MADEIRA</v>
          </cell>
          <cell r="AK860" t="str">
            <v>UN/0001</v>
          </cell>
          <cell r="AL860">
            <v>6894</v>
          </cell>
          <cell r="AM860">
            <v>23.9</v>
          </cell>
        </row>
        <row r="861">
          <cell r="AJ861" t="str">
            <v xml:space="preserve">006876 - ROT REFRIGERADO REFEICAO STROGONOFF FRANGO UN </v>
          </cell>
          <cell r="AK861" t="str">
            <v>UN/0001</v>
          </cell>
          <cell r="AL861">
            <v>6876</v>
          </cell>
          <cell r="AM861">
            <v>21.9</v>
          </cell>
        </row>
        <row r="862">
          <cell r="AJ862" t="str">
            <v>005782 - ROT REFRIGERADO RONDELE RICOTA E ALHO PORO AO MOLHO SUGO KG</v>
          </cell>
          <cell r="AK862" t="str">
            <v>KG/0001</v>
          </cell>
          <cell r="AL862">
            <v>5782</v>
          </cell>
          <cell r="AM862">
            <v>64.900000000000006</v>
          </cell>
        </row>
        <row r="863">
          <cell r="AJ863" t="str">
            <v>005775 - ROT REFRIGERADO RONDELLI RICOTA COM ALHO PORO AO SUGO KG</v>
          </cell>
          <cell r="AK863" t="str">
            <v>KG/0001</v>
          </cell>
          <cell r="AL863">
            <v>5775</v>
          </cell>
          <cell r="AM863">
            <v>64.900000000000006</v>
          </cell>
        </row>
        <row r="864">
          <cell r="AJ864" t="str">
            <v>001861 - ROT REFRIGERADO STROGONOFE DE FRANGO KG</v>
          </cell>
          <cell r="AK864" t="str">
            <v>KG/0001</v>
          </cell>
          <cell r="AL864">
            <v>1861</v>
          </cell>
          <cell r="AM864">
            <v>71.900000000000006</v>
          </cell>
        </row>
        <row r="865">
          <cell r="AJ865" t="str">
            <v>008904 - SALADA PRIMAVERA BENDITO KG</v>
          </cell>
          <cell r="AK865" t="str">
            <v>KG/0001</v>
          </cell>
          <cell r="AL865">
            <v>8904</v>
          </cell>
          <cell r="AM865">
            <v>29.9</v>
          </cell>
        </row>
        <row r="866">
          <cell r="AJ866" t="str">
            <v xml:space="preserve">008901 - SALADA PRIMAVERA GRANDE BENDITO UND </v>
          </cell>
          <cell r="AK866" t="str">
            <v>UN/0001</v>
          </cell>
          <cell r="AL866">
            <v>8901</v>
          </cell>
          <cell r="AM866">
            <v>10.9</v>
          </cell>
        </row>
        <row r="867">
          <cell r="AJ867" t="str">
            <v xml:space="preserve">036055 - SALADA PRIMAVERA PEQUENA BENDITO UND </v>
          </cell>
          <cell r="AK867" t="str">
            <v>UN/0001</v>
          </cell>
          <cell r="AL867">
            <v>360555</v>
          </cell>
          <cell r="AM867">
            <v>5.9</v>
          </cell>
        </row>
        <row r="868">
          <cell r="AJ868" t="str">
            <v>008905 - SOPA DE LEGUMES COM FRANGO BENDITO KG</v>
          </cell>
          <cell r="AK868" t="str">
            <v>KG/0001</v>
          </cell>
          <cell r="AL868">
            <v>8905</v>
          </cell>
          <cell r="AM868">
            <v>18.899999999999999</v>
          </cell>
        </row>
        <row r="869">
          <cell r="AJ869" t="str">
            <v>008907 - STEAK DE FRANGO BENDITO KG</v>
          </cell>
          <cell r="AK869" t="str">
            <v>KG/0001</v>
          </cell>
          <cell r="AL869">
            <v>8907</v>
          </cell>
          <cell r="AM869">
            <v>24.99</v>
          </cell>
        </row>
        <row r="870">
          <cell r="AJ870" t="str">
            <v>008908 - SUI PROD.BANHA BENDITO KG</v>
          </cell>
          <cell r="AK870" t="str">
            <v>KG/0001</v>
          </cell>
          <cell r="AL870">
            <v>8908</v>
          </cell>
          <cell r="AM870">
            <v>29.9</v>
          </cell>
        </row>
        <row r="871">
          <cell r="AJ871" t="str">
            <v>007065 - SUI PROD.BANHA KG</v>
          </cell>
          <cell r="AK871" t="str">
            <v>KG/0001</v>
          </cell>
          <cell r="AL871">
            <v>7065</v>
          </cell>
          <cell r="AM871">
            <v>29.9</v>
          </cell>
        </row>
        <row r="872">
          <cell r="AJ872" t="str">
            <v>007075 - SUI PROD.TORRESMO FRITO KG</v>
          </cell>
          <cell r="AK872" t="str">
            <v>KG/0001</v>
          </cell>
          <cell r="AL872">
            <v>7075</v>
          </cell>
          <cell r="AM872">
            <v>79.900000000000006</v>
          </cell>
        </row>
        <row r="873">
          <cell r="AJ873" t="str">
            <v>08966 - REFEICAO ISCA DE FRANGO A MILANESA</v>
          </cell>
          <cell r="AK873" t="str">
            <v>UN/0001</v>
          </cell>
          <cell r="AL873">
            <v>8966</v>
          </cell>
          <cell r="AM873">
            <v>23.9</v>
          </cell>
        </row>
        <row r="874">
          <cell r="AJ874" t="str">
            <v>007768 - REFEICAO LAGARTO M.MADEIRA + BATATA ASSADA BENDITO</v>
          </cell>
          <cell r="AK874" t="str">
            <v>UN/0001</v>
          </cell>
          <cell r="AL874">
            <v>7768</v>
          </cell>
          <cell r="AM874">
            <v>24.9</v>
          </cell>
        </row>
        <row r="875">
          <cell r="AJ875" t="str">
            <v>007673 - REFEICAO FILE FRANGO PARMEGIANA BENDITO UN</v>
          </cell>
          <cell r="AK875" t="str">
            <v>UN/0001</v>
          </cell>
          <cell r="AL875">
            <v>7673</v>
          </cell>
          <cell r="AM875">
            <v>25.9</v>
          </cell>
        </row>
        <row r="876">
          <cell r="AJ876" t="str">
            <v>009289 - ROTISSERIA TEMAKI HOT SALMAO GRELAHADO</v>
          </cell>
          <cell r="AK876" t="str">
            <v>UN/0001</v>
          </cell>
          <cell r="AL876">
            <v>9289</v>
          </cell>
          <cell r="AM876">
            <v>24.9</v>
          </cell>
        </row>
        <row r="877">
          <cell r="AJ877" t="str">
            <v>007625 - REFEICAO CARNE PANELA BENDITO UN</v>
          </cell>
          <cell r="AK877" t="str">
            <v>UN/0001</v>
          </cell>
          <cell r="AL877">
            <v>7625</v>
          </cell>
          <cell r="AM877">
            <v>24.9</v>
          </cell>
        </row>
        <row r="878">
          <cell r="AJ878" t="str">
            <v>009362 - REFEICAO ISCA DE FRANGO A ACEBOLADA BENDITO UN</v>
          </cell>
          <cell r="AK878" t="str">
            <v>UN/0001</v>
          </cell>
          <cell r="AL878">
            <v>9362</v>
          </cell>
          <cell r="AM878">
            <v>23.9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CALA DE PRODUÇÃO"/>
    </sheetNames>
    <sheetDataSet>
      <sheetData sheetId="0">
        <row r="3">
          <cell r="D3">
            <v>1</v>
          </cell>
        </row>
        <row r="4">
          <cell r="D4">
            <v>1</v>
          </cell>
        </row>
        <row r="5">
          <cell r="D5">
            <v>0</v>
          </cell>
        </row>
        <row r="7">
          <cell r="D7">
            <v>0.35</v>
          </cell>
        </row>
        <row r="8">
          <cell r="D8">
            <v>0.35</v>
          </cell>
        </row>
        <row r="9">
          <cell r="D9">
            <v>0</v>
          </cell>
        </row>
        <row r="11">
          <cell r="D11">
            <v>0.12</v>
          </cell>
        </row>
        <row r="12">
          <cell r="D12">
            <v>0</v>
          </cell>
        </row>
        <row r="14">
          <cell r="D14">
            <v>0.18</v>
          </cell>
        </row>
        <row r="15">
          <cell r="D15">
            <v>0</v>
          </cell>
        </row>
        <row r="17">
          <cell r="D17">
            <v>0.12</v>
          </cell>
        </row>
        <row r="18">
          <cell r="D18">
            <v>0.15</v>
          </cell>
        </row>
        <row r="19">
          <cell r="D19">
            <v>0.12</v>
          </cell>
        </row>
        <row r="21">
          <cell r="D21">
            <v>0.15</v>
          </cell>
        </row>
        <row r="22">
          <cell r="D22">
            <v>0.18</v>
          </cell>
        </row>
        <row r="23">
          <cell r="D23">
            <v>0</v>
          </cell>
        </row>
        <row r="25">
          <cell r="D25">
            <v>0.35</v>
          </cell>
        </row>
        <row r="26">
          <cell r="D26">
            <v>0.25</v>
          </cell>
        </row>
        <row r="28">
          <cell r="B28">
            <v>8963</v>
          </cell>
          <cell r="D28">
            <v>1</v>
          </cell>
        </row>
        <row r="29">
          <cell r="B29">
            <v>8962</v>
          </cell>
          <cell r="D29">
            <v>1</v>
          </cell>
        </row>
        <row r="30">
          <cell r="B30">
            <v>30</v>
          </cell>
          <cell r="D30">
            <v>0</v>
          </cell>
        </row>
        <row r="32">
          <cell r="B32">
            <v>9124</v>
          </cell>
          <cell r="D32">
            <v>1</v>
          </cell>
        </row>
        <row r="33">
          <cell r="B33">
            <v>9119</v>
          </cell>
          <cell r="D33">
            <v>1</v>
          </cell>
        </row>
        <row r="34">
          <cell r="B34">
            <v>60</v>
          </cell>
          <cell r="D34">
            <v>0</v>
          </cell>
        </row>
        <row r="36">
          <cell r="B36">
            <v>9125</v>
          </cell>
          <cell r="D36">
            <v>1</v>
          </cell>
        </row>
        <row r="37">
          <cell r="B37">
            <v>9129</v>
          </cell>
          <cell r="D37">
            <v>1</v>
          </cell>
        </row>
        <row r="38">
          <cell r="B38">
            <v>90</v>
          </cell>
          <cell r="D38">
            <v>0</v>
          </cell>
        </row>
        <row r="40">
          <cell r="D40">
            <v>0.45</v>
          </cell>
        </row>
        <row r="41">
          <cell r="D41">
            <v>0.45</v>
          </cell>
        </row>
        <row r="42">
          <cell r="D42">
            <v>0.45</v>
          </cell>
        </row>
        <row r="43">
          <cell r="D43">
            <v>0.38</v>
          </cell>
        </row>
        <row r="45">
          <cell r="D45">
            <v>0.15</v>
          </cell>
        </row>
        <row r="46">
          <cell r="D46">
            <v>0.15</v>
          </cell>
        </row>
        <row r="47">
          <cell r="D47">
            <v>0.15</v>
          </cell>
        </row>
        <row r="48">
          <cell r="D4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30A0-30AC-4484-BFC7-FD63BFD20048}">
  <dimension ref="A1:AZ114"/>
  <sheetViews>
    <sheetView topLeftCell="H1" zoomScale="82" workbookViewId="0">
      <selection activeCell="R9" sqref="R9"/>
    </sheetView>
  </sheetViews>
  <sheetFormatPr defaultRowHeight="14.5" x14ac:dyDescent="0.35"/>
  <cols>
    <col min="2" max="2" width="56" bestFit="1" customWidth="1"/>
    <col min="4" max="4" width="10.6328125" bestFit="1" customWidth="1"/>
    <col min="5" max="5" width="12.54296875" bestFit="1" customWidth="1"/>
    <col min="8" max="8" width="56" bestFit="1" customWidth="1"/>
    <col min="10" max="10" width="10.6328125" bestFit="1" customWidth="1"/>
    <col min="11" max="11" width="12.54296875" bestFit="1" customWidth="1"/>
    <col min="14" max="14" width="56" bestFit="1" customWidth="1"/>
    <col min="15" max="15" width="15" bestFit="1" customWidth="1"/>
    <col min="17" max="17" width="12.54296875" bestFit="1" customWidth="1"/>
    <col min="20" max="20" width="56" bestFit="1" customWidth="1"/>
    <col min="21" max="21" width="15" bestFit="1" customWidth="1"/>
    <col min="23" max="23" width="12.54296875" bestFit="1" customWidth="1"/>
    <col min="26" max="26" width="56" bestFit="1" customWidth="1"/>
    <col min="27" max="27" width="15" bestFit="1" customWidth="1"/>
    <col min="29" max="29" width="12.54296875" bestFit="1" customWidth="1"/>
    <col min="32" max="32" width="56" bestFit="1" customWidth="1"/>
    <col min="33" max="33" width="15" bestFit="1" customWidth="1"/>
    <col min="35" max="35" width="12.54296875" bestFit="1" customWidth="1"/>
    <col min="37" max="37" width="7.54296875" bestFit="1" customWidth="1"/>
    <col min="38" max="38" width="56" bestFit="1" customWidth="1"/>
    <col min="41" max="41" width="12.54296875" bestFit="1" customWidth="1"/>
    <col min="42" max="42" width="3.453125" customWidth="1"/>
    <col min="43" max="43" width="7" bestFit="1" customWidth="1"/>
    <col min="44" max="44" width="60.36328125" bestFit="1" customWidth="1"/>
    <col min="45" max="45" width="15" bestFit="1" customWidth="1"/>
    <col min="46" max="46" width="10.6328125" bestFit="1" customWidth="1"/>
    <col min="47" max="47" width="12.54296875" bestFit="1" customWidth="1"/>
    <col min="48" max="48" width="10.6328125" bestFit="1" customWidth="1"/>
    <col min="49" max="49" width="12.54296875" bestFit="1" customWidth="1"/>
  </cols>
  <sheetData>
    <row r="1" spans="1:52" ht="24" customHeight="1" thickBot="1" x14ac:dyDescent="0.6">
      <c r="A1" s="9"/>
      <c r="B1" s="8" t="s">
        <v>0</v>
      </c>
      <c r="C1" s="9"/>
      <c r="D1" s="10"/>
      <c r="E1" s="11"/>
      <c r="G1" s="12"/>
      <c r="H1" s="13" t="s">
        <v>107</v>
      </c>
      <c r="I1" s="12"/>
      <c r="J1" s="14"/>
      <c r="K1" s="15"/>
      <c r="M1" s="16"/>
      <c r="N1" s="19" t="s">
        <v>108</v>
      </c>
      <c r="O1" s="16"/>
      <c r="P1" s="17"/>
      <c r="Q1" s="18"/>
      <c r="S1" s="20"/>
      <c r="T1" s="21" t="s">
        <v>109</v>
      </c>
      <c r="U1" s="20"/>
      <c r="V1" s="22"/>
      <c r="W1" s="23"/>
      <c r="Y1" s="24"/>
      <c r="Z1" s="27" t="s">
        <v>110</v>
      </c>
      <c r="AA1" s="24"/>
      <c r="AB1" s="25"/>
      <c r="AC1" s="26"/>
      <c r="AE1" s="35"/>
      <c r="AF1" s="34" t="s">
        <v>111</v>
      </c>
      <c r="AG1" s="35"/>
      <c r="AH1" s="36"/>
      <c r="AI1" s="37"/>
      <c r="AK1" s="38"/>
      <c r="AL1" s="39" t="s">
        <v>112</v>
      </c>
      <c r="AM1" s="38"/>
      <c r="AN1" s="40"/>
      <c r="AO1" s="41"/>
      <c r="AQ1" s="65" t="s">
        <v>161</v>
      </c>
      <c r="AR1" s="65"/>
      <c r="AS1" s="65"/>
      <c r="AT1" s="65"/>
      <c r="AU1" s="65"/>
      <c r="AV1" s="65"/>
      <c r="AW1" s="65"/>
      <c r="AY1" s="52"/>
    </row>
    <row r="2" spans="1:52" ht="14.5" customHeight="1" x14ac:dyDescent="0.35">
      <c r="A2" t="s">
        <v>1</v>
      </c>
      <c r="B2" t="s">
        <v>9</v>
      </c>
      <c r="C2" t="s">
        <v>7</v>
      </c>
      <c r="D2" t="s">
        <v>10</v>
      </c>
      <c r="E2" t="s">
        <v>102</v>
      </c>
      <c r="G2" t="s">
        <v>1</v>
      </c>
      <c r="H2" t="s">
        <v>9</v>
      </c>
      <c r="I2" t="s">
        <v>7</v>
      </c>
      <c r="J2" t="s">
        <v>10</v>
      </c>
      <c r="K2" t="s">
        <v>102</v>
      </c>
      <c r="M2" t="s">
        <v>1</v>
      </c>
      <c r="N2" t="s">
        <v>9</v>
      </c>
      <c r="O2" t="s">
        <v>7</v>
      </c>
      <c r="P2" t="s">
        <v>10</v>
      </c>
      <c r="Q2" t="s">
        <v>102</v>
      </c>
      <c r="S2" t="s">
        <v>1</v>
      </c>
      <c r="T2" t="s">
        <v>9</v>
      </c>
      <c r="U2" t="s">
        <v>7</v>
      </c>
      <c r="V2" t="s">
        <v>10</v>
      </c>
      <c r="W2" t="s">
        <v>102</v>
      </c>
      <c r="Y2" t="s">
        <v>1</v>
      </c>
      <c r="Z2" t="s">
        <v>9</v>
      </c>
      <c r="AA2" t="s">
        <v>7</v>
      </c>
      <c r="AB2" t="s">
        <v>10</v>
      </c>
      <c r="AC2" t="s">
        <v>102</v>
      </c>
      <c r="AE2" t="s">
        <v>1</v>
      </c>
      <c r="AF2" t="s">
        <v>9</v>
      </c>
      <c r="AG2" t="s">
        <v>7</v>
      </c>
      <c r="AH2" t="s">
        <v>10</v>
      </c>
      <c r="AI2" t="s">
        <v>102</v>
      </c>
      <c r="AK2" t="s">
        <v>1</v>
      </c>
      <c r="AL2" t="s">
        <v>9</v>
      </c>
      <c r="AM2" t="s">
        <v>7</v>
      </c>
      <c r="AN2" t="s">
        <v>10</v>
      </c>
      <c r="AO2" t="s">
        <v>102</v>
      </c>
      <c r="AQ2" s="56" t="s">
        <v>1</v>
      </c>
      <c r="AR2" s="58" t="s">
        <v>9</v>
      </c>
      <c r="AS2" s="58" t="s">
        <v>7</v>
      </c>
      <c r="AT2" s="58" t="s">
        <v>10</v>
      </c>
      <c r="AU2" s="58" t="s">
        <v>158</v>
      </c>
      <c r="AV2" s="62" t="s">
        <v>159</v>
      </c>
      <c r="AW2" s="62" t="s">
        <v>160</v>
      </c>
      <c r="AX2" s="58"/>
      <c r="AY2" s="54"/>
      <c r="AZ2">
        <f>SUMIF(AR:AR,AY2,AT:AT)</f>
        <v>0</v>
      </c>
    </row>
    <row r="3" spans="1:52" ht="14.5" customHeight="1" x14ac:dyDescent="0.35">
      <c r="A3">
        <v>8966</v>
      </c>
      <c r="B3" t="s">
        <v>226</v>
      </c>
      <c r="C3">
        <v>8966</v>
      </c>
      <c r="D3">
        <v>12</v>
      </c>
      <c r="E3" s="1" t="s">
        <v>287</v>
      </c>
      <c r="G3">
        <v>7930</v>
      </c>
      <c r="H3" t="s">
        <v>238</v>
      </c>
      <c r="I3">
        <v>7930</v>
      </c>
      <c r="J3">
        <v>10</v>
      </c>
      <c r="K3" s="1" t="s">
        <v>289</v>
      </c>
      <c r="M3">
        <v>9350</v>
      </c>
      <c r="N3" t="s">
        <v>293</v>
      </c>
      <c r="O3">
        <v>9350</v>
      </c>
      <c r="P3">
        <v>1</v>
      </c>
      <c r="Q3" s="1" t="s">
        <v>295</v>
      </c>
      <c r="S3">
        <v>7574</v>
      </c>
      <c r="T3" t="s">
        <v>265</v>
      </c>
      <c r="U3">
        <v>7574</v>
      </c>
      <c r="V3">
        <v>0.18</v>
      </c>
      <c r="W3" s="1" t="s">
        <v>271</v>
      </c>
      <c r="Y3">
        <v>2893</v>
      </c>
      <c r="Z3" t="s">
        <v>229</v>
      </c>
      <c r="AA3">
        <v>2893</v>
      </c>
      <c r="AB3">
        <v>10</v>
      </c>
      <c r="AC3" s="1" t="s">
        <v>276</v>
      </c>
      <c r="AE3">
        <v>93583</v>
      </c>
      <c r="AF3" t="s">
        <v>277</v>
      </c>
      <c r="AG3">
        <v>93583</v>
      </c>
      <c r="AH3">
        <v>6</v>
      </c>
      <c r="AI3" s="1" t="s">
        <v>280</v>
      </c>
      <c r="AK3">
        <v>7041</v>
      </c>
      <c r="AL3" t="s">
        <v>11</v>
      </c>
      <c r="AM3">
        <v>7041</v>
      </c>
      <c r="AN3">
        <v>0.95</v>
      </c>
      <c r="AO3" s="1" t="s">
        <v>103</v>
      </c>
      <c r="AQ3">
        <v>7068</v>
      </c>
      <c r="AR3" t="s">
        <v>12</v>
      </c>
      <c r="AS3">
        <v>7068</v>
      </c>
      <c r="AT3">
        <v>20.51</v>
      </c>
      <c r="AU3" s="57">
        <v>1023.49</v>
      </c>
      <c r="AV3" s="63">
        <f t="shared" ref="AV3:AV34" si="0">(AT3/7)</f>
        <v>2.93</v>
      </c>
      <c r="AW3" s="63">
        <f t="shared" ref="AW3:AW34" si="1">(AU3/7)</f>
        <v>146.21285714285713</v>
      </c>
      <c r="AX3" s="57"/>
      <c r="AY3" s="55"/>
    </row>
    <row r="4" spans="1:52" ht="14.5" customHeight="1" x14ac:dyDescent="0.35">
      <c r="A4">
        <v>7768</v>
      </c>
      <c r="B4" t="s">
        <v>234</v>
      </c>
      <c r="C4">
        <v>7768</v>
      </c>
      <c r="D4">
        <v>10</v>
      </c>
      <c r="E4" s="1" t="str">
        <f>(E3)</f>
        <v>19/01 a20/01</v>
      </c>
      <c r="G4">
        <v>7673</v>
      </c>
      <c r="H4" t="s">
        <v>197</v>
      </c>
      <c r="I4">
        <v>7673</v>
      </c>
      <c r="J4">
        <v>14</v>
      </c>
      <c r="K4" s="1" t="str">
        <f>(K3)</f>
        <v>20/01 a 21/01</v>
      </c>
      <c r="M4">
        <v>7930</v>
      </c>
      <c r="N4" t="s">
        <v>238</v>
      </c>
      <c r="O4">
        <v>7930</v>
      </c>
      <c r="P4">
        <v>10</v>
      </c>
      <c r="Q4" s="1" t="str">
        <f>(Q3)</f>
        <v>21/01 a 22/01</v>
      </c>
      <c r="S4">
        <v>7625</v>
      </c>
      <c r="T4" t="s">
        <v>196</v>
      </c>
      <c r="U4">
        <v>7625</v>
      </c>
      <c r="V4">
        <v>8</v>
      </c>
      <c r="W4" s="1" t="str">
        <f>(W3)</f>
        <v>15/01 a 016/01</v>
      </c>
      <c r="Y4">
        <v>7574</v>
      </c>
      <c r="Z4" t="s">
        <v>265</v>
      </c>
      <c r="AA4">
        <v>7574</v>
      </c>
      <c r="AB4">
        <v>0.18</v>
      </c>
      <c r="AC4" s="1" t="str">
        <f>(AC3)</f>
        <v>16/01 a 17/01</v>
      </c>
      <c r="AE4">
        <v>2893</v>
      </c>
      <c r="AF4" t="s">
        <v>229</v>
      </c>
      <c r="AG4">
        <v>2893</v>
      </c>
      <c r="AH4">
        <v>27</v>
      </c>
      <c r="AI4" s="1" t="str">
        <f>(AI3)</f>
        <v>17/01 a 18/01</v>
      </c>
      <c r="AK4">
        <v>7068</v>
      </c>
      <c r="AL4" t="s">
        <v>12</v>
      </c>
      <c r="AM4">
        <v>7068</v>
      </c>
      <c r="AN4">
        <v>10.31</v>
      </c>
      <c r="AO4" s="1" t="str">
        <f>(AO3)</f>
        <v>20/10 A 23/10</v>
      </c>
      <c r="AQ4">
        <v>7569</v>
      </c>
      <c r="AR4" t="s">
        <v>74</v>
      </c>
      <c r="AS4">
        <v>7569</v>
      </c>
      <c r="AT4">
        <v>69</v>
      </c>
      <c r="AU4" s="57">
        <v>959.1</v>
      </c>
      <c r="AV4" s="63">
        <f t="shared" si="0"/>
        <v>9.8571428571428577</v>
      </c>
      <c r="AW4" s="63">
        <f t="shared" si="1"/>
        <v>137.01428571428571</v>
      </c>
      <c r="AX4" s="53"/>
      <c r="AY4" s="55"/>
    </row>
    <row r="5" spans="1:52" x14ac:dyDescent="0.35">
      <c r="A5">
        <v>7875</v>
      </c>
      <c r="B5" t="s">
        <v>252</v>
      </c>
      <c r="C5">
        <v>7875</v>
      </c>
      <c r="D5">
        <v>7</v>
      </c>
      <c r="E5" s="1" t="str">
        <f t="shared" ref="E5:E68" si="2">(E4)</f>
        <v>19/01 a20/01</v>
      </c>
      <c r="G5">
        <v>7875</v>
      </c>
      <c r="H5" t="s">
        <v>252</v>
      </c>
      <c r="I5">
        <v>7875</v>
      </c>
      <c r="J5">
        <v>7</v>
      </c>
      <c r="K5" s="1" t="str">
        <f t="shared" ref="K5:K68" si="3">(K4)</f>
        <v>20/01 a 21/01</v>
      </c>
      <c r="M5">
        <v>7625</v>
      </c>
      <c r="N5" t="s">
        <v>196</v>
      </c>
      <c r="O5">
        <v>7625</v>
      </c>
      <c r="P5">
        <v>7</v>
      </c>
      <c r="Q5" s="1" t="str">
        <f t="shared" ref="Q5:Q52" si="4">(Q4)</f>
        <v>21/01 a 22/01</v>
      </c>
      <c r="S5">
        <v>9362</v>
      </c>
      <c r="T5" t="s">
        <v>266</v>
      </c>
      <c r="U5">
        <v>9362</v>
      </c>
      <c r="V5">
        <v>10</v>
      </c>
      <c r="W5" s="1" t="str">
        <f t="shared" ref="W5:W34" si="5">(W4)</f>
        <v>15/01 a 016/01</v>
      </c>
      <c r="Y5">
        <v>7660</v>
      </c>
      <c r="Z5" t="s">
        <v>230</v>
      </c>
      <c r="AA5">
        <v>7660</v>
      </c>
      <c r="AB5">
        <v>12</v>
      </c>
      <c r="AC5" s="1" t="str">
        <f t="shared" ref="AC5:AC68" si="6">(AC4)</f>
        <v>16/01 a 17/01</v>
      </c>
      <c r="AE5">
        <v>7660</v>
      </c>
      <c r="AF5" t="s">
        <v>230</v>
      </c>
      <c r="AG5">
        <v>7660</v>
      </c>
      <c r="AH5">
        <v>12</v>
      </c>
      <c r="AI5" s="1" t="str">
        <f t="shared" ref="AI5:AI68" si="7">(AI4)</f>
        <v>17/01 a 18/01</v>
      </c>
      <c r="AK5">
        <v>6856</v>
      </c>
      <c r="AL5" t="s">
        <v>13</v>
      </c>
      <c r="AM5">
        <v>6856</v>
      </c>
      <c r="AN5">
        <v>0.55000000000000004</v>
      </c>
      <c r="AO5" s="1" t="str">
        <f t="shared" ref="AO5:AO68" si="8">(AO4)</f>
        <v>20/10 A 23/10</v>
      </c>
      <c r="AQ5">
        <v>6856</v>
      </c>
      <c r="AR5" t="s">
        <v>13</v>
      </c>
      <c r="AS5">
        <v>6856</v>
      </c>
      <c r="AT5">
        <v>17.21</v>
      </c>
      <c r="AU5" s="57">
        <v>674.56</v>
      </c>
      <c r="AV5" s="63">
        <f t="shared" si="0"/>
        <v>2.4585714285714286</v>
      </c>
      <c r="AW5" s="63">
        <f t="shared" si="1"/>
        <v>96.365714285714276</v>
      </c>
      <c r="AX5" s="53"/>
      <c r="AY5" s="55"/>
    </row>
    <row r="6" spans="1:52" x14ac:dyDescent="0.35">
      <c r="A6">
        <v>7877</v>
      </c>
      <c r="B6" t="s">
        <v>199</v>
      </c>
      <c r="C6">
        <v>7877</v>
      </c>
      <c r="D6">
        <v>14</v>
      </c>
      <c r="E6" s="1" t="str">
        <f t="shared" si="2"/>
        <v>19/01 a20/01</v>
      </c>
      <c r="G6">
        <v>7877</v>
      </c>
      <c r="H6" t="s">
        <v>199</v>
      </c>
      <c r="I6">
        <v>7877</v>
      </c>
      <c r="J6">
        <v>14</v>
      </c>
      <c r="K6" s="1" t="str">
        <f t="shared" si="3"/>
        <v>20/01 a 21/01</v>
      </c>
      <c r="M6">
        <v>7673</v>
      </c>
      <c r="N6" t="s">
        <v>197</v>
      </c>
      <c r="O6">
        <v>7673</v>
      </c>
      <c r="P6">
        <v>14</v>
      </c>
      <c r="Q6" s="1" t="str">
        <f t="shared" si="4"/>
        <v>21/01 a 22/01</v>
      </c>
      <c r="S6">
        <v>7796</v>
      </c>
      <c r="T6" t="s">
        <v>198</v>
      </c>
      <c r="U6">
        <v>7796</v>
      </c>
      <c r="V6">
        <v>13</v>
      </c>
      <c r="W6" s="1" t="str">
        <f t="shared" si="5"/>
        <v>15/01 a 016/01</v>
      </c>
      <c r="Y6">
        <v>7673</v>
      </c>
      <c r="Z6" t="s">
        <v>197</v>
      </c>
      <c r="AA6">
        <v>7673</v>
      </c>
      <c r="AB6">
        <v>15</v>
      </c>
      <c r="AC6" s="1" t="str">
        <f t="shared" si="6"/>
        <v>16/01 a 17/01</v>
      </c>
      <c r="AE6">
        <v>7673</v>
      </c>
      <c r="AF6" t="s">
        <v>197</v>
      </c>
      <c r="AG6">
        <v>7673</v>
      </c>
      <c r="AH6">
        <v>15</v>
      </c>
      <c r="AI6" s="1" t="str">
        <f t="shared" si="7"/>
        <v>17/01 a 18/01</v>
      </c>
      <c r="AK6">
        <v>6856</v>
      </c>
      <c r="AL6" t="s">
        <v>13</v>
      </c>
      <c r="AM6">
        <v>6856</v>
      </c>
      <c r="AN6">
        <v>5.04</v>
      </c>
      <c r="AO6" s="1" t="str">
        <f t="shared" si="8"/>
        <v>20/10 A 23/10</v>
      </c>
      <c r="AQ6">
        <v>6966</v>
      </c>
      <c r="AR6" t="s">
        <v>81</v>
      </c>
      <c r="AS6">
        <v>6966</v>
      </c>
      <c r="AT6">
        <v>14.64</v>
      </c>
      <c r="AU6" s="57">
        <v>476.25</v>
      </c>
      <c r="AV6" s="63">
        <f t="shared" si="0"/>
        <v>2.0914285714285716</v>
      </c>
      <c r="AW6" s="63">
        <f t="shared" si="1"/>
        <v>68.035714285714292</v>
      </c>
      <c r="AX6" s="53"/>
      <c r="AY6" s="55"/>
    </row>
    <row r="7" spans="1:52" x14ac:dyDescent="0.35">
      <c r="A7">
        <v>8945</v>
      </c>
      <c r="B7" t="s">
        <v>201</v>
      </c>
      <c r="C7">
        <v>8945</v>
      </c>
      <c r="D7">
        <v>0.87</v>
      </c>
      <c r="E7" s="1" t="str">
        <f t="shared" si="2"/>
        <v>19/01 a20/01</v>
      </c>
      <c r="G7">
        <v>8028</v>
      </c>
      <c r="H7" t="s">
        <v>186</v>
      </c>
      <c r="I7">
        <v>8028</v>
      </c>
      <c r="J7">
        <v>1.28</v>
      </c>
      <c r="K7" s="1" t="str">
        <f t="shared" si="3"/>
        <v>20/01 a 21/01</v>
      </c>
      <c r="M7">
        <v>7796</v>
      </c>
      <c r="N7" t="s">
        <v>198</v>
      </c>
      <c r="O7">
        <v>7796</v>
      </c>
      <c r="P7">
        <v>12</v>
      </c>
      <c r="Q7" s="1" t="str">
        <f t="shared" si="4"/>
        <v>21/01 a 22/01</v>
      </c>
      <c r="S7">
        <v>7874</v>
      </c>
      <c r="T7" t="s">
        <v>185</v>
      </c>
      <c r="U7">
        <v>7874</v>
      </c>
      <c r="V7">
        <v>8</v>
      </c>
      <c r="W7" s="1" t="str">
        <f t="shared" si="5"/>
        <v>15/01 a 016/01</v>
      </c>
      <c r="Y7">
        <v>9362</v>
      </c>
      <c r="Z7" t="s">
        <v>266</v>
      </c>
      <c r="AA7">
        <v>9362</v>
      </c>
      <c r="AB7">
        <v>10</v>
      </c>
      <c r="AC7" s="1" t="str">
        <f t="shared" si="6"/>
        <v>16/01 a 17/01</v>
      </c>
      <c r="AE7">
        <v>8321</v>
      </c>
      <c r="AF7" t="s">
        <v>200</v>
      </c>
      <c r="AG7">
        <v>8321</v>
      </c>
      <c r="AH7">
        <v>7</v>
      </c>
      <c r="AI7" s="1" t="str">
        <f t="shared" si="7"/>
        <v>17/01 a 18/01</v>
      </c>
      <c r="AK7">
        <v>7120</v>
      </c>
      <c r="AL7" t="s">
        <v>14</v>
      </c>
      <c r="AM7">
        <v>7120</v>
      </c>
      <c r="AN7">
        <v>0.43</v>
      </c>
      <c r="AO7" s="1" t="str">
        <f t="shared" si="8"/>
        <v>20/10 A 23/10</v>
      </c>
      <c r="AQ7">
        <v>104254</v>
      </c>
      <c r="AR7" t="s">
        <v>43</v>
      </c>
      <c r="AS7">
        <v>104254</v>
      </c>
      <c r="AT7">
        <v>5.18</v>
      </c>
      <c r="AU7" s="57">
        <v>414.18</v>
      </c>
      <c r="AV7" s="63">
        <f t="shared" si="0"/>
        <v>0.74</v>
      </c>
      <c r="AW7" s="63">
        <f t="shared" si="1"/>
        <v>59.168571428571433</v>
      </c>
      <c r="AX7" s="53"/>
      <c r="AY7" s="55"/>
    </row>
    <row r="8" spans="1:52" x14ac:dyDescent="0.35">
      <c r="A8">
        <v>8028</v>
      </c>
      <c r="B8" t="s">
        <v>186</v>
      </c>
      <c r="C8">
        <v>8028</v>
      </c>
      <c r="D8">
        <v>2.71</v>
      </c>
      <c r="E8" s="1" t="str">
        <f t="shared" si="2"/>
        <v>19/01 a20/01</v>
      </c>
      <c r="G8">
        <v>8048</v>
      </c>
      <c r="H8" t="s">
        <v>253</v>
      </c>
      <c r="I8">
        <v>8048</v>
      </c>
      <c r="J8">
        <v>0.79</v>
      </c>
      <c r="K8" s="1" t="str">
        <f t="shared" si="3"/>
        <v>20/01 a 21/01</v>
      </c>
      <c r="M8">
        <v>8321</v>
      </c>
      <c r="N8" t="s">
        <v>200</v>
      </c>
      <c r="O8">
        <v>8321</v>
      </c>
      <c r="P8">
        <v>4</v>
      </c>
      <c r="Q8" s="1" t="str">
        <f t="shared" si="4"/>
        <v>21/01 a 22/01</v>
      </c>
      <c r="S8">
        <v>8321</v>
      </c>
      <c r="T8" t="s">
        <v>200</v>
      </c>
      <c r="U8">
        <v>8321</v>
      </c>
      <c r="V8">
        <v>7</v>
      </c>
      <c r="W8" s="1" t="str">
        <f t="shared" si="5"/>
        <v>15/01 a 016/01</v>
      </c>
      <c r="Y8">
        <v>7874</v>
      </c>
      <c r="Z8" t="s">
        <v>185</v>
      </c>
      <c r="AA8">
        <v>7874</v>
      </c>
      <c r="AB8">
        <v>8</v>
      </c>
      <c r="AC8" s="1" t="str">
        <f t="shared" si="6"/>
        <v>16/01 a 17/01</v>
      </c>
      <c r="AE8">
        <v>8023</v>
      </c>
      <c r="AF8" t="s">
        <v>246</v>
      </c>
      <c r="AG8">
        <v>8023</v>
      </c>
      <c r="AH8">
        <v>1.6</v>
      </c>
      <c r="AI8" s="1" t="str">
        <f t="shared" si="7"/>
        <v>17/01 a 18/01</v>
      </c>
      <c r="AK8">
        <v>7267</v>
      </c>
      <c r="AL8" t="s">
        <v>15</v>
      </c>
      <c r="AM8">
        <v>7267</v>
      </c>
      <c r="AN8">
        <v>0.44</v>
      </c>
      <c r="AO8" s="1" t="str">
        <f t="shared" si="8"/>
        <v>20/10 A 23/10</v>
      </c>
      <c r="AQ8">
        <v>6965</v>
      </c>
      <c r="AR8" t="s">
        <v>79</v>
      </c>
      <c r="AS8">
        <v>6965</v>
      </c>
      <c r="AT8">
        <v>12.53</v>
      </c>
      <c r="AU8" s="57">
        <v>367.8</v>
      </c>
      <c r="AV8" s="63">
        <f t="shared" si="0"/>
        <v>1.7899999999999998</v>
      </c>
      <c r="AW8" s="63">
        <f t="shared" si="1"/>
        <v>52.542857142857144</v>
      </c>
      <c r="AX8" s="53"/>
      <c r="AY8" s="55"/>
    </row>
    <row r="9" spans="1:52" x14ac:dyDescent="0.35">
      <c r="A9">
        <v>8080</v>
      </c>
      <c r="B9" t="s">
        <v>202</v>
      </c>
      <c r="C9">
        <v>8080</v>
      </c>
      <c r="D9">
        <v>0.72</v>
      </c>
      <c r="E9" s="1" t="str">
        <f t="shared" si="2"/>
        <v>19/01 a20/01</v>
      </c>
      <c r="G9">
        <v>8080</v>
      </c>
      <c r="H9" t="s">
        <v>202</v>
      </c>
      <c r="I9">
        <v>8080</v>
      </c>
      <c r="J9">
        <v>0.48</v>
      </c>
      <c r="K9" s="1" t="str">
        <f t="shared" si="3"/>
        <v>20/01 a 21/01</v>
      </c>
      <c r="M9">
        <v>8028</v>
      </c>
      <c r="N9" t="s">
        <v>186</v>
      </c>
      <c r="O9">
        <v>8028</v>
      </c>
      <c r="P9">
        <v>1.52</v>
      </c>
      <c r="Q9" s="1" t="str">
        <f t="shared" si="4"/>
        <v>21/01 a 22/01</v>
      </c>
      <c r="S9">
        <v>8028</v>
      </c>
      <c r="T9" t="s">
        <v>186</v>
      </c>
      <c r="U9">
        <v>8028</v>
      </c>
      <c r="V9">
        <v>1.56</v>
      </c>
      <c r="W9" s="1" t="str">
        <f t="shared" si="5"/>
        <v>15/01 a 016/01</v>
      </c>
      <c r="Y9">
        <v>8321</v>
      </c>
      <c r="Z9" t="s">
        <v>200</v>
      </c>
      <c r="AA9">
        <v>8321</v>
      </c>
      <c r="AB9">
        <v>11</v>
      </c>
      <c r="AC9" s="1" t="str">
        <f t="shared" si="6"/>
        <v>16/01 a 17/01</v>
      </c>
      <c r="AE9">
        <v>8028</v>
      </c>
      <c r="AF9" t="s">
        <v>186</v>
      </c>
      <c r="AG9">
        <v>8028</v>
      </c>
      <c r="AH9">
        <v>1.35</v>
      </c>
      <c r="AI9" s="1" t="str">
        <f t="shared" si="7"/>
        <v>17/01 a 18/01</v>
      </c>
      <c r="AK9">
        <v>7141</v>
      </c>
      <c r="AL9" t="s">
        <v>16</v>
      </c>
      <c r="AM9">
        <v>7141</v>
      </c>
      <c r="AN9">
        <v>1.82</v>
      </c>
      <c r="AO9" s="1" t="str">
        <f t="shared" si="8"/>
        <v>20/10 A 23/10</v>
      </c>
      <c r="AQ9">
        <v>7499</v>
      </c>
      <c r="AR9" t="s">
        <v>98</v>
      </c>
      <c r="AS9">
        <v>7499</v>
      </c>
      <c r="AT9">
        <v>8.82</v>
      </c>
      <c r="AU9" s="57">
        <v>325.29000000000002</v>
      </c>
      <c r="AV9" s="63">
        <f t="shared" si="0"/>
        <v>1.26</v>
      </c>
      <c r="AW9" s="63">
        <f t="shared" si="1"/>
        <v>46.470000000000006</v>
      </c>
      <c r="AX9" s="53"/>
      <c r="AY9" s="55"/>
    </row>
    <row r="10" spans="1:52" x14ac:dyDescent="0.35">
      <c r="A10">
        <v>8089</v>
      </c>
      <c r="B10" t="s">
        <v>203</v>
      </c>
      <c r="C10">
        <v>8089</v>
      </c>
      <c r="D10">
        <v>1.36</v>
      </c>
      <c r="E10" s="1" t="str">
        <f t="shared" si="2"/>
        <v>19/01 a20/01</v>
      </c>
      <c r="G10">
        <v>8089</v>
      </c>
      <c r="H10" t="s">
        <v>203</v>
      </c>
      <c r="I10">
        <v>8089</v>
      </c>
      <c r="J10">
        <v>0.81</v>
      </c>
      <c r="K10" s="1" t="str">
        <f t="shared" si="3"/>
        <v>20/01 a 21/01</v>
      </c>
      <c r="M10">
        <v>8048</v>
      </c>
      <c r="N10" t="s">
        <v>253</v>
      </c>
      <c r="O10">
        <v>8048</v>
      </c>
      <c r="P10">
        <v>1.32</v>
      </c>
      <c r="Q10" s="1" t="str">
        <f t="shared" si="4"/>
        <v>21/01 a 22/01</v>
      </c>
      <c r="S10">
        <v>8080</v>
      </c>
      <c r="T10" t="s">
        <v>202</v>
      </c>
      <c r="U10">
        <v>8080</v>
      </c>
      <c r="V10">
        <v>0.43</v>
      </c>
      <c r="W10" s="1" t="str">
        <f t="shared" si="5"/>
        <v>15/01 a 016/01</v>
      </c>
      <c r="Y10">
        <v>8028</v>
      </c>
      <c r="Z10" t="s">
        <v>186</v>
      </c>
      <c r="AA10">
        <v>8028</v>
      </c>
      <c r="AB10">
        <v>1.8</v>
      </c>
      <c r="AC10" s="1" t="str">
        <f t="shared" si="6"/>
        <v>16/01 a 17/01</v>
      </c>
      <c r="AE10">
        <v>8037</v>
      </c>
      <c r="AF10" t="s">
        <v>278</v>
      </c>
      <c r="AG10">
        <v>8037</v>
      </c>
      <c r="AH10">
        <v>1.74</v>
      </c>
      <c r="AI10" s="1" t="str">
        <f t="shared" si="7"/>
        <v>17/01 a 18/01</v>
      </c>
      <c r="AK10">
        <v>7567</v>
      </c>
      <c r="AL10" t="s">
        <v>17</v>
      </c>
      <c r="AM10">
        <v>7567</v>
      </c>
      <c r="AN10">
        <v>0.23</v>
      </c>
      <c r="AO10" s="1" t="str">
        <f t="shared" si="8"/>
        <v>20/10 A 23/10</v>
      </c>
      <c r="AQ10">
        <v>6982</v>
      </c>
      <c r="AR10" t="s">
        <v>91</v>
      </c>
      <c r="AS10">
        <v>6982</v>
      </c>
      <c r="AT10">
        <v>6.79</v>
      </c>
      <c r="AU10" s="57">
        <v>298.23</v>
      </c>
      <c r="AV10" s="63">
        <f t="shared" si="0"/>
        <v>0.97</v>
      </c>
      <c r="AW10" s="63">
        <f t="shared" si="1"/>
        <v>42.604285714285716</v>
      </c>
      <c r="AX10" s="53"/>
      <c r="AY10" s="55"/>
    </row>
    <row r="11" spans="1:52" x14ac:dyDescent="0.35">
      <c r="A11">
        <v>8093</v>
      </c>
      <c r="B11" t="s">
        <v>281</v>
      </c>
      <c r="C11">
        <v>8093</v>
      </c>
      <c r="D11">
        <v>0.79</v>
      </c>
      <c r="E11" s="1" t="str">
        <f t="shared" si="2"/>
        <v>19/01 a20/01</v>
      </c>
      <c r="G11">
        <v>8093</v>
      </c>
      <c r="H11" t="s">
        <v>281</v>
      </c>
      <c r="I11">
        <v>8093</v>
      </c>
      <c r="J11">
        <v>0.79</v>
      </c>
      <c r="K11" s="1" t="str">
        <f t="shared" si="3"/>
        <v>20/01 a 21/01</v>
      </c>
      <c r="M11">
        <v>8089</v>
      </c>
      <c r="N11" t="s">
        <v>203</v>
      </c>
      <c r="O11">
        <v>8089</v>
      </c>
      <c r="P11">
        <v>0.55000000000000004</v>
      </c>
      <c r="Q11" s="1" t="str">
        <f t="shared" si="4"/>
        <v>21/01 a 22/01</v>
      </c>
      <c r="S11">
        <v>8153</v>
      </c>
      <c r="T11" t="s">
        <v>204</v>
      </c>
      <c r="U11">
        <v>8153</v>
      </c>
      <c r="V11">
        <v>0.65</v>
      </c>
      <c r="W11" s="1" t="str">
        <f t="shared" si="5"/>
        <v>15/01 a 016/01</v>
      </c>
      <c r="Y11">
        <v>8048</v>
      </c>
      <c r="Z11" t="s">
        <v>253</v>
      </c>
      <c r="AA11">
        <v>8048</v>
      </c>
      <c r="AB11">
        <v>1.53</v>
      </c>
      <c r="AC11" s="1" t="str">
        <f t="shared" si="6"/>
        <v>16/01 a 17/01</v>
      </c>
      <c r="AE11">
        <v>8048</v>
      </c>
      <c r="AF11" t="s">
        <v>253</v>
      </c>
      <c r="AG11">
        <v>8048</v>
      </c>
      <c r="AH11">
        <v>1.53</v>
      </c>
      <c r="AI11" s="1" t="str">
        <f t="shared" si="7"/>
        <v>17/01 a 18/01</v>
      </c>
      <c r="AK11">
        <v>7197</v>
      </c>
      <c r="AL11" t="s">
        <v>18</v>
      </c>
      <c r="AM11">
        <v>7197</v>
      </c>
      <c r="AN11">
        <v>0.41</v>
      </c>
      <c r="AO11" s="1" t="str">
        <f t="shared" si="8"/>
        <v>20/10 A 23/10</v>
      </c>
      <c r="AQ11">
        <v>104256</v>
      </c>
      <c r="AR11" t="s">
        <v>42</v>
      </c>
      <c r="AS11">
        <v>104256</v>
      </c>
      <c r="AT11">
        <v>4.67</v>
      </c>
      <c r="AU11" s="57">
        <v>280</v>
      </c>
      <c r="AV11" s="63">
        <f t="shared" si="0"/>
        <v>0.66714285714285715</v>
      </c>
      <c r="AW11" s="63">
        <f t="shared" si="1"/>
        <v>40</v>
      </c>
      <c r="AX11" s="53"/>
      <c r="AY11" s="55"/>
    </row>
    <row r="12" spans="1:52" x14ac:dyDescent="0.35">
      <c r="A12">
        <v>8166</v>
      </c>
      <c r="B12" t="s">
        <v>205</v>
      </c>
      <c r="C12">
        <v>8166</v>
      </c>
      <c r="D12">
        <v>1.51</v>
      </c>
      <c r="E12" s="1" t="str">
        <f t="shared" si="2"/>
        <v>19/01 a20/01</v>
      </c>
      <c r="G12">
        <v>8166</v>
      </c>
      <c r="H12" t="s">
        <v>205</v>
      </c>
      <c r="I12">
        <v>8166</v>
      </c>
      <c r="J12">
        <v>3.01</v>
      </c>
      <c r="K12" s="1" t="str">
        <f t="shared" si="3"/>
        <v>20/01 a 21/01</v>
      </c>
      <c r="M12">
        <v>8166</v>
      </c>
      <c r="N12" t="s">
        <v>205</v>
      </c>
      <c r="O12">
        <v>8166</v>
      </c>
      <c r="P12">
        <v>1.49</v>
      </c>
      <c r="Q12" s="1" t="str">
        <f t="shared" si="4"/>
        <v>21/01 a 22/01</v>
      </c>
      <c r="S12">
        <v>8172</v>
      </c>
      <c r="T12" t="s">
        <v>235</v>
      </c>
      <c r="U12">
        <v>8172</v>
      </c>
      <c r="V12">
        <v>0.44</v>
      </c>
      <c r="W12" s="1" t="str">
        <f t="shared" si="5"/>
        <v>15/01 a 016/01</v>
      </c>
      <c r="Y12">
        <v>8080</v>
      </c>
      <c r="Z12" t="s">
        <v>202</v>
      </c>
      <c r="AA12">
        <v>8080</v>
      </c>
      <c r="AB12">
        <v>0.16</v>
      </c>
      <c r="AC12" s="1" t="str">
        <f t="shared" si="6"/>
        <v>16/01 a 17/01</v>
      </c>
      <c r="AE12">
        <v>8089</v>
      </c>
      <c r="AF12" t="s">
        <v>203</v>
      </c>
      <c r="AG12">
        <v>8089</v>
      </c>
      <c r="AH12">
        <v>0.5</v>
      </c>
      <c r="AI12" s="1" t="str">
        <f t="shared" si="7"/>
        <v>17/01 a 18/01</v>
      </c>
      <c r="AK12">
        <v>7200</v>
      </c>
      <c r="AL12" t="s">
        <v>19</v>
      </c>
      <c r="AM12">
        <v>7200</v>
      </c>
      <c r="AN12">
        <v>1.1100000000000001</v>
      </c>
      <c r="AO12" s="1" t="str">
        <f t="shared" si="8"/>
        <v>20/10 A 23/10</v>
      </c>
      <c r="AQ12">
        <v>6944</v>
      </c>
      <c r="AR12" t="s">
        <v>119</v>
      </c>
      <c r="AS12">
        <v>6944</v>
      </c>
      <c r="AT12">
        <v>6.68</v>
      </c>
      <c r="AU12" s="57">
        <v>266.48</v>
      </c>
      <c r="AV12" s="63">
        <f t="shared" si="0"/>
        <v>0.95428571428571429</v>
      </c>
      <c r="AW12" s="63">
        <f t="shared" si="1"/>
        <v>38.068571428571431</v>
      </c>
      <c r="AX12" s="53"/>
      <c r="AY12" s="55"/>
    </row>
    <row r="13" spans="1:52" x14ac:dyDescent="0.35">
      <c r="A13">
        <v>8176</v>
      </c>
      <c r="B13" t="s">
        <v>282</v>
      </c>
      <c r="C13">
        <v>8176</v>
      </c>
      <c r="D13">
        <v>0.7</v>
      </c>
      <c r="E13" s="1" t="str">
        <f t="shared" si="2"/>
        <v>19/01 a20/01</v>
      </c>
      <c r="G13">
        <v>8172</v>
      </c>
      <c r="H13" t="s">
        <v>235</v>
      </c>
      <c r="I13">
        <v>8172</v>
      </c>
      <c r="J13">
        <v>1.18</v>
      </c>
      <c r="K13" s="1" t="str">
        <f t="shared" si="3"/>
        <v>20/01 a 21/01</v>
      </c>
      <c r="M13">
        <v>8172</v>
      </c>
      <c r="N13" t="s">
        <v>235</v>
      </c>
      <c r="O13">
        <v>8172</v>
      </c>
      <c r="P13">
        <v>1.56</v>
      </c>
      <c r="Q13" s="1" t="str">
        <f t="shared" si="4"/>
        <v>21/01 a 22/01</v>
      </c>
      <c r="S13">
        <v>8201</v>
      </c>
      <c r="T13" t="s">
        <v>263</v>
      </c>
      <c r="U13">
        <v>8201</v>
      </c>
      <c r="V13">
        <v>0.93</v>
      </c>
      <c r="W13" s="1" t="str">
        <f t="shared" si="5"/>
        <v>15/01 a 016/01</v>
      </c>
      <c r="Y13">
        <v>8089</v>
      </c>
      <c r="Z13" t="s">
        <v>203</v>
      </c>
      <c r="AA13">
        <v>8089</v>
      </c>
      <c r="AB13">
        <v>0.5</v>
      </c>
      <c r="AC13" s="1" t="str">
        <f t="shared" si="6"/>
        <v>16/01 a 17/01</v>
      </c>
      <c r="AE13">
        <v>8153</v>
      </c>
      <c r="AF13" t="s">
        <v>204</v>
      </c>
      <c r="AG13">
        <v>8153</v>
      </c>
      <c r="AH13">
        <v>1.04</v>
      </c>
      <c r="AI13" s="1" t="str">
        <f t="shared" si="7"/>
        <v>17/01 a 18/01</v>
      </c>
      <c r="AK13">
        <v>7213</v>
      </c>
      <c r="AL13" t="s">
        <v>20</v>
      </c>
      <c r="AM13">
        <v>7213</v>
      </c>
      <c r="AN13">
        <v>0.76</v>
      </c>
      <c r="AO13" s="1" t="str">
        <f t="shared" si="8"/>
        <v>20/10 A 23/10</v>
      </c>
      <c r="AQ13">
        <v>6975</v>
      </c>
      <c r="AR13" t="s">
        <v>82</v>
      </c>
      <c r="AS13">
        <v>6975</v>
      </c>
      <c r="AT13">
        <v>8.31</v>
      </c>
      <c r="AU13" s="57">
        <v>248.37</v>
      </c>
      <c r="AV13" s="63">
        <f t="shared" si="0"/>
        <v>1.1871428571428573</v>
      </c>
      <c r="AW13" s="63">
        <f t="shared" si="1"/>
        <v>35.481428571428573</v>
      </c>
      <c r="AX13" s="53"/>
      <c r="AY13" s="55"/>
    </row>
    <row r="14" spans="1:52" x14ac:dyDescent="0.35">
      <c r="A14">
        <v>8221</v>
      </c>
      <c r="B14" t="s">
        <v>188</v>
      </c>
      <c r="C14">
        <v>8221</v>
      </c>
      <c r="D14">
        <v>0.27</v>
      </c>
      <c r="E14" s="1" t="str">
        <f t="shared" si="2"/>
        <v>19/01 a20/01</v>
      </c>
      <c r="G14">
        <v>8176</v>
      </c>
      <c r="H14" t="s">
        <v>282</v>
      </c>
      <c r="I14">
        <v>8176</v>
      </c>
      <c r="J14">
        <v>1.39</v>
      </c>
      <c r="K14" s="1" t="str">
        <f t="shared" si="3"/>
        <v>20/01 a 21/01</v>
      </c>
      <c r="M14">
        <v>8176</v>
      </c>
      <c r="N14" t="s">
        <v>282</v>
      </c>
      <c r="O14">
        <v>8176</v>
      </c>
      <c r="P14">
        <v>1.01</v>
      </c>
      <c r="Q14" s="1" t="str">
        <f t="shared" si="4"/>
        <v>21/01 a 22/01</v>
      </c>
      <c r="S14">
        <v>8204</v>
      </c>
      <c r="T14" t="s">
        <v>259</v>
      </c>
      <c r="U14">
        <v>8204</v>
      </c>
      <c r="V14">
        <v>0.85</v>
      </c>
      <c r="W14" s="1" t="str">
        <f t="shared" si="5"/>
        <v>15/01 a 016/01</v>
      </c>
      <c r="Y14">
        <v>8153</v>
      </c>
      <c r="Z14" t="s">
        <v>204</v>
      </c>
      <c r="AA14">
        <v>8153</v>
      </c>
      <c r="AB14">
        <v>1.69</v>
      </c>
      <c r="AC14" s="1" t="str">
        <f t="shared" si="6"/>
        <v>16/01 a 17/01</v>
      </c>
      <c r="AE14">
        <v>8221</v>
      </c>
      <c r="AF14" t="s">
        <v>188</v>
      </c>
      <c r="AG14">
        <v>8221</v>
      </c>
      <c r="AH14">
        <v>0.35</v>
      </c>
      <c r="AI14" s="1" t="str">
        <f t="shared" si="7"/>
        <v>17/01 a 18/01</v>
      </c>
      <c r="AK14">
        <v>7241</v>
      </c>
      <c r="AL14" t="s">
        <v>21</v>
      </c>
      <c r="AM14">
        <v>7241</v>
      </c>
      <c r="AN14">
        <v>0.96</v>
      </c>
      <c r="AO14" s="1" t="str">
        <f t="shared" si="8"/>
        <v>20/10 A 23/10</v>
      </c>
      <c r="AQ14">
        <v>6951</v>
      </c>
      <c r="AR14" t="s">
        <v>75</v>
      </c>
      <c r="AS14">
        <v>6951</v>
      </c>
      <c r="AT14">
        <v>7.35</v>
      </c>
      <c r="AU14" s="57">
        <v>241.98</v>
      </c>
      <c r="AV14" s="63">
        <f t="shared" si="0"/>
        <v>1.05</v>
      </c>
      <c r="AW14" s="63">
        <f t="shared" si="1"/>
        <v>34.568571428571424</v>
      </c>
      <c r="AX14" s="53"/>
      <c r="AY14" s="55"/>
    </row>
    <row r="15" spans="1:52" x14ac:dyDescent="0.35">
      <c r="A15">
        <v>8292</v>
      </c>
      <c r="B15" t="s">
        <v>283</v>
      </c>
      <c r="C15">
        <v>8292</v>
      </c>
      <c r="D15">
        <v>0.98</v>
      </c>
      <c r="E15" s="1" t="str">
        <f t="shared" si="2"/>
        <v>19/01 a20/01</v>
      </c>
      <c r="G15">
        <v>8221</v>
      </c>
      <c r="H15" t="s">
        <v>188</v>
      </c>
      <c r="I15">
        <v>8221</v>
      </c>
      <c r="J15">
        <v>0.75</v>
      </c>
      <c r="K15" s="1" t="str">
        <f t="shared" si="3"/>
        <v>20/01 a 21/01</v>
      </c>
      <c r="M15">
        <v>8204</v>
      </c>
      <c r="N15" t="s">
        <v>259</v>
      </c>
      <c r="O15">
        <v>8204</v>
      </c>
      <c r="P15">
        <v>0.33</v>
      </c>
      <c r="Q15" s="1" t="str">
        <f t="shared" si="4"/>
        <v>21/01 a 22/01</v>
      </c>
      <c r="S15">
        <v>8221</v>
      </c>
      <c r="T15" t="s">
        <v>188</v>
      </c>
      <c r="U15">
        <v>8221</v>
      </c>
      <c r="V15">
        <v>0.35</v>
      </c>
      <c r="W15" s="1" t="str">
        <f t="shared" si="5"/>
        <v>15/01 a 016/01</v>
      </c>
      <c r="Y15">
        <v>8221</v>
      </c>
      <c r="Z15" t="s">
        <v>188</v>
      </c>
      <c r="AA15">
        <v>8221</v>
      </c>
      <c r="AB15">
        <v>0.7</v>
      </c>
      <c r="AC15" s="1" t="str">
        <f t="shared" si="6"/>
        <v>16/01 a 17/01</v>
      </c>
      <c r="AE15">
        <v>8281</v>
      </c>
      <c r="AF15" t="s">
        <v>233</v>
      </c>
      <c r="AG15">
        <v>8281</v>
      </c>
      <c r="AH15">
        <v>0.16</v>
      </c>
      <c r="AI15" s="1" t="str">
        <f t="shared" si="7"/>
        <v>17/01 a 18/01</v>
      </c>
      <c r="AK15">
        <v>7245</v>
      </c>
      <c r="AL15" t="s">
        <v>22</v>
      </c>
      <c r="AM15">
        <v>7245</v>
      </c>
      <c r="AN15">
        <v>0.15</v>
      </c>
      <c r="AO15" s="1" t="str">
        <f t="shared" si="8"/>
        <v>20/10 A 23/10</v>
      </c>
      <c r="AQ15">
        <v>95804</v>
      </c>
      <c r="AR15" t="s">
        <v>80</v>
      </c>
      <c r="AS15">
        <v>95804</v>
      </c>
      <c r="AT15">
        <v>7.07</v>
      </c>
      <c r="AU15" s="57">
        <v>232.63</v>
      </c>
      <c r="AV15" s="63">
        <f t="shared" si="0"/>
        <v>1.01</v>
      </c>
      <c r="AW15" s="63">
        <f t="shared" si="1"/>
        <v>33.232857142857142</v>
      </c>
      <c r="AX15" s="53"/>
      <c r="AY15" s="55"/>
    </row>
    <row r="16" spans="1:52" x14ac:dyDescent="0.35">
      <c r="A16">
        <v>8323</v>
      </c>
      <c r="B16" t="s">
        <v>206</v>
      </c>
      <c r="C16">
        <v>8323</v>
      </c>
      <c r="D16">
        <v>1.24</v>
      </c>
      <c r="E16" s="1" t="str">
        <f t="shared" si="2"/>
        <v>19/01 a20/01</v>
      </c>
      <c r="G16">
        <v>8237</v>
      </c>
      <c r="H16" t="s">
        <v>290</v>
      </c>
      <c r="I16">
        <v>8237</v>
      </c>
      <c r="J16">
        <v>0.13</v>
      </c>
      <c r="K16" s="1" t="str">
        <f t="shared" si="3"/>
        <v>20/01 a 21/01</v>
      </c>
      <c r="M16">
        <v>8221</v>
      </c>
      <c r="N16" t="s">
        <v>188</v>
      </c>
      <c r="O16">
        <v>8221</v>
      </c>
      <c r="P16">
        <v>1.02</v>
      </c>
      <c r="Q16" s="1" t="str">
        <f t="shared" si="4"/>
        <v>21/01 a 22/01</v>
      </c>
      <c r="S16">
        <v>8323</v>
      </c>
      <c r="T16" t="s">
        <v>206</v>
      </c>
      <c r="U16">
        <v>8323</v>
      </c>
      <c r="V16">
        <v>0.94</v>
      </c>
      <c r="W16" s="1" t="str">
        <f t="shared" si="5"/>
        <v>15/01 a 016/01</v>
      </c>
      <c r="Y16">
        <v>8519</v>
      </c>
      <c r="Z16" t="s">
        <v>272</v>
      </c>
      <c r="AA16">
        <v>8519</v>
      </c>
      <c r="AB16">
        <v>1.83</v>
      </c>
      <c r="AC16" s="1" t="str">
        <f t="shared" si="6"/>
        <v>16/01 a 17/01</v>
      </c>
      <c r="AE16">
        <v>8519</v>
      </c>
      <c r="AF16" t="s">
        <v>272</v>
      </c>
      <c r="AG16">
        <v>8519</v>
      </c>
      <c r="AH16">
        <v>2.12</v>
      </c>
      <c r="AI16" s="1" t="str">
        <f t="shared" si="7"/>
        <v>17/01 a 18/01</v>
      </c>
      <c r="AK16">
        <v>7254</v>
      </c>
      <c r="AL16" t="s">
        <v>23</v>
      </c>
      <c r="AM16">
        <v>7254</v>
      </c>
      <c r="AN16">
        <v>0.62</v>
      </c>
      <c r="AO16" s="1" t="str">
        <f t="shared" si="8"/>
        <v>20/10 A 23/10</v>
      </c>
      <c r="AQ16">
        <v>7455</v>
      </c>
      <c r="AR16" t="s">
        <v>67</v>
      </c>
      <c r="AS16">
        <v>7455</v>
      </c>
      <c r="AT16">
        <v>32</v>
      </c>
      <c r="AU16" s="57">
        <v>223.68</v>
      </c>
      <c r="AV16" s="63">
        <f t="shared" si="0"/>
        <v>4.5714285714285712</v>
      </c>
      <c r="AW16" s="63">
        <f t="shared" si="1"/>
        <v>31.954285714285714</v>
      </c>
      <c r="AX16" s="53"/>
      <c r="AY16" s="55"/>
    </row>
    <row r="17" spans="1:51" x14ac:dyDescent="0.35">
      <c r="A17">
        <v>8328</v>
      </c>
      <c r="B17" t="s">
        <v>207</v>
      </c>
      <c r="C17">
        <v>8328</v>
      </c>
      <c r="D17">
        <v>0.75</v>
      </c>
      <c r="E17" s="1" t="str">
        <f t="shared" si="2"/>
        <v>19/01 a20/01</v>
      </c>
      <c r="G17">
        <v>8323</v>
      </c>
      <c r="H17" t="s">
        <v>206</v>
      </c>
      <c r="I17">
        <v>8323</v>
      </c>
      <c r="J17">
        <v>1.08</v>
      </c>
      <c r="K17" s="1" t="str">
        <f t="shared" si="3"/>
        <v>20/01 a 21/01</v>
      </c>
      <c r="M17">
        <v>8237</v>
      </c>
      <c r="N17" t="s">
        <v>290</v>
      </c>
      <c r="O17">
        <v>8237</v>
      </c>
      <c r="P17">
        <v>0.4</v>
      </c>
      <c r="Q17" s="1" t="str">
        <f t="shared" si="4"/>
        <v>21/01 a 22/01</v>
      </c>
      <c r="S17">
        <v>8328</v>
      </c>
      <c r="T17" t="s">
        <v>207</v>
      </c>
      <c r="U17">
        <v>8328</v>
      </c>
      <c r="V17">
        <v>2.16</v>
      </c>
      <c r="W17" s="1" t="str">
        <f t="shared" si="5"/>
        <v>15/01 a 016/01</v>
      </c>
      <c r="Y17">
        <v>8298</v>
      </c>
      <c r="Z17" t="s">
        <v>242</v>
      </c>
      <c r="AA17">
        <v>8298</v>
      </c>
      <c r="AB17">
        <v>1.96</v>
      </c>
      <c r="AC17" s="1" t="str">
        <f t="shared" si="6"/>
        <v>16/01 a 17/01</v>
      </c>
      <c r="AE17">
        <v>8298</v>
      </c>
      <c r="AF17" t="s">
        <v>242</v>
      </c>
      <c r="AG17">
        <v>8298</v>
      </c>
      <c r="AH17">
        <v>1.96</v>
      </c>
      <c r="AI17" s="1" t="str">
        <f t="shared" si="7"/>
        <v>17/01 a 18/01</v>
      </c>
      <c r="AK17">
        <v>7302</v>
      </c>
      <c r="AL17" t="s">
        <v>24</v>
      </c>
      <c r="AM17">
        <v>7302</v>
      </c>
      <c r="AN17">
        <v>0.85</v>
      </c>
      <c r="AO17" s="1" t="str">
        <f t="shared" si="8"/>
        <v>20/10 A 23/10</v>
      </c>
      <c r="AQ17">
        <v>104255</v>
      </c>
      <c r="AR17" t="s">
        <v>41</v>
      </c>
      <c r="AS17">
        <v>104255</v>
      </c>
      <c r="AT17">
        <v>3.57</v>
      </c>
      <c r="AU17" s="57">
        <v>213.7</v>
      </c>
      <c r="AV17" s="63">
        <f t="shared" si="0"/>
        <v>0.51</v>
      </c>
      <c r="AW17" s="63">
        <f t="shared" si="1"/>
        <v>30.528571428571428</v>
      </c>
      <c r="AX17" s="53"/>
      <c r="AY17" s="55"/>
    </row>
    <row r="18" spans="1:51" x14ac:dyDescent="0.35">
      <c r="A18">
        <v>8336</v>
      </c>
      <c r="B18" t="s">
        <v>231</v>
      </c>
      <c r="C18">
        <v>8336</v>
      </c>
      <c r="D18">
        <v>2.11</v>
      </c>
      <c r="E18" s="1" t="str">
        <f t="shared" si="2"/>
        <v>19/01 a20/01</v>
      </c>
      <c r="G18">
        <v>8328</v>
      </c>
      <c r="H18" t="s">
        <v>207</v>
      </c>
      <c r="I18">
        <v>8328</v>
      </c>
      <c r="J18">
        <v>0.75</v>
      </c>
      <c r="K18" s="1" t="str">
        <f t="shared" si="3"/>
        <v>20/01 a 21/01</v>
      </c>
      <c r="M18">
        <v>8323</v>
      </c>
      <c r="N18" t="s">
        <v>206</v>
      </c>
      <c r="O18">
        <v>8323</v>
      </c>
      <c r="P18">
        <v>1.02</v>
      </c>
      <c r="Q18" s="1" t="str">
        <f t="shared" si="4"/>
        <v>21/01 a 22/01</v>
      </c>
      <c r="S18">
        <v>8349</v>
      </c>
      <c r="T18" t="s">
        <v>239</v>
      </c>
      <c r="U18">
        <v>8349</v>
      </c>
      <c r="V18">
        <v>1.1100000000000001</v>
      </c>
      <c r="W18" s="1" t="str">
        <f t="shared" si="5"/>
        <v>15/01 a 016/01</v>
      </c>
      <c r="Y18">
        <v>8323</v>
      </c>
      <c r="Z18" t="s">
        <v>206</v>
      </c>
      <c r="AA18">
        <v>8323</v>
      </c>
      <c r="AB18">
        <v>1.67</v>
      </c>
      <c r="AC18" s="1" t="str">
        <f t="shared" si="6"/>
        <v>16/01 a 17/01</v>
      </c>
      <c r="AE18">
        <v>8323</v>
      </c>
      <c r="AF18" t="s">
        <v>206</v>
      </c>
      <c r="AG18">
        <v>8323</v>
      </c>
      <c r="AH18">
        <v>5.81</v>
      </c>
      <c r="AI18" s="1" t="str">
        <f t="shared" si="7"/>
        <v>17/01 a 18/01</v>
      </c>
      <c r="AK18">
        <v>6590</v>
      </c>
      <c r="AL18" t="s">
        <v>25</v>
      </c>
      <c r="AM18">
        <v>6590</v>
      </c>
      <c r="AN18">
        <v>3.02</v>
      </c>
      <c r="AO18" s="1" t="str">
        <f t="shared" si="8"/>
        <v>20/10 A 23/10</v>
      </c>
      <c r="AQ18">
        <v>7355</v>
      </c>
      <c r="AR18" t="s">
        <v>29</v>
      </c>
      <c r="AS18">
        <v>7355</v>
      </c>
      <c r="AT18">
        <v>3.37</v>
      </c>
      <c r="AU18" s="57">
        <v>212.29</v>
      </c>
      <c r="AV18" s="63">
        <f t="shared" si="0"/>
        <v>0.48142857142857143</v>
      </c>
      <c r="AW18" s="63">
        <f t="shared" si="1"/>
        <v>30.327142857142857</v>
      </c>
      <c r="AX18" s="53"/>
      <c r="AY18" s="55"/>
    </row>
    <row r="19" spans="1:51" x14ac:dyDescent="0.35">
      <c r="A19">
        <v>8361</v>
      </c>
      <c r="B19" t="s">
        <v>236</v>
      </c>
      <c r="C19">
        <v>8361</v>
      </c>
      <c r="D19">
        <v>0.44</v>
      </c>
      <c r="E19" s="1" t="str">
        <f t="shared" si="2"/>
        <v>19/01 a20/01</v>
      </c>
      <c r="G19">
        <v>8349</v>
      </c>
      <c r="H19" t="s">
        <v>239</v>
      </c>
      <c r="I19">
        <v>8349</v>
      </c>
      <c r="J19">
        <v>0.28000000000000003</v>
      </c>
      <c r="K19" s="1" t="str">
        <f t="shared" si="3"/>
        <v>20/01 a 21/01</v>
      </c>
      <c r="M19">
        <v>8328</v>
      </c>
      <c r="N19" t="s">
        <v>207</v>
      </c>
      <c r="O19">
        <v>8328</v>
      </c>
      <c r="P19">
        <v>0.19</v>
      </c>
      <c r="Q19" s="1" t="str">
        <f t="shared" si="4"/>
        <v>21/01 a 22/01</v>
      </c>
      <c r="S19">
        <v>8361</v>
      </c>
      <c r="T19" t="s">
        <v>236</v>
      </c>
      <c r="U19">
        <v>8361</v>
      </c>
      <c r="V19">
        <v>1.6</v>
      </c>
      <c r="W19" s="1" t="str">
        <f t="shared" si="5"/>
        <v>15/01 a 016/01</v>
      </c>
      <c r="Y19">
        <v>8328</v>
      </c>
      <c r="Z19" t="s">
        <v>207</v>
      </c>
      <c r="AA19">
        <v>8328</v>
      </c>
      <c r="AB19">
        <v>0.61</v>
      </c>
      <c r="AC19" s="1" t="str">
        <f t="shared" si="6"/>
        <v>16/01 a 17/01</v>
      </c>
      <c r="AE19">
        <v>8336</v>
      </c>
      <c r="AF19" t="s">
        <v>231</v>
      </c>
      <c r="AG19">
        <v>8336</v>
      </c>
      <c r="AH19">
        <v>3.34</v>
      </c>
      <c r="AI19" s="1" t="str">
        <f t="shared" si="7"/>
        <v>17/01 a 18/01</v>
      </c>
      <c r="AK19">
        <v>6643</v>
      </c>
      <c r="AL19" t="s">
        <v>26</v>
      </c>
      <c r="AM19">
        <v>6643</v>
      </c>
      <c r="AN19">
        <v>1.98</v>
      </c>
      <c r="AO19" s="1" t="str">
        <f t="shared" si="8"/>
        <v>20/10 A 23/10</v>
      </c>
      <c r="AQ19">
        <v>7386</v>
      </c>
      <c r="AR19" t="s">
        <v>32</v>
      </c>
      <c r="AS19">
        <v>7386</v>
      </c>
      <c r="AT19">
        <v>3.52</v>
      </c>
      <c r="AU19" s="57">
        <v>211.12</v>
      </c>
      <c r="AV19" s="63">
        <f t="shared" si="0"/>
        <v>0.50285714285714289</v>
      </c>
      <c r="AW19" s="63">
        <f t="shared" si="1"/>
        <v>30.16</v>
      </c>
      <c r="AX19" s="53"/>
      <c r="AY19" s="55"/>
    </row>
    <row r="20" spans="1:51" x14ac:dyDescent="0.35">
      <c r="A20">
        <v>8386</v>
      </c>
      <c r="B20" t="s">
        <v>284</v>
      </c>
      <c r="C20">
        <v>8386</v>
      </c>
      <c r="D20">
        <v>0.17</v>
      </c>
      <c r="E20" s="1" t="str">
        <f t="shared" si="2"/>
        <v>19/01 a20/01</v>
      </c>
      <c r="G20">
        <v>8361</v>
      </c>
      <c r="H20" t="s">
        <v>236</v>
      </c>
      <c r="I20">
        <v>8361</v>
      </c>
      <c r="J20">
        <v>0.25</v>
      </c>
      <c r="K20" s="1" t="str">
        <f t="shared" si="3"/>
        <v>20/01 a 21/01</v>
      </c>
      <c r="M20">
        <v>8345</v>
      </c>
      <c r="N20" t="s">
        <v>294</v>
      </c>
      <c r="O20">
        <v>8345</v>
      </c>
      <c r="P20">
        <v>1.37</v>
      </c>
      <c r="Q20" s="1" t="str">
        <f t="shared" si="4"/>
        <v>21/01 a 22/01</v>
      </c>
      <c r="S20">
        <v>8381</v>
      </c>
      <c r="T20" t="s">
        <v>227</v>
      </c>
      <c r="U20">
        <v>8381</v>
      </c>
      <c r="V20">
        <v>1.04</v>
      </c>
      <c r="W20" s="1" t="str">
        <f t="shared" si="5"/>
        <v>15/01 a 016/01</v>
      </c>
      <c r="Y20">
        <v>8336</v>
      </c>
      <c r="Z20" t="s">
        <v>231</v>
      </c>
      <c r="AA20">
        <v>8336</v>
      </c>
      <c r="AB20">
        <v>2.96</v>
      </c>
      <c r="AC20" s="1" t="str">
        <f t="shared" si="6"/>
        <v>16/01 a 17/01</v>
      </c>
      <c r="AE20">
        <v>8349</v>
      </c>
      <c r="AF20" t="s">
        <v>239</v>
      </c>
      <c r="AG20">
        <v>8349</v>
      </c>
      <c r="AH20">
        <v>2.33</v>
      </c>
      <c r="AI20" s="1" t="str">
        <f t="shared" si="7"/>
        <v>17/01 a 18/01</v>
      </c>
      <c r="AK20">
        <v>4568</v>
      </c>
      <c r="AL20" t="s">
        <v>27</v>
      </c>
      <c r="AM20">
        <v>4568</v>
      </c>
      <c r="AN20">
        <v>0.33</v>
      </c>
      <c r="AO20" s="1" t="str">
        <f t="shared" si="8"/>
        <v>20/10 A 23/10</v>
      </c>
      <c r="AQ20">
        <v>7315</v>
      </c>
      <c r="AR20" t="s">
        <v>28</v>
      </c>
      <c r="AS20">
        <v>7315</v>
      </c>
      <c r="AT20">
        <v>3.51</v>
      </c>
      <c r="AU20" s="57">
        <v>192.61</v>
      </c>
      <c r="AV20" s="63">
        <f t="shared" si="0"/>
        <v>0.50142857142857145</v>
      </c>
      <c r="AW20" s="63">
        <f t="shared" si="1"/>
        <v>27.515714285714289</v>
      </c>
      <c r="AX20" s="53"/>
      <c r="AY20" s="55"/>
    </row>
    <row r="21" spans="1:51" x14ac:dyDescent="0.35">
      <c r="A21">
        <v>9124</v>
      </c>
      <c r="B21" t="s">
        <v>209</v>
      </c>
      <c r="C21">
        <v>9124</v>
      </c>
      <c r="D21">
        <v>8</v>
      </c>
      <c r="E21" s="1" t="str">
        <f t="shared" si="2"/>
        <v>19/01 a20/01</v>
      </c>
      <c r="G21">
        <v>8386</v>
      </c>
      <c r="H21" t="s">
        <v>284</v>
      </c>
      <c r="I21">
        <v>8386</v>
      </c>
      <c r="J21">
        <v>0.34</v>
      </c>
      <c r="K21" s="1" t="str">
        <f t="shared" si="3"/>
        <v>20/01 a 21/01</v>
      </c>
      <c r="M21">
        <v>8349</v>
      </c>
      <c r="N21" t="s">
        <v>239</v>
      </c>
      <c r="O21">
        <v>8349</v>
      </c>
      <c r="P21">
        <v>0.81</v>
      </c>
      <c r="Q21" s="1" t="str">
        <f t="shared" si="4"/>
        <v>21/01 a 22/01</v>
      </c>
      <c r="S21">
        <v>9124</v>
      </c>
      <c r="T21" t="s">
        <v>209</v>
      </c>
      <c r="U21">
        <v>9124</v>
      </c>
      <c r="V21">
        <v>8</v>
      </c>
      <c r="W21" s="1" t="str">
        <f t="shared" si="5"/>
        <v>15/01 a 016/01</v>
      </c>
      <c r="Y21">
        <v>8349</v>
      </c>
      <c r="Z21" t="s">
        <v>239</v>
      </c>
      <c r="AA21">
        <v>8349</v>
      </c>
      <c r="AB21">
        <v>1.42</v>
      </c>
      <c r="AC21" s="1" t="str">
        <f t="shared" si="6"/>
        <v>16/01 a 17/01</v>
      </c>
      <c r="AE21">
        <v>8361</v>
      </c>
      <c r="AF21" t="s">
        <v>236</v>
      </c>
      <c r="AG21">
        <v>8361</v>
      </c>
      <c r="AH21">
        <v>1.23</v>
      </c>
      <c r="AI21" s="1" t="str">
        <f t="shared" si="7"/>
        <v>17/01 a 18/01</v>
      </c>
      <c r="AK21">
        <v>7315</v>
      </c>
      <c r="AL21" t="s">
        <v>28</v>
      </c>
      <c r="AM21">
        <v>7315</v>
      </c>
      <c r="AN21">
        <v>1.1399999999999999</v>
      </c>
      <c r="AO21" s="1" t="str">
        <f t="shared" si="8"/>
        <v>20/10 A 23/10</v>
      </c>
      <c r="AQ21">
        <v>7478</v>
      </c>
      <c r="AR21" t="s">
        <v>126</v>
      </c>
      <c r="AS21">
        <v>7478</v>
      </c>
      <c r="AT21">
        <v>3.9</v>
      </c>
      <c r="AU21" s="57">
        <v>175.29</v>
      </c>
      <c r="AV21" s="63">
        <f t="shared" si="0"/>
        <v>0.55714285714285716</v>
      </c>
      <c r="AW21" s="63">
        <f t="shared" si="1"/>
        <v>25.041428571428572</v>
      </c>
      <c r="AX21" s="53"/>
      <c r="AY21" s="55"/>
    </row>
    <row r="22" spans="1:51" x14ac:dyDescent="0.35">
      <c r="A22">
        <v>8391</v>
      </c>
      <c r="B22" t="s">
        <v>210</v>
      </c>
      <c r="C22">
        <v>8391</v>
      </c>
      <c r="D22">
        <v>0.12</v>
      </c>
      <c r="E22" s="1" t="str">
        <f t="shared" si="2"/>
        <v>19/01 a20/01</v>
      </c>
      <c r="G22">
        <v>9124</v>
      </c>
      <c r="H22" t="s">
        <v>209</v>
      </c>
      <c r="I22">
        <v>9124</v>
      </c>
      <c r="J22">
        <v>7</v>
      </c>
      <c r="K22" s="1" t="str">
        <f t="shared" si="3"/>
        <v>20/01 a 21/01</v>
      </c>
      <c r="M22">
        <v>8361</v>
      </c>
      <c r="N22" t="s">
        <v>236</v>
      </c>
      <c r="O22">
        <v>8361</v>
      </c>
      <c r="P22">
        <v>0.8</v>
      </c>
      <c r="Q22" s="1" t="str">
        <f t="shared" si="4"/>
        <v>21/01 a 22/01</v>
      </c>
      <c r="S22">
        <v>8390</v>
      </c>
      <c r="T22" t="s">
        <v>267</v>
      </c>
      <c r="U22">
        <v>8390</v>
      </c>
      <c r="V22">
        <v>0.77</v>
      </c>
      <c r="W22" s="1" t="str">
        <f t="shared" si="5"/>
        <v>15/01 a 016/01</v>
      </c>
      <c r="Y22">
        <v>8361</v>
      </c>
      <c r="Z22" t="s">
        <v>236</v>
      </c>
      <c r="AA22">
        <v>8361</v>
      </c>
      <c r="AB22">
        <v>1.08</v>
      </c>
      <c r="AC22" s="1" t="str">
        <f t="shared" si="6"/>
        <v>16/01 a 17/01</v>
      </c>
      <c r="AE22">
        <v>8381</v>
      </c>
      <c r="AF22" t="s">
        <v>227</v>
      </c>
      <c r="AG22">
        <v>8381</v>
      </c>
      <c r="AH22">
        <v>0.43</v>
      </c>
      <c r="AI22" s="1" t="str">
        <f t="shared" si="7"/>
        <v>17/01 a 18/01</v>
      </c>
      <c r="AK22">
        <v>7355</v>
      </c>
      <c r="AL22" t="s">
        <v>29</v>
      </c>
      <c r="AM22">
        <v>7355</v>
      </c>
      <c r="AN22">
        <v>2.92</v>
      </c>
      <c r="AO22" s="1" t="str">
        <f t="shared" si="8"/>
        <v>20/10 A 23/10</v>
      </c>
      <c r="AQ22">
        <v>7385</v>
      </c>
      <c r="AR22" t="s">
        <v>31</v>
      </c>
      <c r="AS22">
        <v>7385</v>
      </c>
      <c r="AT22">
        <v>3.07</v>
      </c>
      <c r="AU22" s="57">
        <v>168.45</v>
      </c>
      <c r="AV22" s="63">
        <f t="shared" si="0"/>
        <v>0.43857142857142856</v>
      </c>
      <c r="AW22" s="63">
        <f t="shared" si="1"/>
        <v>24.064285714285713</v>
      </c>
      <c r="AX22" s="53"/>
      <c r="AY22" s="55"/>
    </row>
    <row r="23" spans="1:51" x14ac:dyDescent="0.35">
      <c r="A23">
        <v>8403</v>
      </c>
      <c r="B23" t="s">
        <v>285</v>
      </c>
      <c r="C23">
        <v>8403</v>
      </c>
      <c r="D23">
        <v>0.25</v>
      </c>
      <c r="E23" s="1" t="str">
        <f t="shared" si="2"/>
        <v>19/01 a20/01</v>
      </c>
      <c r="G23">
        <v>8391</v>
      </c>
      <c r="H23" t="s">
        <v>210</v>
      </c>
      <c r="I23">
        <v>8391</v>
      </c>
      <c r="J23">
        <v>0.12</v>
      </c>
      <c r="K23" s="1" t="str">
        <f t="shared" si="3"/>
        <v>20/01 a 21/01</v>
      </c>
      <c r="M23">
        <v>8386</v>
      </c>
      <c r="N23" t="s">
        <v>284</v>
      </c>
      <c r="O23">
        <v>8386</v>
      </c>
      <c r="P23">
        <v>0.35</v>
      </c>
      <c r="Q23" s="1" t="str">
        <f t="shared" si="4"/>
        <v>21/01 a 22/01</v>
      </c>
      <c r="S23">
        <v>8424</v>
      </c>
      <c r="T23" t="s">
        <v>213</v>
      </c>
      <c r="U23">
        <v>8424</v>
      </c>
      <c r="V23">
        <v>0.93</v>
      </c>
      <c r="W23" s="1" t="str">
        <f t="shared" si="5"/>
        <v>15/01 a 016/01</v>
      </c>
      <c r="Y23">
        <v>8381</v>
      </c>
      <c r="Z23" t="s">
        <v>227</v>
      </c>
      <c r="AA23">
        <v>8381</v>
      </c>
      <c r="AB23">
        <v>1.47</v>
      </c>
      <c r="AC23" s="1" t="str">
        <f t="shared" si="6"/>
        <v>16/01 a 17/01</v>
      </c>
      <c r="AE23">
        <v>8385</v>
      </c>
      <c r="AF23" t="s">
        <v>208</v>
      </c>
      <c r="AG23">
        <v>8385</v>
      </c>
      <c r="AH23">
        <v>0.35</v>
      </c>
      <c r="AI23" s="1" t="str">
        <f t="shared" si="7"/>
        <v>17/01 a 18/01</v>
      </c>
      <c r="AK23">
        <v>7381</v>
      </c>
      <c r="AL23" t="s">
        <v>30</v>
      </c>
      <c r="AM23">
        <v>7381</v>
      </c>
      <c r="AN23">
        <v>2.41</v>
      </c>
      <c r="AO23" s="1" t="str">
        <f t="shared" si="8"/>
        <v>20/10 A 23/10</v>
      </c>
      <c r="AQ23">
        <v>7530</v>
      </c>
      <c r="AR23" t="s">
        <v>117</v>
      </c>
      <c r="AS23">
        <v>7530</v>
      </c>
      <c r="AT23">
        <v>2.93</v>
      </c>
      <c r="AU23" s="57">
        <v>134.59</v>
      </c>
      <c r="AV23" s="63">
        <f t="shared" si="0"/>
        <v>0.41857142857142859</v>
      </c>
      <c r="AW23" s="63">
        <f t="shared" si="1"/>
        <v>19.227142857142859</v>
      </c>
      <c r="AX23" s="53"/>
      <c r="AY23" s="55"/>
    </row>
    <row r="24" spans="1:51" x14ac:dyDescent="0.35">
      <c r="A24">
        <v>8409</v>
      </c>
      <c r="B24" t="s">
        <v>211</v>
      </c>
      <c r="C24">
        <v>8409</v>
      </c>
      <c r="D24">
        <v>0.42</v>
      </c>
      <c r="E24" s="1" t="str">
        <f t="shared" si="2"/>
        <v>19/01 a20/01</v>
      </c>
      <c r="G24">
        <v>8400</v>
      </c>
      <c r="H24" t="s">
        <v>248</v>
      </c>
      <c r="I24">
        <v>8400</v>
      </c>
      <c r="J24">
        <v>0.8</v>
      </c>
      <c r="K24" s="1" t="str">
        <f t="shared" si="3"/>
        <v>20/01 a 21/01</v>
      </c>
      <c r="M24">
        <v>9124</v>
      </c>
      <c r="N24" t="s">
        <v>209</v>
      </c>
      <c r="O24">
        <v>9124</v>
      </c>
      <c r="P24">
        <v>2</v>
      </c>
      <c r="Q24" s="1" t="str">
        <f t="shared" si="4"/>
        <v>21/01 a 22/01</v>
      </c>
      <c r="S24">
        <v>93626</v>
      </c>
      <c r="T24" t="s">
        <v>189</v>
      </c>
      <c r="U24">
        <v>93626</v>
      </c>
      <c r="V24">
        <v>2.0299999999999998</v>
      </c>
      <c r="W24" s="1" t="str">
        <f t="shared" si="5"/>
        <v>15/01 a 016/01</v>
      </c>
      <c r="Y24">
        <v>8385</v>
      </c>
      <c r="Z24" t="s">
        <v>208</v>
      </c>
      <c r="AA24">
        <v>8385</v>
      </c>
      <c r="AB24">
        <v>0.35</v>
      </c>
      <c r="AC24" s="1" t="str">
        <f t="shared" si="6"/>
        <v>16/01 a 17/01</v>
      </c>
      <c r="AE24">
        <v>9124</v>
      </c>
      <c r="AF24" t="s">
        <v>209</v>
      </c>
      <c r="AG24">
        <v>9124</v>
      </c>
      <c r="AH24">
        <v>8</v>
      </c>
      <c r="AI24" s="1" t="str">
        <f t="shared" si="7"/>
        <v>17/01 a 18/01</v>
      </c>
      <c r="AK24">
        <v>7385</v>
      </c>
      <c r="AL24" t="s">
        <v>31</v>
      </c>
      <c r="AM24">
        <v>7385</v>
      </c>
      <c r="AN24">
        <v>2.0499999999999998</v>
      </c>
      <c r="AO24" s="1" t="str">
        <f t="shared" si="8"/>
        <v>20/10 A 23/10</v>
      </c>
      <c r="AQ24">
        <v>7132</v>
      </c>
      <c r="AR24" t="s">
        <v>114</v>
      </c>
      <c r="AS24">
        <v>7132</v>
      </c>
      <c r="AT24">
        <v>3.33</v>
      </c>
      <c r="AU24" s="57">
        <v>132.78</v>
      </c>
      <c r="AV24" s="63">
        <f t="shared" si="0"/>
        <v>0.4757142857142857</v>
      </c>
      <c r="AW24" s="63">
        <f t="shared" si="1"/>
        <v>18.96857142857143</v>
      </c>
      <c r="AX24" s="53"/>
      <c r="AY24" s="55"/>
    </row>
    <row r="25" spans="1:51" x14ac:dyDescent="0.35">
      <c r="A25">
        <v>8416</v>
      </c>
      <c r="B25" t="s">
        <v>212</v>
      </c>
      <c r="C25">
        <v>8416</v>
      </c>
      <c r="D25">
        <v>0.45</v>
      </c>
      <c r="E25" s="1" t="str">
        <f t="shared" si="2"/>
        <v>19/01 a20/01</v>
      </c>
      <c r="G25">
        <v>8409</v>
      </c>
      <c r="H25" t="s">
        <v>211</v>
      </c>
      <c r="I25">
        <v>8409</v>
      </c>
      <c r="J25">
        <v>0.31</v>
      </c>
      <c r="K25" s="1" t="str">
        <f t="shared" si="3"/>
        <v>20/01 a 21/01</v>
      </c>
      <c r="M25">
        <v>8400</v>
      </c>
      <c r="N25" t="s">
        <v>248</v>
      </c>
      <c r="O25">
        <v>8400</v>
      </c>
      <c r="P25">
        <v>2.5499999999999998</v>
      </c>
      <c r="Q25" s="1" t="str">
        <f t="shared" si="4"/>
        <v>21/01 a 22/01</v>
      </c>
      <c r="S25">
        <v>8442</v>
      </c>
      <c r="T25" t="s">
        <v>214</v>
      </c>
      <c r="U25">
        <v>8442</v>
      </c>
      <c r="V25">
        <v>1.75</v>
      </c>
      <c r="W25" s="1" t="str">
        <f t="shared" si="5"/>
        <v>15/01 a 016/01</v>
      </c>
      <c r="Y25">
        <v>9124</v>
      </c>
      <c r="Z25" t="s">
        <v>209</v>
      </c>
      <c r="AA25">
        <v>9124</v>
      </c>
      <c r="AB25">
        <v>11</v>
      </c>
      <c r="AC25" s="1" t="str">
        <f t="shared" si="6"/>
        <v>16/01 a 17/01</v>
      </c>
      <c r="AE25">
        <v>8391</v>
      </c>
      <c r="AF25" t="s">
        <v>210</v>
      </c>
      <c r="AG25">
        <v>8391</v>
      </c>
      <c r="AH25">
        <v>0.12</v>
      </c>
      <c r="AI25" s="1" t="str">
        <f t="shared" si="7"/>
        <v>17/01 a 18/01</v>
      </c>
      <c r="AK25">
        <v>7386</v>
      </c>
      <c r="AL25" t="s">
        <v>32</v>
      </c>
      <c r="AM25">
        <v>7386</v>
      </c>
      <c r="AN25">
        <v>1.76</v>
      </c>
      <c r="AO25" s="1" t="str">
        <f t="shared" si="8"/>
        <v>20/10 A 23/10</v>
      </c>
      <c r="AQ25">
        <v>7254</v>
      </c>
      <c r="AR25" t="s">
        <v>23</v>
      </c>
      <c r="AS25">
        <v>7254</v>
      </c>
      <c r="AT25">
        <v>1.77</v>
      </c>
      <c r="AU25" s="57">
        <v>132.28</v>
      </c>
      <c r="AV25" s="63">
        <f t="shared" si="0"/>
        <v>0.25285714285714284</v>
      </c>
      <c r="AW25" s="63">
        <f t="shared" si="1"/>
        <v>18.897142857142857</v>
      </c>
      <c r="AX25" s="53"/>
      <c r="AY25" s="55"/>
    </row>
    <row r="26" spans="1:51" x14ac:dyDescent="0.35">
      <c r="A26">
        <v>93626</v>
      </c>
      <c r="B26" t="s">
        <v>189</v>
      </c>
      <c r="C26">
        <v>93626</v>
      </c>
      <c r="D26">
        <v>1.17</v>
      </c>
      <c r="E26" s="1" t="str">
        <f t="shared" si="2"/>
        <v>19/01 a20/01</v>
      </c>
      <c r="G26">
        <v>8416</v>
      </c>
      <c r="H26" t="s">
        <v>212</v>
      </c>
      <c r="I26">
        <v>8416</v>
      </c>
      <c r="J26">
        <v>0.3</v>
      </c>
      <c r="K26" s="1" t="str">
        <f t="shared" si="3"/>
        <v>20/01 a 21/01</v>
      </c>
      <c r="M26">
        <v>8409</v>
      </c>
      <c r="N26" t="s">
        <v>211</v>
      </c>
      <c r="O26">
        <v>8409</v>
      </c>
      <c r="P26">
        <v>0.21</v>
      </c>
      <c r="Q26" s="1" t="str">
        <f t="shared" si="4"/>
        <v>21/01 a 22/01</v>
      </c>
      <c r="S26">
        <v>8459</v>
      </c>
      <c r="T26" t="s">
        <v>260</v>
      </c>
      <c r="U26">
        <v>8459</v>
      </c>
      <c r="V26">
        <v>0.25</v>
      </c>
      <c r="W26" s="1" t="str">
        <f t="shared" si="5"/>
        <v>15/01 a 016/01</v>
      </c>
      <c r="Y26">
        <v>8390</v>
      </c>
      <c r="Z26" t="s">
        <v>267</v>
      </c>
      <c r="AA26">
        <v>8390</v>
      </c>
      <c r="AB26">
        <v>0.77</v>
      </c>
      <c r="AC26" s="1" t="str">
        <f t="shared" si="6"/>
        <v>16/01 a 17/01</v>
      </c>
      <c r="AE26">
        <v>8393</v>
      </c>
      <c r="AF26" t="s">
        <v>247</v>
      </c>
      <c r="AG26">
        <v>8393</v>
      </c>
      <c r="AH26">
        <v>1.53</v>
      </c>
      <c r="AI26" s="1" t="str">
        <f t="shared" si="7"/>
        <v>17/01 a 18/01</v>
      </c>
      <c r="AK26">
        <v>7395</v>
      </c>
      <c r="AL26" t="s">
        <v>33</v>
      </c>
      <c r="AM26">
        <v>7395</v>
      </c>
      <c r="AN26">
        <v>1.78</v>
      </c>
      <c r="AO26" s="1" t="str">
        <f t="shared" si="8"/>
        <v>20/10 A 23/10</v>
      </c>
      <c r="AQ26">
        <v>7381</v>
      </c>
      <c r="AR26" t="s">
        <v>30</v>
      </c>
      <c r="AS26">
        <v>7381</v>
      </c>
      <c r="AT26">
        <v>2.38</v>
      </c>
      <c r="AU26" s="57">
        <v>130.53</v>
      </c>
      <c r="AV26" s="63">
        <f t="shared" si="0"/>
        <v>0.33999999999999997</v>
      </c>
      <c r="AW26" s="63">
        <f t="shared" si="1"/>
        <v>18.647142857142857</v>
      </c>
      <c r="AX26" s="53"/>
      <c r="AY26" s="55"/>
    </row>
    <row r="27" spans="1:51" x14ac:dyDescent="0.35">
      <c r="A27">
        <v>8442</v>
      </c>
      <c r="B27" t="s">
        <v>214</v>
      </c>
      <c r="C27">
        <v>8442</v>
      </c>
      <c r="D27">
        <v>1.64</v>
      </c>
      <c r="E27" s="1" t="str">
        <f t="shared" si="2"/>
        <v>19/01 a20/01</v>
      </c>
      <c r="G27">
        <v>8424</v>
      </c>
      <c r="H27" t="s">
        <v>213</v>
      </c>
      <c r="I27">
        <v>8424</v>
      </c>
      <c r="J27">
        <v>0.2</v>
      </c>
      <c r="K27" s="1" t="str">
        <f t="shared" si="3"/>
        <v>20/01 a 21/01</v>
      </c>
      <c r="M27">
        <v>8416</v>
      </c>
      <c r="N27" t="s">
        <v>212</v>
      </c>
      <c r="O27">
        <v>8416</v>
      </c>
      <c r="P27">
        <v>0.15</v>
      </c>
      <c r="Q27" s="1" t="str">
        <f t="shared" si="4"/>
        <v>21/01 a 22/01</v>
      </c>
      <c r="S27">
        <v>8480</v>
      </c>
      <c r="T27" t="s">
        <v>215</v>
      </c>
      <c r="U27">
        <v>8480</v>
      </c>
      <c r="V27">
        <v>4.68</v>
      </c>
      <c r="W27" s="1" t="str">
        <f t="shared" si="5"/>
        <v>15/01 a 016/01</v>
      </c>
      <c r="Y27">
        <v>8391</v>
      </c>
      <c r="Z27" t="s">
        <v>210</v>
      </c>
      <c r="AA27">
        <v>8391</v>
      </c>
      <c r="AB27">
        <v>0.12</v>
      </c>
      <c r="AC27" s="1" t="str">
        <f t="shared" si="6"/>
        <v>16/01 a 17/01</v>
      </c>
      <c r="AE27">
        <v>8400</v>
      </c>
      <c r="AF27" t="s">
        <v>248</v>
      </c>
      <c r="AG27">
        <v>8400</v>
      </c>
      <c r="AH27">
        <v>4.1100000000000003</v>
      </c>
      <c r="AI27" s="1" t="str">
        <f t="shared" si="7"/>
        <v>17/01 a 18/01</v>
      </c>
      <c r="AK27">
        <v>103</v>
      </c>
      <c r="AL27" t="s">
        <v>34</v>
      </c>
      <c r="AM27">
        <v>103</v>
      </c>
      <c r="AN27">
        <v>1.6</v>
      </c>
      <c r="AO27" s="1" t="str">
        <f t="shared" si="8"/>
        <v>20/10 A 23/10</v>
      </c>
      <c r="AQ27">
        <v>7267</v>
      </c>
      <c r="AR27" t="s">
        <v>15</v>
      </c>
      <c r="AS27">
        <v>7267</v>
      </c>
      <c r="AT27">
        <v>1.82</v>
      </c>
      <c r="AU27" s="57">
        <v>126.94</v>
      </c>
      <c r="AV27" s="63">
        <f t="shared" si="0"/>
        <v>0.26</v>
      </c>
      <c r="AW27" s="63">
        <f t="shared" si="1"/>
        <v>18.134285714285713</v>
      </c>
      <c r="AX27" s="53"/>
      <c r="AY27" s="55"/>
    </row>
    <row r="28" spans="1:51" x14ac:dyDescent="0.35">
      <c r="A28">
        <v>8459</v>
      </c>
      <c r="B28" t="s">
        <v>260</v>
      </c>
      <c r="C28">
        <v>8459</v>
      </c>
      <c r="D28">
        <v>1.1499999999999999</v>
      </c>
      <c r="E28" s="1" t="str">
        <f t="shared" si="2"/>
        <v>19/01 a20/01</v>
      </c>
      <c r="G28">
        <v>93626</v>
      </c>
      <c r="H28" t="s">
        <v>189</v>
      </c>
      <c r="I28">
        <v>93626</v>
      </c>
      <c r="J28">
        <v>1.5</v>
      </c>
      <c r="K28" s="1" t="str">
        <f t="shared" si="3"/>
        <v>20/01 a 21/01</v>
      </c>
      <c r="M28">
        <v>8424</v>
      </c>
      <c r="N28" t="s">
        <v>213</v>
      </c>
      <c r="O28">
        <v>8424</v>
      </c>
      <c r="P28">
        <v>0.57999999999999996</v>
      </c>
      <c r="Q28" s="1" t="str">
        <f t="shared" si="4"/>
        <v>21/01 a 22/01</v>
      </c>
      <c r="S28">
        <v>8491</v>
      </c>
      <c r="T28" t="s">
        <v>264</v>
      </c>
      <c r="U28">
        <v>8491</v>
      </c>
      <c r="V28">
        <v>0.36</v>
      </c>
      <c r="W28" s="1" t="str">
        <f t="shared" si="5"/>
        <v>15/01 a 016/01</v>
      </c>
      <c r="Y28">
        <v>8424</v>
      </c>
      <c r="Z28" t="s">
        <v>213</v>
      </c>
      <c r="AA28">
        <v>8424</v>
      </c>
      <c r="AB28">
        <v>0.6</v>
      </c>
      <c r="AC28" s="1" t="str">
        <f t="shared" si="6"/>
        <v>16/01 a 17/01</v>
      </c>
      <c r="AE28">
        <v>8439</v>
      </c>
      <c r="AF28" t="s">
        <v>273</v>
      </c>
      <c r="AG28">
        <v>8439</v>
      </c>
      <c r="AH28">
        <v>3.77</v>
      </c>
      <c r="AI28" s="1" t="str">
        <f t="shared" si="7"/>
        <v>17/01 a 18/01</v>
      </c>
      <c r="AK28">
        <v>7132</v>
      </c>
      <c r="AL28" t="s">
        <v>35</v>
      </c>
      <c r="AM28">
        <v>7132</v>
      </c>
      <c r="AN28">
        <v>2.65</v>
      </c>
      <c r="AO28" s="1" t="str">
        <f t="shared" si="8"/>
        <v>20/10 A 23/10</v>
      </c>
      <c r="AQ28">
        <v>7503</v>
      </c>
      <c r="AR28" t="s">
        <v>101</v>
      </c>
      <c r="AS28">
        <v>7503</v>
      </c>
      <c r="AT28">
        <v>2.44</v>
      </c>
      <c r="AU28" s="57">
        <v>121.96</v>
      </c>
      <c r="AV28" s="63">
        <f t="shared" si="0"/>
        <v>0.34857142857142859</v>
      </c>
      <c r="AW28" s="63">
        <f t="shared" si="1"/>
        <v>17.422857142857143</v>
      </c>
      <c r="AX28" s="53"/>
      <c r="AY28" s="55"/>
    </row>
    <row r="29" spans="1:51" x14ac:dyDescent="0.35">
      <c r="A29">
        <v>8479</v>
      </c>
      <c r="B29" t="s">
        <v>254</v>
      </c>
      <c r="C29">
        <v>8479</v>
      </c>
      <c r="D29">
        <v>1.42</v>
      </c>
      <c r="E29" s="1" t="str">
        <f t="shared" si="2"/>
        <v>19/01 a20/01</v>
      </c>
      <c r="G29">
        <v>8326</v>
      </c>
      <c r="H29" t="s">
        <v>291</v>
      </c>
      <c r="I29">
        <v>8326</v>
      </c>
      <c r="J29">
        <v>0.13</v>
      </c>
      <c r="K29" s="1" t="str">
        <f t="shared" si="3"/>
        <v>20/01 a 21/01</v>
      </c>
      <c r="M29">
        <v>93626</v>
      </c>
      <c r="N29" t="s">
        <v>189</v>
      </c>
      <c r="O29">
        <v>93626</v>
      </c>
      <c r="P29">
        <v>2.08</v>
      </c>
      <c r="Q29" s="1" t="str">
        <f t="shared" si="4"/>
        <v>21/01 a 22/01</v>
      </c>
      <c r="S29">
        <v>8497</v>
      </c>
      <c r="T29" t="s">
        <v>216</v>
      </c>
      <c r="U29">
        <v>8497</v>
      </c>
      <c r="V29">
        <v>0.5</v>
      </c>
      <c r="W29" s="1" t="str">
        <f t="shared" si="5"/>
        <v>15/01 a 016/01</v>
      </c>
      <c r="Y29">
        <v>8439</v>
      </c>
      <c r="Z29" t="s">
        <v>273</v>
      </c>
      <c r="AA29">
        <v>8439</v>
      </c>
      <c r="AB29">
        <v>3.77</v>
      </c>
      <c r="AC29" s="1" t="str">
        <f t="shared" si="6"/>
        <v>16/01 a 17/01</v>
      </c>
      <c r="AE29">
        <v>93626</v>
      </c>
      <c r="AF29" t="s">
        <v>189</v>
      </c>
      <c r="AG29">
        <v>93626</v>
      </c>
      <c r="AH29">
        <v>0.6</v>
      </c>
      <c r="AI29" s="1" t="str">
        <f t="shared" si="7"/>
        <v>17/01 a 18/01</v>
      </c>
      <c r="AK29">
        <v>3669</v>
      </c>
      <c r="AL29" t="s">
        <v>36</v>
      </c>
      <c r="AM29">
        <v>3669</v>
      </c>
      <c r="AN29">
        <v>0.28000000000000003</v>
      </c>
      <c r="AO29" s="1" t="str">
        <f t="shared" si="8"/>
        <v>20/10 A 23/10</v>
      </c>
      <c r="AQ29">
        <v>7302</v>
      </c>
      <c r="AR29" t="s">
        <v>24</v>
      </c>
      <c r="AS29">
        <v>7302</v>
      </c>
      <c r="AT29">
        <v>2.4300000000000002</v>
      </c>
      <c r="AU29" s="57">
        <v>121.04</v>
      </c>
      <c r="AV29" s="63">
        <f t="shared" si="0"/>
        <v>0.34714285714285714</v>
      </c>
      <c r="AW29" s="63">
        <f t="shared" si="1"/>
        <v>17.291428571428572</v>
      </c>
      <c r="AX29" s="53"/>
      <c r="AY29" s="55"/>
    </row>
    <row r="30" spans="1:51" x14ac:dyDescent="0.35">
      <c r="A30">
        <v>8491</v>
      </c>
      <c r="B30" t="s">
        <v>264</v>
      </c>
      <c r="C30">
        <v>8491</v>
      </c>
      <c r="D30">
        <v>1.26</v>
      </c>
      <c r="E30" s="1" t="str">
        <f t="shared" si="2"/>
        <v>19/01 a20/01</v>
      </c>
      <c r="G30">
        <v>8459</v>
      </c>
      <c r="H30" t="s">
        <v>260</v>
      </c>
      <c r="I30">
        <v>8459</v>
      </c>
      <c r="J30">
        <v>1.89</v>
      </c>
      <c r="K30" s="1" t="str">
        <f t="shared" si="3"/>
        <v>20/01 a 21/01</v>
      </c>
      <c r="M30">
        <v>8326</v>
      </c>
      <c r="N30" t="s">
        <v>291</v>
      </c>
      <c r="O30">
        <v>8326</v>
      </c>
      <c r="P30">
        <v>0.13</v>
      </c>
      <c r="Q30" s="1" t="str">
        <f t="shared" si="4"/>
        <v>21/01 a 22/01</v>
      </c>
      <c r="S30">
        <v>8529</v>
      </c>
      <c r="T30" t="s">
        <v>268</v>
      </c>
      <c r="U30">
        <v>8529</v>
      </c>
      <c r="V30">
        <v>0.62</v>
      </c>
      <c r="W30" s="1" t="str">
        <f t="shared" si="5"/>
        <v>15/01 a 016/01</v>
      </c>
      <c r="Y30">
        <v>93626</v>
      </c>
      <c r="Z30" t="s">
        <v>189</v>
      </c>
      <c r="AA30">
        <v>93626</v>
      </c>
      <c r="AB30">
        <v>2.06</v>
      </c>
      <c r="AC30" s="1" t="str">
        <f t="shared" si="6"/>
        <v>16/01 a 17/01</v>
      </c>
      <c r="AE30">
        <v>8442</v>
      </c>
      <c r="AF30" t="s">
        <v>214</v>
      </c>
      <c r="AG30">
        <v>8442</v>
      </c>
      <c r="AH30">
        <v>3.23</v>
      </c>
      <c r="AI30" s="1" t="str">
        <f t="shared" si="7"/>
        <v>17/01 a 18/01</v>
      </c>
      <c r="AK30">
        <v>6818</v>
      </c>
      <c r="AL30" t="s">
        <v>37</v>
      </c>
      <c r="AM30">
        <v>6818</v>
      </c>
      <c r="AN30">
        <v>1.1299999999999999</v>
      </c>
      <c r="AO30" s="1" t="str">
        <f t="shared" si="8"/>
        <v>20/10 A 23/10</v>
      </c>
      <c r="AQ30">
        <v>7555</v>
      </c>
      <c r="AR30" t="s">
        <v>129</v>
      </c>
      <c r="AS30">
        <v>7555</v>
      </c>
      <c r="AT30">
        <v>2.57</v>
      </c>
      <c r="AU30" s="57">
        <v>115.33</v>
      </c>
      <c r="AV30" s="63">
        <f t="shared" si="0"/>
        <v>0.3671428571428571</v>
      </c>
      <c r="AW30" s="63">
        <f t="shared" si="1"/>
        <v>16.475714285714286</v>
      </c>
      <c r="AX30" s="53"/>
      <c r="AY30" s="55"/>
    </row>
    <row r="31" spans="1:51" x14ac:dyDescent="0.35">
      <c r="A31">
        <v>8497</v>
      </c>
      <c r="B31" t="s">
        <v>216</v>
      </c>
      <c r="C31">
        <v>8497</v>
      </c>
      <c r="D31">
        <v>0.9</v>
      </c>
      <c r="E31" s="1" t="str">
        <f t="shared" si="2"/>
        <v>19/01 a20/01</v>
      </c>
      <c r="G31">
        <v>8479</v>
      </c>
      <c r="H31" t="s">
        <v>254</v>
      </c>
      <c r="I31">
        <v>8479</v>
      </c>
      <c r="J31">
        <v>2.23</v>
      </c>
      <c r="K31" s="1" t="str">
        <f t="shared" si="3"/>
        <v>20/01 a 21/01</v>
      </c>
      <c r="M31">
        <v>8459</v>
      </c>
      <c r="N31" t="s">
        <v>260</v>
      </c>
      <c r="O31">
        <v>8459</v>
      </c>
      <c r="P31">
        <v>0.74</v>
      </c>
      <c r="Q31" s="1" t="str">
        <f t="shared" si="4"/>
        <v>21/01 a 22/01</v>
      </c>
      <c r="S31">
        <v>8532</v>
      </c>
      <c r="T31" t="s">
        <v>269</v>
      </c>
      <c r="U31">
        <v>8532</v>
      </c>
      <c r="V31">
        <v>0.61</v>
      </c>
      <c r="W31" s="1" t="str">
        <f t="shared" si="5"/>
        <v>15/01 a 016/01</v>
      </c>
      <c r="Y31">
        <v>8442</v>
      </c>
      <c r="Z31" t="s">
        <v>214</v>
      </c>
      <c r="AA31">
        <v>8442</v>
      </c>
      <c r="AB31">
        <v>2.84</v>
      </c>
      <c r="AC31" s="1" t="str">
        <f t="shared" si="6"/>
        <v>16/01 a 17/01</v>
      </c>
      <c r="AE31">
        <v>8480</v>
      </c>
      <c r="AF31" t="s">
        <v>215</v>
      </c>
      <c r="AG31">
        <v>8480</v>
      </c>
      <c r="AH31">
        <v>2.34</v>
      </c>
      <c r="AI31" s="1" t="str">
        <f t="shared" si="7"/>
        <v>17/01 a 18/01</v>
      </c>
      <c r="AK31">
        <v>7333</v>
      </c>
      <c r="AL31" t="s">
        <v>38</v>
      </c>
      <c r="AM31">
        <v>7333</v>
      </c>
      <c r="AN31">
        <v>9</v>
      </c>
      <c r="AO31" s="1" t="str">
        <f t="shared" si="8"/>
        <v>20/10 A 23/10</v>
      </c>
      <c r="AQ31">
        <v>7395</v>
      </c>
      <c r="AR31" t="s">
        <v>33</v>
      </c>
      <c r="AS31">
        <v>7395</v>
      </c>
      <c r="AT31">
        <v>2.19</v>
      </c>
      <c r="AU31" s="57">
        <v>109.53</v>
      </c>
      <c r="AV31" s="63">
        <f t="shared" si="0"/>
        <v>0.31285714285714283</v>
      </c>
      <c r="AW31" s="63">
        <f t="shared" si="1"/>
        <v>15.647142857142857</v>
      </c>
      <c r="AX31" s="53"/>
      <c r="AY31" s="55"/>
    </row>
    <row r="32" spans="1:51" x14ac:dyDescent="0.35">
      <c r="A32">
        <v>8551</v>
      </c>
      <c r="B32" t="s">
        <v>218</v>
      </c>
      <c r="C32">
        <v>8551</v>
      </c>
      <c r="D32">
        <v>0.12</v>
      </c>
      <c r="E32" s="1" t="str">
        <f t="shared" si="2"/>
        <v>19/01 a20/01</v>
      </c>
      <c r="G32">
        <v>8480</v>
      </c>
      <c r="H32" t="s">
        <v>215</v>
      </c>
      <c r="I32">
        <v>8480</v>
      </c>
      <c r="J32">
        <v>1.74</v>
      </c>
      <c r="K32" s="1" t="str">
        <f t="shared" si="3"/>
        <v>20/01 a 21/01</v>
      </c>
      <c r="M32">
        <v>8479</v>
      </c>
      <c r="N32" t="s">
        <v>254</v>
      </c>
      <c r="O32">
        <v>8479</v>
      </c>
      <c r="P32">
        <v>1.31</v>
      </c>
      <c r="Q32" s="1" t="str">
        <f t="shared" si="4"/>
        <v>21/01 a 22/01</v>
      </c>
      <c r="S32">
        <v>8551</v>
      </c>
      <c r="T32" t="s">
        <v>218</v>
      </c>
      <c r="U32">
        <v>8551</v>
      </c>
      <c r="V32">
        <v>0.48</v>
      </c>
      <c r="W32" s="1" t="str">
        <f t="shared" si="5"/>
        <v>15/01 a 016/01</v>
      </c>
      <c r="Y32">
        <v>8480</v>
      </c>
      <c r="Z32" t="s">
        <v>215</v>
      </c>
      <c r="AA32">
        <v>8480</v>
      </c>
      <c r="AB32">
        <v>3.25</v>
      </c>
      <c r="AC32" s="1" t="str">
        <f t="shared" si="6"/>
        <v>16/01 a 17/01</v>
      </c>
      <c r="AE32">
        <v>8483</v>
      </c>
      <c r="AF32" t="s">
        <v>243</v>
      </c>
      <c r="AG32">
        <v>8483</v>
      </c>
      <c r="AH32">
        <v>4.67</v>
      </c>
      <c r="AI32" s="1" t="str">
        <f t="shared" si="7"/>
        <v>17/01 a 18/01</v>
      </c>
      <c r="AK32">
        <v>6915</v>
      </c>
      <c r="AL32" t="s">
        <v>39</v>
      </c>
      <c r="AM32">
        <v>6915</v>
      </c>
      <c r="AN32">
        <v>0.68</v>
      </c>
      <c r="AO32" s="1" t="str">
        <f t="shared" si="8"/>
        <v>20/10 A 23/10</v>
      </c>
      <c r="AQ32">
        <v>7121</v>
      </c>
      <c r="AR32" t="s">
        <v>113</v>
      </c>
      <c r="AS32">
        <v>7121</v>
      </c>
      <c r="AT32">
        <v>3</v>
      </c>
      <c r="AU32" s="57">
        <v>104.7</v>
      </c>
      <c r="AV32" s="63">
        <f t="shared" si="0"/>
        <v>0.42857142857142855</v>
      </c>
      <c r="AW32" s="63">
        <f t="shared" si="1"/>
        <v>14.957142857142857</v>
      </c>
    </row>
    <row r="33" spans="1:49" x14ac:dyDescent="0.35">
      <c r="A33">
        <v>8563</v>
      </c>
      <c r="B33" t="s">
        <v>255</v>
      </c>
      <c r="C33">
        <v>8563</v>
      </c>
      <c r="D33">
        <v>0.65</v>
      </c>
      <c r="E33" s="1" t="str">
        <f t="shared" si="2"/>
        <v>19/01 a20/01</v>
      </c>
      <c r="G33">
        <v>8491</v>
      </c>
      <c r="H33" t="s">
        <v>264</v>
      </c>
      <c r="I33">
        <v>8491</v>
      </c>
      <c r="J33">
        <v>1.64</v>
      </c>
      <c r="K33" s="1" t="str">
        <f t="shared" si="3"/>
        <v>20/01 a 21/01</v>
      </c>
      <c r="M33">
        <v>8480</v>
      </c>
      <c r="N33" t="s">
        <v>215</v>
      </c>
      <c r="O33">
        <v>8480</v>
      </c>
      <c r="P33">
        <v>4.66</v>
      </c>
      <c r="Q33" s="1" t="str">
        <f t="shared" si="4"/>
        <v>21/01 a 22/01</v>
      </c>
      <c r="S33">
        <v>8598</v>
      </c>
      <c r="T33" t="s">
        <v>219</v>
      </c>
      <c r="U33">
        <v>8598</v>
      </c>
      <c r="V33">
        <v>0.44</v>
      </c>
      <c r="W33" s="1" t="str">
        <f t="shared" si="5"/>
        <v>15/01 a 016/01</v>
      </c>
      <c r="Y33">
        <v>8482</v>
      </c>
      <c r="Z33" t="s">
        <v>244</v>
      </c>
      <c r="AA33">
        <v>8482</v>
      </c>
      <c r="AB33">
        <v>0.6</v>
      </c>
      <c r="AC33" s="1" t="str">
        <f t="shared" si="6"/>
        <v>16/01 a 17/01</v>
      </c>
      <c r="AE33">
        <v>6857</v>
      </c>
      <c r="AF33" t="s">
        <v>279</v>
      </c>
      <c r="AG33">
        <v>6857</v>
      </c>
      <c r="AH33">
        <v>2.0299999999999998</v>
      </c>
      <c r="AI33" s="1" t="str">
        <f t="shared" si="7"/>
        <v>17/01 a 18/01</v>
      </c>
      <c r="AK33">
        <v>6915</v>
      </c>
      <c r="AL33" t="s">
        <v>39</v>
      </c>
      <c r="AM33">
        <v>6915</v>
      </c>
      <c r="AN33">
        <v>0.23</v>
      </c>
      <c r="AO33" s="1" t="str">
        <f t="shared" si="8"/>
        <v>20/10 A 23/10</v>
      </c>
      <c r="AQ33">
        <v>8915</v>
      </c>
      <c r="AR33" t="s">
        <v>116</v>
      </c>
      <c r="AS33">
        <v>8915</v>
      </c>
      <c r="AT33">
        <v>1.42</v>
      </c>
      <c r="AU33" s="57">
        <v>99.23</v>
      </c>
      <c r="AV33" s="63">
        <f t="shared" si="0"/>
        <v>0.20285714285714285</v>
      </c>
      <c r="AW33" s="63">
        <f t="shared" si="1"/>
        <v>14.175714285714287</v>
      </c>
    </row>
    <row r="34" spans="1:49" x14ac:dyDescent="0.35">
      <c r="A34">
        <v>8571</v>
      </c>
      <c r="B34" t="s">
        <v>286</v>
      </c>
      <c r="C34">
        <v>8571</v>
      </c>
      <c r="D34">
        <v>4.09</v>
      </c>
      <c r="E34" s="1" t="str">
        <f t="shared" si="2"/>
        <v>19/01 a20/01</v>
      </c>
      <c r="G34">
        <v>8497</v>
      </c>
      <c r="H34" t="s">
        <v>216</v>
      </c>
      <c r="I34">
        <v>8497</v>
      </c>
      <c r="J34">
        <v>0.61</v>
      </c>
      <c r="K34" s="1" t="str">
        <f t="shared" si="3"/>
        <v>20/01 a 21/01</v>
      </c>
      <c r="M34">
        <v>8491</v>
      </c>
      <c r="N34" t="s">
        <v>264</v>
      </c>
      <c r="O34">
        <v>8491</v>
      </c>
      <c r="P34">
        <v>1.1599999999999999</v>
      </c>
      <c r="Q34" s="1" t="str">
        <f t="shared" si="4"/>
        <v>21/01 a 22/01</v>
      </c>
      <c r="S34">
        <v>8633</v>
      </c>
      <c r="T34" t="s">
        <v>228</v>
      </c>
      <c r="U34">
        <v>8633</v>
      </c>
      <c r="V34">
        <v>0.69</v>
      </c>
      <c r="W34" s="1" t="str">
        <f t="shared" si="5"/>
        <v>15/01 a 016/01</v>
      </c>
      <c r="Y34">
        <v>8497</v>
      </c>
      <c r="Z34" t="s">
        <v>216</v>
      </c>
      <c r="AA34">
        <v>8497</v>
      </c>
      <c r="AB34">
        <v>0.84</v>
      </c>
      <c r="AC34" s="1" t="str">
        <f t="shared" si="6"/>
        <v>16/01 a 17/01</v>
      </c>
      <c r="AE34">
        <v>8482</v>
      </c>
      <c r="AF34" t="s">
        <v>244</v>
      </c>
      <c r="AG34">
        <v>8482</v>
      </c>
      <c r="AH34">
        <v>2.15</v>
      </c>
      <c r="AI34" s="1" t="str">
        <f t="shared" si="7"/>
        <v>17/01 a 18/01</v>
      </c>
      <c r="AK34">
        <v>508</v>
      </c>
      <c r="AL34" t="s">
        <v>40</v>
      </c>
      <c r="AM34">
        <v>508</v>
      </c>
      <c r="AN34">
        <v>0.75</v>
      </c>
      <c r="AO34" s="1" t="str">
        <f t="shared" si="8"/>
        <v>20/10 A 23/10</v>
      </c>
      <c r="AQ34">
        <v>7411</v>
      </c>
      <c r="AR34" t="s">
        <v>139</v>
      </c>
      <c r="AS34">
        <v>7411</v>
      </c>
      <c r="AT34">
        <v>2.38</v>
      </c>
      <c r="AU34" s="57">
        <v>90.13</v>
      </c>
      <c r="AV34" s="63">
        <f t="shared" si="0"/>
        <v>0.33999999999999997</v>
      </c>
      <c r="AW34" s="63">
        <f t="shared" si="1"/>
        <v>12.875714285714285</v>
      </c>
    </row>
    <row r="35" spans="1:49" x14ac:dyDescent="0.35">
      <c r="A35">
        <v>8963</v>
      </c>
      <c r="B35" t="s">
        <v>221</v>
      </c>
      <c r="C35">
        <v>8963</v>
      </c>
      <c r="D35">
        <v>5</v>
      </c>
      <c r="E35" s="1" t="str">
        <f t="shared" si="2"/>
        <v>19/01 a20/01</v>
      </c>
      <c r="G35">
        <v>8502</v>
      </c>
      <c r="H35" t="s">
        <v>292</v>
      </c>
      <c r="I35">
        <v>8502</v>
      </c>
      <c r="J35">
        <v>0.82</v>
      </c>
      <c r="K35" s="1" t="str">
        <f t="shared" si="3"/>
        <v>20/01 a 21/01</v>
      </c>
      <c r="M35">
        <v>8497</v>
      </c>
      <c r="N35" t="s">
        <v>216</v>
      </c>
      <c r="O35">
        <v>8497</v>
      </c>
      <c r="P35">
        <v>1</v>
      </c>
      <c r="Q35" s="1" t="str">
        <f t="shared" si="4"/>
        <v>21/01 a 22/01</v>
      </c>
      <c r="S35">
        <v>8671</v>
      </c>
      <c r="T35" t="s">
        <v>220</v>
      </c>
      <c r="U35">
        <v>8671</v>
      </c>
      <c r="V35">
        <v>0.74</v>
      </c>
      <c r="W35" s="1"/>
      <c r="Y35">
        <v>6960</v>
      </c>
      <c r="Z35" t="s">
        <v>274</v>
      </c>
      <c r="AA35">
        <v>6960</v>
      </c>
      <c r="AB35">
        <v>1.1399999999999999</v>
      </c>
      <c r="AC35" s="1" t="str">
        <f t="shared" si="6"/>
        <v>16/01 a 17/01</v>
      </c>
      <c r="AE35">
        <v>8484</v>
      </c>
      <c r="AF35" t="s">
        <v>261</v>
      </c>
      <c r="AG35">
        <v>8484</v>
      </c>
      <c r="AH35">
        <v>0.5</v>
      </c>
      <c r="AI35" s="1" t="str">
        <f t="shared" si="7"/>
        <v>17/01 a 18/01</v>
      </c>
      <c r="AK35">
        <v>104255</v>
      </c>
      <c r="AL35" t="s">
        <v>41</v>
      </c>
      <c r="AM35">
        <v>104255</v>
      </c>
      <c r="AN35">
        <v>0.51</v>
      </c>
      <c r="AO35" s="1" t="str">
        <f t="shared" si="8"/>
        <v>20/10 A 23/10</v>
      </c>
      <c r="AQ35">
        <v>7004</v>
      </c>
      <c r="AR35" t="s">
        <v>97</v>
      </c>
      <c r="AS35">
        <v>7004</v>
      </c>
      <c r="AT35">
        <v>2.23</v>
      </c>
      <c r="AU35" s="57">
        <v>88.98</v>
      </c>
      <c r="AV35" s="63">
        <f t="shared" ref="AV35:AV66" si="9">(AT35/7)</f>
        <v>0.31857142857142856</v>
      </c>
      <c r="AW35" s="63">
        <f t="shared" ref="AW35:AW66" si="10">(AU35/7)</f>
        <v>12.711428571428572</v>
      </c>
    </row>
    <row r="36" spans="1:49" x14ac:dyDescent="0.35">
      <c r="A36">
        <v>8695</v>
      </c>
      <c r="B36" t="s">
        <v>257</v>
      </c>
      <c r="C36">
        <v>8695</v>
      </c>
      <c r="D36">
        <v>1.28</v>
      </c>
      <c r="E36" s="1" t="str">
        <f t="shared" si="2"/>
        <v>19/01 a20/01</v>
      </c>
      <c r="G36">
        <v>8551</v>
      </c>
      <c r="H36" t="s">
        <v>218</v>
      </c>
      <c r="I36">
        <v>8551</v>
      </c>
      <c r="J36">
        <v>0.12</v>
      </c>
      <c r="K36" s="1" t="str">
        <f t="shared" si="3"/>
        <v>20/01 a 21/01</v>
      </c>
      <c r="M36">
        <v>8498</v>
      </c>
      <c r="N36" t="s">
        <v>217</v>
      </c>
      <c r="O36">
        <v>8498</v>
      </c>
      <c r="P36">
        <v>0.33</v>
      </c>
      <c r="Q36" s="1" t="str">
        <f t="shared" si="4"/>
        <v>21/01 a 22/01</v>
      </c>
      <c r="S36">
        <v>8963</v>
      </c>
      <c r="T36" t="s">
        <v>221</v>
      </c>
      <c r="U36">
        <v>8963</v>
      </c>
      <c r="V36">
        <v>4</v>
      </c>
      <c r="W36" s="1"/>
      <c r="Y36">
        <v>8529</v>
      </c>
      <c r="Z36" t="s">
        <v>268</v>
      </c>
      <c r="AA36">
        <v>8529</v>
      </c>
      <c r="AB36">
        <v>0.62</v>
      </c>
      <c r="AC36" s="1" t="str">
        <f t="shared" si="6"/>
        <v>16/01 a 17/01</v>
      </c>
      <c r="AE36">
        <v>8497</v>
      </c>
      <c r="AF36" t="s">
        <v>216</v>
      </c>
      <c r="AG36">
        <v>8497</v>
      </c>
      <c r="AH36">
        <v>0.34</v>
      </c>
      <c r="AI36" s="1" t="str">
        <f t="shared" si="7"/>
        <v>17/01 a 18/01</v>
      </c>
      <c r="AK36">
        <v>104256</v>
      </c>
      <c r="AL36" t="s">
        <v>42</v>
      </c>
      <c r="AM36">
        <v>104256</v>
      </c>
      <c r="AN36">
        <v>0.57999999999999996</v>
      </c>
      <c r="AO36" s="1" t="str">
        <f t="shared" si="8"/>
        <v>20/10 A 23/10</v>
      </c>
      <c r="AQ36">
        <v>7003</v>
      </c>
      <c r="AR36" t="s">
        <v>96</v>
      </c>
      <c r="AS36">
        <v>7003</v>
      </c>
      <c r="AT36">
        <v>2.19</v>
      </c>
      <c r="AU36" s="57">
        <v>87.28</v>
      </c>
      <c r="AV36" s="63">
        <f t="shared" si="9"/>
        <v>0.31285714285714283</v>
      </c>
      <c r="AW36" s="63">
        <f t="shared" si="10"/>
        <v>12.468571428571428</v>
      </c>
    </row>
    <row r="37" spans="1:49" x14ac:dyDescent="0.35">
      <c r="A37">
        <v>8789</v>
      </c>
      <c r="B37" t="s">
        <v>240</v>
      </c>
      <c r="C37">
        <v>8789</v>
      </c>
      <c r="D37">
        <v>0.42</v>
      </c>
      <c r="E37" s="1" t="str">
        <f t="shared" si="2"/>
        <v>19/01 a20/01</v>
      </c>
      <c r="G37">
        <v>8563</v>
      </c>
      <c r="H37" t="s">
        <v>255</v>
      </c>
      <c r="I37">
        <v>8563</v>
      </c>
      <c r="J37">
        <v>0.65</v>
      </c>
      <c r="K37" s="1" t="str">
        <f t="shared" si="3"/>
        <v>20/01 a 21/01</v>
      </c>
      <c r="M37">
        <v>8502</v>
      </c>
      <c r="N37" t="s">
        <v>292</v>
      </c>
      <c r="O37">
        <v>8502</v>
      </c>
      <c r="P37">
        <v>0.82</v>
      </c>
      <c r="Q37" s="1" t="str">
        <f t="shared" si="4"/>
        <v>21/01 a 22/01</v>
      </c>
      <c r="S37">
        <v>8690</v>
      </c>
      <c r="T37" t="s">
        <v>256</v>
      </c>
      <c r="U37">
        <v>8690</v>
      </c>
      <c r="V37">
        <v>1.19</v>
      </c>
      <c r="W37" s="1"/>
      <c r="Y37">
        <v>8532</v>
      </c>
      <c r="Z37" t="s">
        <v>269</v>
      </c>
      <c r="AA37">
        <v>8532</v>
      </c>
      <c r="AB37">
        <v>1.7</v>
      </c>
      <c r="AC37" s="1" t="str">
        <f t="shared" si="6"/>
        <v>16/01 a 17/01</v>
      </c>
      <c r="AE37">
        <v>8498</v>
      </c>
      <c r="AF37" t="s">
        <v>217</v>
      </c>
      <c r="AG37">
        <v>8498</v>
      </c>
      <c r="AH37">
        <v>0.31</v>
      </c>
      <c r="AI37" s="1" t="str">
        <f t="shared" si="7"/>
        <v>17/01 a 18/01</v>
      </c>
      <c r="AK37">
        <v>104254</v>
      </c>
      <c r="AL37" t="s">
        <v>43</v>
      </c>
      <c r="AM37">
        <v>104254</v>
      </c>
      <c r="AN37">
        <v>0.56999999999999995</v>
      </c>
      <c r="AO37" s="1" t="str">
        <f t="shared" si="8"/>
        <v>20/10 A 23/10</v>
      </c>
      <c r="AQ37">
        <v>7481</v>
      </c>
      <c r="AR37" t="s">
        <v>87</v>
      </c>
      <c r="AS37">
        <v>7481</v>
      </c>
      <c r="AT37">
        <v>2.02</v>
      </c>
      <c r="AU37" s="57">
        <v>86.58</v>
      </c>
      <c r="AV37" s="63">
        <f t="shared" si="9"/>
        <v>0.28857142857142859</v>
      </c>
      <c r="AW37" s="63">
        <f t="shared" si="10"/>
        <v>12.368571428571428</v>
      </c>
    </row>
    <row r="38" spans="1:49" x14ac:dyDescent="0.35">
      <c r="A38">
        <v>8837</v>
      </c>
      <c r="B38" t="s">
        <v>258</v>
      </c>
      <c r="C38">
        <v>8837</v>
      </c>
      <c r="D38">
        <v>1.19</v>
      </c>
      <c r="E38" s="1" t="str">
        <f t="shared" si="2"/>
        <v>19/01 a20/01</v>
      </c>
      <c r="G38">
        <v>8571</v>
      </c>
      <c r="H38" t="s">
        <v>286</v>
      </c>
      <c r="I38">
        <v>8571</v>
      </c>
      <c r="J38">
        <v>1.21</v>
      </c>
      <c r="K38" s="1" t="str">
        <f t="shared" si="3"/>
        <v>20/01 a 21/01</v>
      </c>
      <c r="M38">
        <v>8551</v>
      </c>
      <c r="N38" t="s">
        <v>218</v>
      </c>
      <c r="O38">
        <v>8551</v>
      </c>
      <c r="P38">
        <v>0.12</v>
      </c>
      <c r="Q38" s="1" t="str">
        <f t="shared" si="4"/>
        <v>21/01 a 22/01</v>
      </c>
      <c r="S38">
        <v>8695</v>
      </c>
      <c r="T38" t="s">
        <v>257</v>
      </c>
      <c r="U38">
        <v>8695</v>
      </c>
      <c r="V38">
        <v>0.75</v>
      </c>
      <c r="W38" s="1"/>
      <c r="Y38">
        <v>8551</v>
      </c>
      <c r="Z38" t="s">
        <v>218</v>
      </c>
      <c r="AA38">
        <v>8551</v>
      </c>
      <c r="AB38">
        <v>0.75</v>
      </c>
      <c r="AC38" s="1" t="str">
        <f t="shared" si="6"/>
        <v>16/01 a 17/01</v>
      </c>
      <c r="AE38">
        <v>6960</v>
      </c>
      <c r="AF38" t="s">
        <v>274</v>
      </c>
      <c r="AG38">
        <v>6960</v>
      </c>
      <c r="AH38">
        <v>1.53</v>
      </c>
      <c r="AI38" s="1" t="str">
        <f t="shared" si="7"/>
        <v>17/01 a 18/01</v>
      </c>
      <c r="AK38">
        <v>1589</v>
      </c>
      <c r="AL38" t="s">
        <v>44</v>
      </c>
      <c r="AM38">
        <v>1589</v>
      </c>
      <c r="AN38">
        <v>0.18</v>
      </c>
      <c r="AO38" s="1" t="str">
        <f t="shared" si="8"/>
        <v>20/10 A 23/10</v>
      </c>
      <c r="AQ38">
        <v>6955</v>
      </c>
      <c r="AR38" t="s">
        <v>121</v>
      </c>
      <c r="AS38">
        <v>6955</v>
      </c>
      <c r="AT38">
        <v>1.91</v>
      </c>
      <c r="AU38" s="57">
        <v>85.57</v>
      </c>
      <c r="AV38" s="63">
        <f t="shared" si="9"/>
        <v>0.27285714285714285</v>
      </c>
      <c r="AW38" s="63">
        <f t="shared" si="10"/>
        <v>12.224285714285713</v>
      </c>
    </row>
    <row r="39" spans="1:49" x14ac:dyDescent="0.35">
      <c r="A39">
        <v>9123</v>
      </c>
      <c r="B39" t="s">
        <v>245</v>
      </c>
      <c r="C39">
        <v>9123</v>
      </c>
      <c r="D39">
        <v>5</v>
      </c>
      <c r="E39" s="1" t="str">
        <f t="shared" si="2"/>
        <v>19/01 a20/01</v>
      </c>
      <c r="G39">
        <v>8671</v>
      </c>
      <c r="H39" t="s">
        <v>220</v>
      </c>
      <c r="I39">
        <v>8671</v>
      </c>
      <c r="J39">
        <v>0.4</v>
      </c>
      <c r="K39" s="1" t="str">
        <f t="shared" si="3"/>
        <v>20/01 a 21/01</v>
      </c>
      <c r="M39">
        <v>8598</v>
      </c>
      <c r="N39" t="s">
        <v>219</v>
      </c>
      <c r="O39">
        <v>8598</v>
      </c>
      <c r="P39">
        <v>0.37</v>
      </c>
      <c r="Q39" s="1" t="str">
        <f t="shared" si="4"/>
        <v>21/01 a 22/01</v>
      </c>
      <c r="S39">
        <v>9391</v>
      </c>
      <c r="T39" t="s">
        <v>262</v>
      </c>
      <c r="U39">
        <v>9391</v>
      </c>
      <c r="V39">
        <v>2</v>
      </c>
      <c r="W39" s="1"/>
      <c r="Y39">
        <v>8598</v>
      </c>
      <c r="Z39" t="s">
        <v>219</v>
      </c>
      <c r="AA39">
        <v>8598</v>
      </c>
      <c r="AB39">
        <v>0.83</v>
      </c>
      <c r="AC39" s="1" t="str">
        <f t="shared" si="6"/>
        <v>16/01 a 17/01</v>
      </c>
      <c r="AE39">
        <v>8532</v>
      </c>
      <c r="AF39" t="s">
        <v>269</v>
      </c>
      <c r="AG39">
        <v>8532</v>
      </c>
      <c r="AH39">
        <v>1.0900000000000001</v>
      </c>
      <c r="AI39" s="1" t="str">
        <f t="shared" si="7"/>
        <v>17/01 a 18/01</v>
      </c>
      <c r="AK39">
        <v>1589</v>
      </c>
      <c r="AL39" t="s">
        <v>44</v>
      </c>
      <c r="AM39">
        <v>1589</v>
      </c>
      <c r="AN39">
        <v>0.66</v>
      </c>
      <c r="AO39" s="1" t="str">
        <f t="shared" si="8"/>
        <v>20/10 A 23/10</v>
      </c>
      <c r="AQ39">
        <v>6963</v>
      </c>
      <c r="AR39" t="s">
        <v>122</v>
      </c>
      <c r="AS39">
        <v>6963</v>
      </c>
      <c r="AT39">
        <v>1.85</v>
      </c>
      <c r="AU39" s="57">
        <v>83.23</v>
      </c>
      <c r="AV39" s="63">
        <f t="shared" si="9"/>
        <v>0.26428571428571429</v>
      </c>
      <c r="AW39" s="63">
        <f t="shared" si="10"/>
        <v>11.89</v>
      </c>
    </row>
    <row r="40" spans="1:49" x14ac:dyDescent="0.35">
      <c r="A40">
        <v>8847</v>
      </c>
      <c r="B40" t="s">
        <v>223</v>
      </c>
      <c r="C40">
        <v>8847</v>
      </c>
      <c r="D40">
        <v>0.99</v>
      </c>
      <c r="E40" s="1" t="str">
        <f t="shared" si="2"/>
        <v>19/01 a20/01</v>
      </c>
      <c r="G40">
        <v>8963</v>
      </c>
      <c r="H40" t="s">
        <v>221</v>
      </c>
      <c r="I40">
        <v>8963</v>
      </c>
      <c r="J40">
        <v>4</v>
      </c>
      <c r="K40" s="1" t="str">
        <f t="shared" si="3"/>
        <v>20/01 a 21/01</v>
      </c>
      <c r="M40">
        <v>8671</v>
      </c>
      <c r="N40" t="s">
        <v>220</v>
      </c>
      <c r="O40">
        <v>8671</v>
      </c>
      <c r="P40">
        <v>1.35</v>
      </c>
      <c r="Q40" s="1" t="str">
        <f t="shared" si="4"/>
        <v>21/01 a 22/01</v>
      </c>
      <c r="S40">
        <v>8789</v>
      </c>
      <c r="T40" t="s">
        <v>240</v>
      </c>
      <c r="U40">
        <v>8789</v>
      </c>
      <c r="V40">
        <v>0.61</v>
      </c>
      <c r="W40" s="1"/>
      <c r="Y40">
        <v>8633</v>
      </c>
      <c r="Z40" t="s">
        <v>228</v>
      </c>
      <c r="AA40">
        <v>8633</v>
      </c>
      <c r="AB40">
        <v>0.43</v>
      </c>
      <c r="AC40" s="1" t="str">
        <f t="shared" si="6"/>
        <v>16/01 a 17/01</v>
      </c>
      <c r="AE40">
        <v>8551</v>
      </c>
      <c r="AF40" t="s">
        <v>218</v>
      </c>
      <c r="AG40">
        <v>8551</v>
      </c>
      <c r="AH40">
        <v>0.38</v>
      </c>
      <c r="AI40" s="1" t="str">
        <f t="shared" si="7"/>
        <v>17/01 a 18/01</v>
      </c>
      <c r="AK40">
        <v>515</v>
      </c>
      <c r="AL40" t="s">
        <v>45</v>
      </c>
      <c r="AM40">
        <v>515</v>
      </c>
      <c r="AN40">
        <v>1.21</v>
      </c>
      <c r="AO40" s="1" t="str">
        <f t="shared" si="8"/>
        <v>20/10 A 23/10</v>
      </c>
      <c r="AQ40">
        <v>7141</v>
      </c>
      <c r="AR40" t="s">
        <v>16</v>
      </c>
      <c r="AS40">
        <v>7141</v>
      </c>
      <c r="AT40">
        <v>1.65</v>
      </c>
      <c r="AU40" s="57">
        <v>82.34</v>
      </c>
      <c r="AV40" s="63">
        <f t="shared" si="9"/>
        <v>0.23571428571428571</v>
      </c>
      <c r="AW40" s="63">
        <f t="shared" si="10"/>
        <v>11.762857142857143</v>
      </c>
    </row>
    <row r="41" spans="1:49" x14ac:dyDescent="0.35">
      <c r="A41">
        <v>7075</v>
      </c>
      <c r="B41" t="s">
        <v>187</v>
      </c>
      <c r="C41">
        <v>7075</v>
      </c>
      <c r="D41">
        <v>4.5</v>
      </c>
      <c r="E41" s="1" t="str">
        <f t="shared" si="2"/>
        <v>19/01 a20/01</v>
      </c>
      <c r="G41">
        <v>8690</v>
      </c>
      <c r="H41" t="s">
        <v>256</v>
      </c>
      <c r="I41">
        <v>8690</v>
      </c>
      <c r="J41">
        <v>0.44</v>
      </c>
      <c r="K41" s="1" t="str">
        <f t="shared" si="3"/>
        <v>20/01 a 21/01</v>
      </c>
      <c r="M41">
        <v>8963</v>
      </c>
      <c r="N41" t="s">
        <v>221</v>
      </c>
      <c r="O41">
        <v>8963</v>
      </c>
      <c r="P41">
        <v>5</v>
      </c>
      <c r="Q41" s="1" t="str">
        <f t="shared" si="4"/>
        <v>21/01 a 22/01</v>
      </c>
      <c r="S41">
        <v>8834</v>
      </c>
      <c r="T41" t="s">
        <v>270</v>
      </c>
      <c r="U41">
        <v>8834</v>
      </c>
      <c r="V41">
        <v>0.6</v>
      </c>
      <c r="W41" s="1"/>
      <c r="Y41">
        <v>8671</v>
      </c>
      <c r="Z41" t="s">
        <v>220</v>
      </c>
      <c r="AA41">
        <v>8671</v>
      </c>
      <c r="AB41">
        <v>0.39</v>
      </c>
      <c r="AC41" s="1" t="str">
        <f t="shared" si="6"/>
        <v>16/01 a 17/01</v>
      </c>
      <c r="AE41">
        <v>8598</v>
      </c>
      <c r="AF41" t="s">
        <v>219</v>
      </c>
      <c r="AG41">
        <v>8598</v>
      </c>
      <c r="AH41">
        <v>1.22</v>
      </c>
      <c r="AI41" s="1" t="str">
        <f t="shared" si="7"/>
        <v>17/01 a 18/01</v>
      </c>
      <c r="AK41">
        <v>544</v>
      </c>
      <c r="AL41" t="s">
        <v>46</v>
      </c>
      <c r="AM41">
        <v>544</v>
      </c>
      <c r="AN41">
        <v>0.74</v>
      </c>
      <c r="AO41" s="1" t="str">
        <f t="shared" si="8"/>
        <v>20/10 A 23/10</v>
      </c>
      <c r="AQ41">
        <v>7399</v>
      </c>
      <c r="AR41" t="s">
        <v>140</v>
      </c>
      <c r="AS41">
        <v>7399</v>
      </c>
      <c r="AT41">
        <v>1.96</v>
      </c>
      <c r="AU41" s="57">
        <v>74.28</v>
      </c>
      <c r="AV41" s="63">
        <f t="shared" si="9"/>
        <v>0.27999999999999997</v>
      </c>
      <c r="AW41" s="63">
        <f t="shared" si="10"/>
        <v>10.611428571428572</v>
      </c>
    </row>
    <row r="42" spans="1:49" x14ac:dyDescent="0.35">
      <c r="A42">
        <v>8695</v>
      </c>
      <c r="B42" t="s">
        <v>257</v>
      </c>
      <c r="C42">
        <v>8695</v>
      </c>
      <c r="D42">
        <v>1.57</v>
      </c>
      <c r="E42" s="1" t="str">
        <f t="shared" si="2"/>
        <v>19/01 a20/01</v>
      </c>
      <c r="G42">
        <v>8695</v>
      </c>
      <c r="H42" t="s">
        <v>257</v>
      </c>
      <c r="I42">
        <v>8695</v>
      </c>
      <c r="J42">
        <v>2.7</v>
      </c>
      <c r="K42" s="1" t="str">
        <f t="shared" si="3"/>
        <v>20/01 a 21/01</v>
      </c>
      <c r="M42">
        <v>8690</v>
      </c>
      <c r="N42" t="s">
        <v>256</v>
      </c>
      <c r="O42">
        <v>8690</v>
      </c>
      <c r="P42">
        <v>1.62</v>
      </c>
      <c r="Q42" s="1" t="str">
        <f t="shared" si="4"/>
        <v>21/01 a 22/01</v>
      </c>
      <c r="S42">
        <v>8847</v>
      </c>
      <c r="T42" t="s">
        <v>223</v>
      </c>
      <c r="U42">
        <v>8847</v>
      </c>
      <c r="V42">
        <v>0.63</v>
      </c>
      <c r="W42" s="1"/>
      <c r="Y42">
        <v>8963</v>
      </c>
      <c r="Z42" t="s">
        <v>221</v>
      </c>
      <c r="AA42">
        <v>8963</v>
      </c>
      <c r="AB42">
        <v>3</v>
      </c>
      <c r="AC42" s="1" t="str">
        <f t="shared" si="6"/>
        <v>16/01 a 17/01</v>
      </c>
      <c r="AE42">
        <v>8963</v>
      </c>
      <c r="AF42" t="s">
        <v>221</v>
      </c>
      <c r="AG42">
        <v>8963</v>
      </c>
      <c r="AH42">
        <v>3</v>
      </c>
      <c r="AI42" s="1" t="str">
        <f t="shared" si="7"/>
        <v>17/01 a 18/01</v>
      </c>
      <c r="AK42">
        <v>759</v>
      </c>
      <c r="AL42" t="s">
        <v>47</v>
      </c>
      <c r="AM42">
        <v>759</v>
      </c>
      <c r="AN42">
        <v>1.29</v>
      </c>
      <c r="AO42" s="1" t="str">
        <f t="shared" si="8"/>
        <v>20/10 A 23/10</v>
      </c>
      <c r="AQ42">
        <v>7475</v>
      </c>
      <c r="AR42" t="s">
        <v>124</v>
      </c>
      <c r="AS42">
        <v>7475</v>
      </c>
      <c r="AT42">
        <v>1.18</v>
      </c>
      <c r="AU42" s="57">
        <v>73.97</v>
      </c>
      <c r="AV42" s="63">
        <f t="shared" si="9"/>
        <v>0.16857142857142857</v>
      </c>
      <c r="AW42" s="63">
        <f t="shared" si="10"/>
        <v>10.567142857142857</v>
      </c>
    </row>
    <row r="43" spans="1:49" x14ac:dyDescent="0.35">
      <c r="A43">
        <v>8702</v>
      </c>
      <c r="B43" t="s">
        <v>241</v>
      </c>
      <c r="C43">
        <v>8702</v>
      </c>
      <c r="D43">
        <v>0.22</v>
      </c>
      <c r="E43" s="1" t="str">
        <f t="shared" si="2"/>
        <v>19/01 a20/01</v>
      </c>
      <c r="G43">
        <v>9391</v>
      </c>
      <c r="H43" t="s">
        <v>262</v>
      </c>
      <c r="I43">
        <v>9391</v>
      </c>
      <c r="J43">
        <v>1</v>
      </c>
      <c r="K43" s="1" t="str">
        <f t="shared" si="3"/>
        <v>20/01 a 21/01</v>
      </c>
      <c r="M43">
        <v>8695</v>
      </c>
      <c r="N43" t="s">
        <v>257</v>
      </c>
      <c r="O43">
        <v>8695</v>
      </c>
      <c r="P43">
        <v>2.23</v>
      </c>
      <c r="Q43" s="1" t="str">
        <f t="shared" si="4"/>
        <v>21/01 a 22/01</v>
      </c>
      <c r="S43">
        <v>8874</v>
      </c>
      <c r="T43" t="s">
        <v>237</v>
      </c>
      <c r="U43">
        <v>8874</v>
      </c>
      <c r="V43">
        <v>0.25</v>
      </c>
      <c r="W43" s="1"/>
      <c r="Y43">
        <v>8690</v>
      </c>
      <c r="Z43" t="s">
        <v>256</v>
      </c>
      <c r="AA43">
        <v>8690</v>
      </c>
      <c r="AB43">
        <v>0.4</v>
      </c>
      <c r="AC43" s="1" t="str">
        <f t="shared" si="6"/>
        <v>16/01 a 17/01</v>
      </c>
      <c r="AE43">
        <v>8702</v>
      </c>
      <c r="AF43" t="s">
        <v>241</v>
      </c>
      <c r="AG43">
        <v>8702</v>
      </c>
      <c r="AH43">
        <v>0.37</v>
      </c>
      <c r="AI43" s="1" t="str">
        <f t="shared" si="7"/>
        <v>17/01 a 18/01</v>
      </c>
      <c r="AK43">
        <v>1663</v>
      </c>
      <c r="AL43" t="s">
        <v>48</v>
      </c>
      <c r="AM43">
        <v>1663</v>
      </c>
      <c r="AN43">
        <v>0.16</v>
      </c>
      <c r="AO43" s="1" t="str">
        <f t="shared" si="8"/>
        <v>20/10 A 23/10</v>
      </c>
      <c r="AQ43">
        <v>6915</v>
      </c>
      <c r="AR43" t="s">
        <v>39</v>
      </c>
      <c r="AS43">
        <v>6915</v>
      </c>
      <c r="AT43">
        <v>1.22</v>
      </c>
      <c r="AU43" s="57">
        <v>73.09</v>
      </c>
      <c r="AV43" s="63">
        <f t="shared" si="9"/>
        <v>0.17428571428571429</v>
      </c>
      <c r="AW43" s="63">
        <f t="shared" si="10"/>
        <v>10.441428571428572</v>
      </c>
    </row>
    <row r="44" spans="1:49" x14ac:dyDescent="0.35">
      <c r="A44">
        <v>9391</v>
      </c>
      <c r="B44" t="s">
        <v>262</v>
      </c>
      <c r="C44">
        <v>9391</v>
      </c>
      <c r="D44">
        <v>6</v>
      </c>
      <c r="E44" s="1" t="str">
        <f t="shared" si="2"/>
        <v>19/01 a20/01</v>
      </c>
      <c r="G44">
        <v>8789</v>
      </c>
      <c r="H44" t="s">
        <v>240</v>
      </c>
      <c r="I44">
        <v>8789</v>
      </c>
      <c r="J44">
        <v>0.42</v>
      </c>
      <c r="K44" s="1" t="str">
        <f t="shared" si="3"/>
        <v>20/01 a 21/01</v>
      </c>
      <c r="M44">
        <v>9391</v>
      </c>
      <c r="N44" t="s">
        <v>262</v>
      </c>
      <c r="O44">
        <v>9391</v>
      </c>
      <c r="P44">
        <v>2</v>
      </c>
      <c r="Q44" s="1" t="str">
        <f t="shared" si="4"/>
        <v>21/01 a 22/01</v>
      </c>
      <c r="S44">
        <v>7065</v>
      </c>
      <c r="T44" t="s">
        <v>224</v>
      </c>
      <c r="U44">
        <v>7065</v>
      </c>
      <c r="V44">
        <v>5.74</v>
      </c>
      <c r="W44" s="1"/>
      <c r="Y44">
        <v>8695</v>
      </c>
      <c r="Z44" t="s">
        <v>257</v>
      </c>
      <c r="AA44">
        <v>8695</v>
      </c>
      <c r="AB44">
        <v>0.25</v>
      </c>
      <c r="AC44" s="1" t="str">
        <f t="shared" si="6"/>
        <v>16/01 a 17/01</v>
      </c>
      <c r="AE44">
        <v>8834</v>
      </c>
      <c r="AF44" t="s">
        <v>270</v>
      </c>
      <c r="AG44">
        <v>8834</v>
      </c>
      <c r="AH44">
        <v>0.39</v>
      </c>
      <c r="AI44" s="1" t="str">
        <f t="shared" si="7"/>
        <v>17/01 a 18/01</v>
      </c>
      <c r="AK44">
        <v>523</v>
      </c>
      <c r="AL44" t="s">
        <v>49</v>
      </c>
      <c r="AM44">
        <v>523</v>
      </c>
      <c r="AN44">
        <v>0.51</v>
      </c>
      <c r="AO44" s="1" t="str">
        <f t="shared" si="8"/>
        <v>20/10 A 23/10</v>
      </c>
      <c r="AQ44">
        <v>7260</v>
      </c>
      <c r="AR44" t="s">
        <v>137</v>
      </c>
      <c r="AS44">
        <v>7260</v>
      </c>
      <c r="AT44">
        <v>0.96</v>
      </c>
      <c r="AU44" s="57">
        <v>71.77</v>
      </c>
      <c r="AV44" s="63">
        <f t="shared" si="9"/>
        <v>0.13714285714285715</v>
      </c>
      <c r="AW44" s="63">
        <f t="shared" si="10"/>
        <v>10.252857142857142</v>
      </c>
    </row>
    <row r="45" spans="1:49" x14ac:dyDescent="0.35">
      <c r="A45">
        <v>8789</v>
      </c>
      <c r="B45" t="s">
        <v>240</v>
      </c>
      <c r="C45">
        <v>8789</v>
      </c>
      <c r="D45">
        <v>0.88</v>
      </c>
      <c r="E45" s="1" t="str">
        <f t="shared" si="2"/>
        <v>19/01 a20/01</v>
      </c>
      <c r="G45">
        <v>8837</v>
      </c>
      <c r="H45" t="s">
        <v>258</v>
      </c>
      <c r="I45">
        <v>8837</v>
      </c>
      <c r="J45">
        <v>1.59</v>
      </c>
      <c r="K45" s="1" t="str">
        <f t="shared" si="3"/>
        <v>20/01 a 21/01</v>
      </c>
      <c r="M45">
        <v>8789</v>
      </c>
      <c r="N45" t="s">
        <v>240</v>
      </c>
      <c r="O45">
        <v>8789</v>
      </c>
      <c r="P45">
        <v>0.22</v>
      </c>
      <c r="Q45" s="1" t="str">
        <f t="shared" si="4"/>
        <v>21/01 a 22/01</v>
      </c>
      <c r="S45">
        <v>7075</v>
      </c>
      <c r="T45" t="s">
        <v>187</v>
      </c>
      <c r="U45">
        <v>7075</v>
      </c>
      <c r="V45">
        <v>0.65</v>
      </c>
      <c r="W45" s="1"/>
      <c r="Y45">
        <v>8702</v>
      </c>
      <c r="Z45" t="s">
        <v>241</v>
      </c>
      <c r="AA45">
        <v>8702</v>
      </c>
      <c r="AB45">
        <v>0.37</v>
      </c>
      <c r="AC45" s="1" t="str">
        <f t="shared" si="6"/>
        <v>16/01 a 17/01</v>
      </c>
      <c r="AE45">
        <v>9123</v>
      </c>
      <c r="AF45" t="s">
        <v>245</v>
      </c>
      <c r="AG45">
        <v>9123</v>
      </c>
      <c r="AH45">
        <v>1</v>
      </c>
      <c r="AI45" s="1" t="str">
        <f t="shared" si="7"/>
        <v>17/01 a 18/01</v>
      </c>
      <c r="AK45">
        <v>2079</v>
      </c>
      <c r="AL45" t="s">
        <v>50</v>
      </c>
      <c r="AM45">
        <v>2079</v>
      </c>
      <c r="AN45">
        <v>0.47</v>
      </c>
      <c r="AO45" s="1" t="str">
        <f t="shared" si="8"/>
        <v>20/10 A 23/10</v>
      </c>
      <c r="AQ45">
        <v>7474</v>
      </c>
      <c r="AR45" t="s">
        <v>123</v>
      </c>
      <c r="AS45">
        <v>7474</v>
      </c>
      <c r="AT45">
        <v>1.01</v>
      </c>
      <c r="AU45" s="57">
        <v>70.760000000000005</v>
      </c>
      <c r="AV45" s="63">
        <f t="shared" si="9"/>
        <v>0.14428571428571429</v>
      </c>
      <c r="AW45" s="63">
        <f t="shared" si="10"/>
        <v>10.108571428571429</v>
      </c>
    </row>
    <row r="46" spans="1:49" x14ac:dyDescent="0.35">
      <c r="A46">
        <v>8837</v>
      </c>
      <c r="B46" t="s">
        <v>258</v>
      </c>
      <c r="C46">
        <v>8837</v>
      </c>
      <c r="D46">
        <v>0.35</v>
      </c>
      <c r="E46" s="1" t="str">
        <f t="shared" si="2"/>
        <v>19/01 a20/01</v>
      </c>
      <c r="G46">
        <v>9123</v>
      </c>
      <c r="H46" t="s">
        <v>245</v>
      </c>
      <c r="I46">
        <v>9123</v>
      </c>
      <c r="J46">
        <v>10</v>
      </c>
      <c r="K46" s="1" t="str">
        <f t="shared" si="3"/>
        <v>20/01 a 21/01</v>
      </c>
      <c r="M46">
        <v>8837</v>
      </c>
      <c r="N46" t="s">
        <v>258</v>
      </c>
      <c r="O46">
        <v>8837</v>
      </c>
      <c r="P46">
        <v>0.63</v>
      </c>
      <c r="Q46" s="1" t="str">
        <f t="shared" si="4"/>
        <v>21/01 a 22/01</v>
      </c>
      <c r="W46" s="1"/>
      <c r="Y46">
        <v>8789</v>
      </c>
      <c r="Z46" t="s">
        <v>240</v>
      </c>
      <c r="AA46">
        <v>8789</v>
      </c>
      <c r="AB46">
        <v>0.19</v>
      </c>
      <c r="AC46" s="1" t="str">
        <f t="shared" si="6"/>
        <v>16/01 a 17/01</v>
      </c>
      <c r="AE46">
        <v>8839</v>
      </c>
      <c r="AF46" t="s">
        <v>222</v>
      </c>
      <c r="AG46">
        <v>8839</v>
      </c>
      <c r="AH46">
        <v>1.92</v>
      </c>
      <c r="AI46" s="1" t="str">
        <f t="shared" si="7"/>
        <v>17/01 a 18/01</v>
      </c>
      <c r="AK46">
        <v>2072</v>
      </c>
      <c r="AL46" t="s">
        <v>51</v>
      </c>
      <c r="AM46">
        <v>2072</v>
      </c>
      <c r="AN46">
        <v>0.37</v>
      </c>
      <c r="AO46" s="1" t="str">
        <f t="shared" si="8"/>
        <v>20/10 A 23/10</v>
      </c>
      <c r="AQ46">
        <v>7398</v>
      </c>
      <c r="AR46" t="s">
        <v>62</v>
      </c>
      <c r="AS46">
        <v>7398</v>
      </c>
      <c r="AT46">
        <v>1.75</v>
      </c>
      <c r="AU46" s="57">
        <v>69.739999999999995</v>
      </c>
      <c r="AV46" s="63">
        <f t="shared" si="9"/>
        <v>0.25</v>
      </c>
      <c r="AW46" s="63">
        <f t="shared" si="10"/>
        <v>9.9628571428571426</v>
      </c>
    </row>
    <row r="47" spans="1:49" x14ac:dyDescent="0.35">
      <c r="A47">
        <v>9123</v>
      </c>
      <c r="B47" t="s">
        <v>245</v>
      </c>
      <c r="C47">
        <v>9123</v>
      </c>
      <c r="D47">
        <v>5</v>
      </c>
      <c r="E47" s="1" t="str">
        <f t="shared" si="2"/>
        <v>19/01 a20/01</v>
      </c>
      <c r="G47">
        <v>8847</v>
      </c>
      <c r="H47" t="s">
        <v>223</v>
      </c>
      <c r="I47">
        <v>8847</v>
      </c>
      <c r="J47">
        <v>1.58</v>
      </c>
      <c r="K47" s="1" t="str">
        <f t="shared" si="3"/>
        <v>20/01 a 21/01</v>
      </c>
      <c r="M47">
        <v>9123</v>
      </c>
      <c r="N47" t="s">
        <v>245</v>
      </c>
      <c r="O47">
        <v>9123</v>
      </c>
      <c r="P47">
        <v>6</v>
      </c>
      <c r="Q47" s="1" t="str">
        <f t="shared" si="4"/>
        <v>21/01 a 22/01</v>
      </c>
      <c r="V47">
        <v>108.702</v>
      </c>
      <c r="W47" s="1"/>
      <c r="Y47">
        <v>8834</v>
      </c>
      <c r="Z47" t="s">
        <v>270</v>
      </c>
      <c r="AA47">
        <v>8834</v>
      </c>
      <c r="AB47">
        <v>0.99</v>
      </c>
      <c r="AC47" s="1" t="str">
        <f t="shared" si="6"/>
        <v>16/01 a 17/01</v>
      </c>
      <c r="AE47">
        <v>8523</v>
      </c>
      <c r="AF47" t="s">
        <v>232</v>
      </c>
      <c r="AG47">
        <v>8523</v>
      </c>
      <c r="AH47">
        <v>0.64</v>
      </c>
      <c r="AI47" s="1" t="str">
        <f t="shared" si="7"/>
        <v>17/01 a 18/01</v>
      </c>
      <c r="AK47">
        <v>2923</v>
      </c>
      <c r="AL47" t="s">
        <v>52</v>
      </c>
      <c r="AM47">
        <v>2923</v>
      </c>
      <c r="AN47">
        <v>0.19</v>
      </c>
      <c r="AO47" s="1" t="str">
        <f t="shared" si="8"/>
        <v>20/10 A 23/10</v>
      </c>
      <c r="AQ47">
        <v>6993</v>
      </c>
      <c r="AR47" t="s">
        <v>94</v>
      </c>
      <c r="AS47">
        <v>6993</v>
      </c>
      <c r="AT47">
        <v>1.41</v>
      </c>
      <c r="AU47" s="57">
        <v>67.44</v>
      </c>
      <c r="AV47" s="63">
        <f t="shared" si="9"/>
        <v>0.20142857142857143</v>
      </c>
      <c r="AW47" s="63">
        <f t="shared" si="10"/>
        <v>9.6342857142857135</v>
      </c>
    </row>
    <row r="48" spans="1:49" x14ac:dyDescent="0.35">
      <c r="A48">
        <v>8839</v>
      </c>
      <c r="B48" t="s">
        <v>222</v>
      </c>
      <c r="C48">
        <v>8839</v>
      </c>
      <c r="D48">
        <v>1.3</v>
      </c>
      <c r="E48" s="1" t="str">
        <f t="shared" si="2"/>
        <v>19/01 a20/01</v>
      </c>
      <c r="G48">
        <v>8874</v>
      </c>
      <c r="H48" t="s">
        <v>237</v>
      </c>
      <c r="I48">
        <v>8874</v>
      </c>
      <c r="J48">
        <v>0.4</v>
      </c>
      <c r="K48" s="1" t="str">
        <f t="shared" si="3"/>
        <v>20/01 a 21/01</v>
      </c>
      <c r="M48">
        <v>8839</v>
      </c>
      <c r="N48" t="s">
        <v>222</v>
      </c>
      <c r="O48">
        <v>8839</v>
      </c>
      <c r="P48">
        <v>0.54</v>
      </c>
      <c r="Q48" s="1" t="str">
        <f t="shared" si="4"/>
        <v>21/01 a 22/01</v>
      </c>
      <c r="S48">
        <v>8874</v>
      </c>
      <c r="T48" t="s">
        <v>237</v>
      </c>
      <c r="U48">
        <v>8874</v>
      </c>
      <c r="V48">
        <v>1.0900000000000001</v>
      </c>
      <c r="W48" s="1"/>
      <c r="Y48">
        <v>9123</v>
      </c>
      <c r="Z48" t="s">
        <v>245</v>
      </c>
      <c r="AA48">
        <v>9123</v>
      </c>
      <c r="AB48">
        <v>1</v>
      </c>
      <c r="AC48" s="1" t="str">
        <f t="shared" si="6"/>
        <v>16/01 a 17/01</v>
      </c>
      <c r="AE48">
        <v>8874</v>
      </c>
      <c r="AF48" t="s">
        <v>237</v>
      </c>
      <c r="AG48">
        <v>8874</v>
      </c>
      <c r="AH48">
        <v>0.23</v>
      </c>
      <c r="AI48" s="1" t="str">
        <f t="shared" si="7"/>
        <v>17/01 a 18/01</v>
      </c>
      <c r="AK48">
        <v>643</v>
      </c>
      <c r="AL48" t="s">
        <v>53</v>
      </c>
      <c r="AM48">
        <v>643</v>
      </c>
      <c r="AN48">
        <v>0.33</v>
      </c>
      <c r="AO48" s="1" t="str">
        <f t="shared" si="8"/>
        <v>20/10 A 23/10</v>
      </c>
      <c r="AQ48">
        <v>7529</v>
      </c>
      <c r="AR48" t="s">
        <v>131</v>
      </c>
      <c r="AS48">
        <v>7529</v>
      </c>
      <c r="AT48">
        <v>1.33</v>
      </c>
      <c r="AU48" s="57">
        <v>66.14</v>
      </c>
      <c r="AV48" s="63">
        <f t="shared" si="9"/>
        <v>0.19</v>
      </c>
      <c r="AW48" s="63">
        <f t="shared" si="10"/>
        <v>9.4485714285714284</v>
      </c>
    </row>
    <row r="49" spans="1:49" x14ac:dyDescent="0.35">
      <c r="A49">
        <v>8847</v>
      </c>
      <c r="B49" t="s">
        <v>223</v>
      </c>
      <c r="C49">
        <v>8847</v>
      </c>
      <c r="D49">
        <v>0.88</v>
      </c>
      <c r="E49" s="1" t="str">
        <f t="shared" si="2"/>
        <v>19/01 a20/01</v>
      </c>
      <c r="G49">
        <v>7065</v>
      </c>
      <c r="H49" t="s">
        <v>224</v>
      </c>
      <c r="I49">
        <v>7065</v>
      </c>
      <c r="J49">
        <v>0.85</v>
      </c>
      <c r="K49" s="1" t="str">
        <f t="shared" si="3"/>
        <v>20/01 a 21/01</v>
      </c>
      <c r="M49">
        <v>8847</v>
      </c>
      <c r="N49" t="s">
        <v>223</v>
      </c>
      <c r="O49">
        <v>8847</v>
      </c>
      <c r="P49">
        <v>0.6</v>
      </c>
      <c r="Q49" s="1" t="str">
        <f t="shared" si="4"/>
        <v>21/01 a 22/01</v>
      </c>
      <c r="S49">
        <v>7065</v>
      </c>
      <c r="T49" t="s">
        <v>224</v>
      </c>
      <c r="U49">
        <v>7065</v>
      </c>
      <c r="V49">
        <v>0.77</v>
      </c>
      <c r="W49" s="1"/>
      <c r="Y49">
        <v>8839</v>
      </c>
      <c r="Z49" t="s">
        <v>222</v>
      </c>
      <c r="AA49">
        <v>8839</v>
      </c>
      <c r="AB49">
        <v>1.92</v>
      </c>
      <c r="AC49" s="1" t="str">
        <f t="shared" si="6"/>
        <v>16/01 a 17/01</v>
      </c>
      <c r="AE49">
        <v>8900</v>
      </c>
      <c r="AF49" t="s">
        <v>275</v>
      </c>
      <c r="AG49">
        <v>8900</v>
      </c>
      <c r="AH49">
        <v>2.04</v>
      </c>
      <c r="AI49" s="1" t="str">
        <f t="shared" si="7"/>
        <v>17/01 a 18/01</v>
      </c>
      <c r="AK49">
        <v>6231</v>
      </c>
      <c r="AL49" t="s">
        <v>54</v>
      </c>
      <c r="AM49">
        <v>6231</v>
      </c>
      <c r="AN49">
        <v>0.27</v>
      </c>
      <c r="AO49" s="1" t="str">
        <f t="shared" si="8"/>
        <v>20/10 A 23/10</v>
      </c>
      <c r="AQ49">
        <v>7348</v>
      </c>
      <c r="AR49" t="s">
        <v>118</v>
      </c>
      <c r="AS49">
        <v>7348</v>
      </c>
      <c r="AT49">
        <v>1.0900000000000001</v>
      </c>
      <c r="AU49" s="57">
        <v>65.06</v>
      </c>
      <c r="AV49" s="63">
        <f t="shared" si="9"/>
        <v>0.15571428571428572</v>
      </c>
      <c r="AW49" s="63">
        <f t="shared" si="10"/>
        <v>9.2942857142857154</v>
      </c>
    </row>
    <row r="50" spans="1:49" x14ac:dyDescent="0.35">
      <c r="A50">
        <v>7065</v>
      </c>
      <c r="B50" t="s">
        <v>224</v>
      </c>
      <c r="C50">
        <v>7065</v>
      </c>
      <c r="D50">
        <v>0.94</v>
      </c>
      <c r="E50" s="1" t="str">
        <f t="shared" si="2"/>
        <v>19/01 a20/01</v>
      </c>
      <c r="G50">
        <v>7075</v>
      </c>
      <c r="H50" t="s">
        <v>187</v>
      </c>
      <c r="I50">
        <v>7075</v>
      </c>
      <c r="J50">
        <v>7.17</v>
      </c>
      <c r="K50" s="1" t="str">
        <f t="shared" si="3"/>
        <v>20/01 a 21/01</v>
      </c>
      <c r="M50">
        <v>8874</v>
      </c>
      <c r="N50" t="s">
        <v>237</v>
      </c>
      <c r="O50">
        <v>8874</v>
      </c>
      <c r="P50">
        <v>1</v>
      </c>
      <c r="Q50" s="1" t="str">
        <f t="shared" si="4"/>
        <v>21/01 a 22/01</v>
      </c>
      <c r="S50">
        <v>7065</v>
      </c>
      <c r="T50" t="s">
        <v>224</v>
      </c>
      <c r="U50">
        <v>7065</v>
      </c>
      <c r="V50">
        <v>4.7699999999999996</v>
      </c>
      <c r="W50" s="1"/>
      <c r="Y50">
        <v>8874</v>
      </c>
      <c r="Z50" t="s">
        <v>237</v>
      </c>
      <c r="AA50">
        <v>8874</v>
      </c>
      <c r="AB50">
        <v>0.48</v>
      </c>
      <c r="AC50" s="1" t="str">
        <f t="shared" si="6"/>
        <v>16/01 a 17/01</v>
      </c>
      <c r="AE50">
        <v>7065</v>
      </c>
      <c r="AF50" t="s">
        <v>224</v>
      </c>
      <c r="AG50">
        <v>7065</v>
      </c>
      <c r="AH50">
        <v>2.39</v>
      </c>
      <c r="AI50" s="1" t="str">
        <f t="shared" si="7"/>
        <v>17/01 a 18/01</v>
      </c>
      <c r="AK50">
        <v>235</v>
      </c>
      <c r="AL50" t="s">
        <v>55</v>
      </c>
      <c r="AM50">
        <v>235</v>
      </c>
      <c r="AN50">
        <v>0.28000000000000003</v>
      </c>
      <c r="AO50" s="1" t="str">
        <f t="shared" si="8"/>
        <v>20/10 A 23/10</v>
      </c>
      <c r="AQ50">
        <v>7120</v>
      </c>
      <c r="AR50" t="s">
        <v>14</v>
      </c>
      <c r="AS50">
        <v>7120</v>
      </c>
      <c r="AT50">
        <v>1.59</v>
      </c>
      <c r="AU50" s="57">
        <v>63.45</v>
      </c>
      <c r="AV50" s="63">
        <f t="shared" si="9"/>
        <v>0.22714285714285715</v>
      </c>
      <c r="AW50" s="63">
        <f t="shared" si="10"/>
        <v>9.0642857142857149</v>
      </c>
    </row>
    <row r="51" spans="1:49" x14ac:dyDescent="0.35">
      <c r="A51">
        <v>7075</v>
      </c>
      <c r="B51" t="s">
        <v>187</v>
      </c>
      <c r="C51">
        <v>7075</v>
      </c>
      <c r="D51">
        <v>4.1500000000000004</v>
      </c>
      <c r="E51" s="1" t="str">
        <f t="shared" si="2"/>
        <v>19/01 a20/01</v>
      </c>
      <c r="K51" s="1" t="str">
        <f t="shared" si="3"/>
        <v>20/01 a 21/01</v>
      </c>
      <c r="M51">
        <v>7065</v>
      </c>
      <c r="N51" t="s">
        <v>224</v>
      </c>
      <c r="O51">
        <v>7065</v>
      </c>
      <c r="P51">
        <v>5.9</v>
      </c>
      <c r="Q51" s="1" t="str">
        <f t="shared" si="4"/>
        <v>21/01 a 22/01</v>
      </c>
      <c r="S51">
        <v>7075</v>
      </c>
      <c r="T51" t="s">
        <v>187</v>
      </c>
      <c r="U51">
        <v>7075</v>
      </c>
      <c r="V51">
        <v>6.54</v>
      </c>
      <c r="W51" s="1"/>
      <c r="Y51">
        <v>8900</v>
      </c>
      <c r="Z51" t="s">
        <v>275</v>
      </c>
      <c r="AA51">
        <v>8900</v>
      </c>
      <c r="AB51">
        <v>2.04</v>
      </c>
      <c r="AC51" s="1" t="str">
        <f t="shared" si="6"/>
        <v>16/01 a 17/01</v>
      </c>
      <c r="AI51" s="1" t="str">
        <f t="shared" si="7"/>
        <v>17/01 a 18/01</v>
      </c>
      <c r="AK51">
        <v>164</v>
      </c>
      <c r="AL51" t="s">
        <v>56</v>
      </c>
      <c r="AM51">
        <v>164</v>
      </c>
      <c r="AN51">
        <v>0.28999999999999998</v>
      </c>
      <c r="AO51" s="1" t="str">
        <f t="shared" si="8"/>
        <v>20/10 A 23/10</v>
      </c>
      <c r="AQ51">
        <v>7200</v>
      </c>
      <c r="AR51" t="s">
        <v>19</v>
      </c>
      <c r="AS51">
        <v>7200</v>
      </c>
      <c r="AT51">
        <v>1.23</v>
      </c>
      <c r="AU51" s="57">
        <v>61.58</v>
      </c>
      <c r="AV51" s="63">
        <f t="shared" si="9"/>
        <v>0.17571428571428571</v>
      </c>
      <c r="AW51" s="63">
        <f t="shared" si="10"/>
        <v>8.7971428571428572</v>
      </c>
    </row>
    <row r="52" spans="1:49" x14ac:dyDescent="0.35">
      <c r="E52" s="1" t="str">
        <f t="shared" si="2"/>
        <v>19/01 a20/01</v>
      </c>
      <c r="J52">
        <v>110.166</v>
      </c>
      <c r="K52" s="1" t="str">
        <f t="shared" si="3"/>
        <v>20/01 a 21/01</v>
      </c>
      <c r="M52">
        <v>7075</v>
      </c>
      <c r="N52" t="s">
        <v>187</v>
      </c>
      <c r="O52">
        <v>7075</v>
      </c>
      <c r="P52">
        <v>7.41</v>
      </c>
      <c r="Q52" s="1" t="str">
        <f t="shared" si="4"/>
        <v>21/01 a 22/01</v>
      </c>
      <c r="S52">
        <v>7075</v>
      </c>
      <c r="T52" t="s">
        <v>187</v>
      </c>
      <c r="U52">
        <v>7075</v>
      </c>
      <c r="V52">
        <v>0.15</v>
      </c>
      <c r="W52" s="1"/>
      <c r="Y52">
        <v>7065</v>
      </c>
      <c r="Z52" t="s">
        <v>224</v>
      </c>
      <c r="AA52">
        <v>7065</v>
      </c>
      <c r="AB52">
        <v>4.8499999999999996</v>
      </c>
      <c r="AC52" s="1" t="str">
        <f t="shared" si="6"/>
        <v>16/01 a 17/01</v>
      </c>
      <c r="AI52" s="1" t="str">
        <f t="shared" si="7"/>
        <v>17/01 a 18/01</v>
      </c>
      <c r="AK52">
        <v>6228</v>
      </c>
      <c r="AL52" t="s">
        <v>57</v>
      </c>
      <c r="AM52">
        <v>6228</v>
      </c>
      <c r="AN52">
        <v>0.69</v>
      </c>
      <c r="AO52" s="1" t="str">
        <f t="shared" si="8"/>
        <v>20/10 A 23/10</v>
      </c>
      <c r="AQ52">
        <v>7488</v>
      </c>
      <c r="AR52" t="s">
        <v>150</v>
      </c>
      <c r="AS52">
        <v>7488</v>
      </c>
      <c r="AT52">
        <v>2</v>
      </c>
      <c r="AU52" s="57">
        <v>57.8</v>
      </c>
      <c r="AV52" s="63">
        <f t="shared" si="9"/>
        <v>0.2857142857142857</v>
      </c>
      <c r="AW52" s="63">
        <f t="shared" si="10"/>
        <v>8.2571428571428562</v>
      </c>
    </row>
    <row r="53" spans="1:49" x14ac:dyDescent="0.35">
      <c r="E53" s="1" t="str">
        <f t="shared" si="2"/>
        <v>19/01 a20/01</v>
      </c>
      <c r="K53" s="1" t="str">
        <f t="shared" si="3"/>
        <v>20/01 a 21/01</v>
      </c>
      <c r="Q53" s="1"/>
      <c r="W53" s="1"/>
      <c r="AC53" s="1" t="str">
        <f t="shared" si="6"/>
        <v>16/01 a 17/01</v>
      </c>
      <c r="AI53" s="1" t="str">
        <f t="shared" si="7"/>
        <v>17/01 a 18/01</v>
      </c>
      <c r="AK53">
        <v>511</v>
      </c>
      <c r="AL53" t="s">
        <v>58</v>
      </c>
      <c r="AM53">
        <v>511</v>
      </c>
      <c r="AN53">
        <v>0.14000000000000001</v>
      </c>
      <c r="AO53" s="1" t="str">
        <f t="shared" si="8"/>
        <v>20/10 A 23/10</v>
      </c>
      <c r="AQ53">
        <v>6954</v>
      </c>
      <c r="AR53" t="s">
        <v>72</v>
      </c>
      <c r="AS53">
        <v>6954</v>
      </c>
      <c r="AT53">
        <v>1.19</v>
      </c>
      <c r="AU53" s="57">
        <v>55.73</v>
      </c>
      <c r="AV53" s="63">
        <f t="shared" si="9"/>
        <v>0.16999999999999998</v>
      </c>
      <c r="AW53" s="63">
        <f t="shared" si="10"/>
        <v>7.9614285714285709</v>
      </c>
    </row>
    <row r="54" spans="1:49" x14ac:dyDescent="0.35">
      <c r="E54" s="1" t="str">
        <f t="shared" si="2"/>
        <v>19/01 a20/01</v>
      </c>
      <c r="K54" s="1" t="str">
        <f t="shared" si="3"/>
        <v>20/01 a 21/01</v>
      </c>
      <c r="P54">
        <v>114.803</v>
      </c>
      <c r="Q54" s="1"/>
      <c r="V54">
        <v>153.94200000000001</v>
      </c>
      <c r="W54" s="1"/>
      <c r="AB54">
        <v>133.1</v>
      </c>
      <c r="AC54" s="1" t="str">
        <f t="shared" si="6"/>
        <v>16/01 a 17/01</v>
      </c>
      <c r="AI54" s="1" t="str">
        <f t="shared" si="7"/>
        <v>17/01 a 18/01</v>
      </c>
      <c r="AK54">
        <v>511</v>
      </c>
      <c r="AL54" t="s">
        <v>58</v>
      </c>
      <c r="AM54">
        <v>511</v>
      </c>
      <c r="AN54">
        <v>0.15</v>
      </c>
      <c r="AO54" s="1" t="str">
        <f t="shared" si="8"/>
        <v>20/10 A 23/10</v>
      </c>
      <c r="AQ54">
        <v>7265</v>
      </c>
      <c r="AR54" t="s">
        <v>136</v>
      </c>
      <c r="AS54">
        <v>7265</v>
      </c>
      <c r="AT54">
        <v>0.69</v>
      </c>
      <c r="AU54" s="57">
        <v>51.53</v>
      </c>
      <c r="AV54" s="63">
        <f t="shared" si="9"/>
        <v>9.857142857142856E-2</v>
      </c>
      <c r="AW54" s="63">
        <f t="shared" si="10"/>
        <v>7.3614285714285712</v>
      </c>
    </row>
    <row r="55" spans="1:49" x14ac:dyDescent="0.35">
      <c r="E55" s="1" t="str">
        <f t="shared" si="2"/>
        <v>19/01 a20/01</v>
      </c>
      <c r="K55" s="1" t="str">
        <f t="shared" si="3"/>
        <v>20/01 a 21/01</v>
      </c>
      <c r="Q55" s="1"/>
      <c r="W55" s="1"/>
      <c r="AB55">
        <v>177.20500000000001</v>
      </c>
      <c r="AC55" s="1" t="str">
        <f t="shared" si="6"/>
        <v>16/01 a 17/01</v>
      </c>
      <c r="AI55" s="1" t="str">
        <f t="shared" si="7"/>
        <v>17/01 a 18/01</v>
      </c>
      <c r="AK55">
        <v>7327</v>
      </c>
      <c r="AL55" t="s">
        <v>59</v>
      </c>
      <c r="AM55">
        <v>7327</v>
      </c>
      <c r="AN55">
        <v>0.22</v>
      </c>
      <c r="AO55" s="1" t="str">
        <f t="shared" si="8"/>
        <v>20/10 A 23/10</v>
      </c>
      <c r="AQ55">
        <v>6950</v>
      </c>
      <c r="AR55" t="s">
        <v>133</v>
      </c>
      <c r="AS55">
        <v>6950</v>
      </c>
      <c r="AT55">
        <v>1.02</v>
      </c>
      <c r="AU55" s="57">
        <v>50.7</v>
      </c>
      <c r="AV55" s="63">
        <f t="shared" si="9"/>
        <v>0.14571428571428571</v>
      </c>
      <c r="AW55" s="63">
        <f t="shared" si="10"/>
        <v>7.2428571428571429</v>
      </c>
    </row>
    <row r="56" spans="1:49" x14ac:dyDescent="0.35">
      <c r="E56" s="1" t="str">
        <f t="shared" si="2"/>
        <v>19/01 a20/01</v>
      </c>
      <c r="K56" s="1" t="str">
        <f t="shared" si="3"/>
        <v>20/01 a 21/01</v>
      </c>
      <c r="Q56" s="1"/>
      <c r="W56" s="1"/>
      <c r="AC56" s="1" t="str">
        <f t="shared" si="6"/>
        <v>16/01 a 17/01</v>
      </c>
      <c r="AI56" s="1" t="str">
        <f t="shared" si="7"/>
        <v>17/01 a 18/01</v>
      </c>
      <c r="AK56">
        <v>7327</v>
      </c>
      <c r="AL56" t="s">
        <v>59</v>
      </c>
      <c r="AM56">
        <v>7327</v>
      </c>
      <c r="AN56">
        <v>0.34</v>
      </c>
      <c r="AO56" s="1" t="str">
        <f t="shared" si="8"/>
        <v>20/10 A 23/10</v>
      </c>
      <c r="AQ56">
        <v>7195</v>
      </c>
      <c r="AR56" t="s">
        <v>138</v>
      </c>
      <c r="AS56">
        <v>7195</v>
      </c>
      <c r="AT56">
        <v>1.27</v>
      </c>
      <c r="AU56" s="57">
        <v>50.61</v>
      </c>
      <c r="AV56" s="63">
        <f t="shared" si="9"/>
        <v>0.18142857142857144</v>
      </c>
      <c r="AW56" s="63">
        <f t="shared" si="10"/>
        <v>7.2299999999999995</v>
      </c>
    </row>
    <row r="57" spans="1:49" x14ac:dyDescent="0.35">
      <c r="E57" s="1" t="str">
        <f t="shared" si="2"/>
        <v>19/01 a20/01</v>
      </c>
      <c r="K57" s="1" t="str">
        <f t="shared" si="3"/>
        <v>20/01 a 21/01</v>
      </c>
      <c r="Q57" s="1"/>
      <c r="W57" s="1"/>
      <c r="AC57" s="1" t="str">
        <f t="shared" si="6"/>
        <v>16/01 a 17/01</v>
      </c>
      <c r="AI57" s="1" t="str">
        <f t="shared" si="7"/>
        <v>17/01 a 18/01</v>
      </c>
      <c r="AK57">
        <v>4052</v>
      </c>
      <c r="AL57" t="s">
        <v>60</v>
      </c>
      <c r="AM57">
        <v>4052</v>
      </c>
      <c r="AN57">
        <v>0.5</v>
      </c>
      <c r="AO57" s="1" t="str">
        <f t="shared" si="8"/>
        <v>20/10 A 23/10</v>
      </c>
      <c r="AQ57">
        <v>7473</v>
      </c>
      <c r="AR57" t="s">
        <v>134</v>
      </c>
      <c r="AS57">
        <v>7473</v>
      </c>
      <c r="AT57">
        <v>1.34</v>
      </c>
      <c r="AU57" s="57">
        <v>48.12</v>
      </c>
      <c r="AV57" s="63">
        <f t="shared" si="9"/>
        <v>0.19142857142857145</v>
      </c>
      <c r="AW57" s="63">
        <f t="shared" si="10"/>
        <v>6.8742857142857137</v>
      </c>
    </row>
    <row r="58" spans="1:49" x14ac:dyDescent="0.35">
      <c r="E58" s="1" t="str">
        <f t="shared" si="2"/>
        <v>19/01 a20/01</v>
      </c>
      <c r="K58" s="1" t="str">
        <f t="shared" si="3"/>
        <v>20/01 a 21/01</v>
      </c>
      <c r="Q58" s="1"/>
      <c r="W58" s="1"/>
      <c r="AC58" s="1" t="str">
        <f t="shared" si="6"/>
        <v>16/01 a 17/01</v>
      </c>
      <c r="AI58" s="1" t="str">
        <f t="shared" si="7"/>
        <v>17/01 a 18/01</v>
      </c>
      <c r="AK58">
        <v>93445</v>
      </c>
      <c r="AL58" t="s">
        <v>61</v>
      </c>
      <c r="AM58">
        <v>93445</v>
      </c>
      <c r="AN58">
        <v>0.38</v>
      </c>
      <c r="AO58" s="1" t="str">
        <f t="shared" si="8"/>
        <v>20/10 A 23/10</v>
      </c>
      <c r="AQ58">
        <v>7496</v>
      </c>
      <c r="AR58" t="s">
        <v>151</v>
      </c>
      <c r="AS58">
        <v>7496</v>
      </c>
      <c r="AT58">
        <v>0.97</v>
      </c>
      <c r="AU58" s="57">
        <v>46.28</v>
      </c>
      <c r="AV58" s="63">
        <f t="shared" si="9"/>
        <v>0.13857142857142857</v>
      </c>
      <c r="AW58" s="63">
        <f t="shared" si="10"/>
        <v>6.6114285714285712</v>
      </c>
    </row>
    <row r="59" spans="1:49" x14ac:dyDescent="0.35">
      <c r="E59" s="1" t="str">
        <f t="shared" si="2"/>
        <v>19/01 a20/01</v>
      </c>
      <c r="K59" s="1" t="str">
        <f t="shared" si="3"/>
        <v>20/01 a 21/01</v>
      </c>
      <c r="Q59" s="1"/>
      <c r="W59" s="1"/>
      <c r="AC59" s="1" t="str">
        <f t="shared" si="6"/>
        <v>16/01 a 17/01</v>
      </c>
      <c r="AI59" s="1" t="str">
        <f t="shared" si="7"/>
        <v>17/01 a 18/01</v>
      </c>
      <c r="AK59">
        <v>7398</v>
      </c>
      <c r="AL59" t="s">
        <v>62</v>
      </c>
      <c r="AM59">
        <v>7398</v>
      </c>
      <c r="AN59">
        <v>1.34</v>
      </c>
      <c r="AO59" s="1" t="str">
        <f t="shared" si="8"/>
        <v>20/10 A 23/10</v>
      </c>
      <c r="AQ59">
        <v>7479</v>
      </c>
      <c r="AR59" t="s">
        <v>149</v>
      </c>
      <c r="AS59">
        <v>7479</v>
      </c>
      <c r="AT59">
        <v>1.3</v>
      </c>
      <c r="AU59" s="57">
        <v>45.31</v>
      </c>
      <c r="AV59" s="63">
        <f t="shared" si="9"/>
        <v>0.18571428571428572</v>
      </c>
      <c r="AW59" s="63">
        <f t="shared" si="10"/>
        <v>6.4728571428571433</v>
      </c>
    </row>
    <row r="60" spans="1:49" x14ac:dyDescent="0.35">
      <c r="E60" s="1" t="str">
        <f t="shared" si="2"/>
        <v>19/01 a20/01</v>
      </c>
      <c r="K60" s="1" t="str">
        <f t="shared" si="3"/>
        <v>20/01 a 21/01</v>
      </c>
      <c r="Q60" s="1"/>
      <c r="W60" s="1"/>
      <c r="AC60" s="1" t="str">
        <f t="shared" si="6"/>
        <v>16/01 a 17/01</v>
      </c>
      <c r="AI60" s="1" t="str">
        <f t="shared" si="7"/>
        <v>17/01 a 18/01</v>
      </c>
      <c r="AK60">
        <v>7421</v>
      </c>
      <c r="AL60" t="s">
        <v>63</v>
      </c>
      <c r="AM60">
        <v>7421</v>
      </c>
      <c r="AN60">
        <v>1.6</v>
      </c>
      <c r="AO60" s="1" t="str">
        <f t="shared" si="8"/>
        <v>20/10 A 23/10</v>
      </c>
      <c r="AQ60">
        <v>7549</v>
      </c>
      <c r="AR60" t="s">
        <v>141</v>
      </c>
      <c r="AS60">
        <v>7549</v>
      </c>
      <c r="AT60">
        <v>0.66</v>
      </c>
      <c r="AU60" s="57">
        <v>44.94</v>
      </c>
      <c r="AV60" s="63">
        <f t="shared" si="9"/>
        <v>9.4285714285714292E-2</v>
      </c>
      <c r="AW60" s="63">
        <f t="shared" si="10"/>
        <v>6.42</v>
      </c>
    </row>
    <row r="61" spans="1:49" x14ac:dyDescent="0.35">
      <c r="E61" s="1" t="str">
        <f t="shared" si="2"/>
        <v>19/01 a20/01</v>
      </c>
      <c r="K61" s="1" t="str">
        <f t="shared" si="3"/>
        <v>20/01 a 21/01</v>
      </c>
      <c r="Q61" s="1"/>
      <c r="W61" s="1"/>
      <c r="AC61" s="1" t="str">
        <f t="shared" si="6"/>
        <v>16/01 a 17/01</v>
      </c>
      <c r="AI61" s="1" t="str">
        <f t="shared" si="7"/>
        <v>17/01 a 18/01</v>
      </c>
      <c r="AK61">
        <v>7435</v>
      </c>
      <c r="AL61" t="s">
        <v>64</v>
      </c>
      <c r="AM61">
        <v>7435</v>
      </c>
      <c r="AN61">
        <v>0.56000000000000005</v>
      </c>
      <c r="AO61" s="1" t="str">
        <f t="shared" si="8"/>
        <v>20/10 A 23/10</v>
      </c>
      <c r="AQ61">
        <v>7504</v>
      </c>
      <c r="AR61" t="s">
        <v>143</v>
      </c>
      <c r="AS61">
        <v>7504</v>
      </c>
      <c r="AT61">
        <v>0.95</v>
      </c>
      <c r="AU61" s="57">
        <v>44.74</v>
      </c>
      <c r="AV61" s="63">
        <f t="shared" si="9"/>
        <v>0.1357142857142857</v>
      </c>
      <c r="AW61" s="63">
        <f t="shared" si="10"/>
        <v>6.3914285714285715</v>
      </c>
    </row>
    <row r="62" spans="1:49" x14ac:dyDescent="0.35">
      <c r="E62" s="1" t="str">
        <f t="shared" si="2"/>
        <v>19/01 a20/01</v>
      </c>
      <c r="K62" s="1" t="str">
        <f t="shared" si="3"/>
        <v>20/01 a 21/01</v>
      </c>
      <c r="Q62" s="1"/>
      <c r="W62" s="1"/>
      <c r="AC62" s="1" t="str">
        <f t="shared" si="6"/>
        <v>16/01 a 17/01</v>
      </c>
      <c r="AI62" s="1" t="str">
        <f t="shared" si="7"/>
        <v>17/01 a 18/01</v>
      </c>
      <c r="AK62">
        <v>7436</v>
      </c>
      <c r="AL62" t="s">
        <v>65</v>
      </c>
      <c r="AM62">
        <v>7436</v>
      </c>
      <c r="AN62">
        <v>1.1299999999999999</v>
      </c>
      <c r="AO62" s="1" t="str">
        <f t="shared" si="8"/>
        <v>20/10 A 23/10</v>
      </c>
      <c r="AQ62">
        <v>7119</v>
      </c>
      <c r="AR62" t="s">
        <v>135</v>
      </c>
      <c r="AS62">
        <v>7119</v>
      </c>
      <c r="AT62">
        <v>1.0900000000000001</v>
      </c>
      <c r="AU62" s="57">
        <v>43.48</v>
      </c>
      <c r="AV62" s="63">
        <f t="shared" si="9"/>
        <v>0.15571428571428572</v>
      </c>
      <c r="AW62" s="63">
        <f t="shared" si="10"/>
        <v>6.2114285714285709</v>
      </c>
    </row>
    <row r="63" spans="1:49" x14ac:dyDescent="0.35">
      <c r="E63" s="1" t="str">
        <f t="shared" si="2"/>
        <v>19/01 a20/01</v>
      </c>
      <c r="K63" s="1" t="str">
        <f t="shared" si="3"/>
        <v>20/01 a 21/01</v>
      </c>
      <c r="Q63" s="1"/>
      <c r="W63" s="1"/>
      <c r="AC63" s="1" t="str">
        <f t="shared" si="6"/>
        <v>16/01 a 17/01</v>
      </c>
      <c r="AI63" s="1" t="str">
        <f t="shared" si="7"/>
        <v>17/01 a 18/01</v>
      </c>
      <c r="AK63">
        <v>7437</v>
      </c>
      <c r="AL63" t="s">
        <v>66</v>
      </c>
      <c r="AM63">
        <v>7437</v>
      </c>
      <c r="AN63">
        <v>0.91</v>
      </c>
      <c r="AO63" s="1" t="str">
        <f t="shared" si="8"/>
        <v>20/10 A 23/10</v>
      </c>
      <c r="AQ63">
        <v>7041</v>
      </c>
      <c r="AR63" s="57" t="s">
        <v>11</v>
      </c>
      <c r="AS63" s="56">
        <v>7041</v>
      </c>
      <c r="AT63" s="56">
        <v>1.06</v>
      </c>
      <c r="AU63" s="57">
        <v>42.14</v>
      </c>
      <c r="AV63" s="63">
        <f t="shared" si="9"/>
        <v>0.15142857142857144</v>
      </c>
      <c r="AW63" s="63">
        <f t="shared" si="10"/>
        <v>6.0200000000000005</v>
      </c>
    </row>
    <row r="64" spans="1:49" x14ac:dyDescent="0.35">
      <c r="E64" s="1" t="str">
        <f t="shared" si="2"/>
        <v>19/01 a20/01</v>
      </c>
      <c r="K64" s="1" t="str">
        <f t="shared" si="3"/>
        <v>20/01 a 21/01</v>
      </c>
      <c r="Q64" s="1"/>
      <c r="W64" s="1"/>
      <c r="AC64" s="1" t="str">
        <f t="shared" si="6"/>
        <v>16/01 a 17/01</v>
      </c>
      <c r="AI64" s="1" t="str">
        <f t="shared" si="7"/>
        <v>17/01 a 18/01</v>
      </c>
      <c r="AK64">
        <v>7455</v>
      </c>
      <c r="AL64" t="s">
        <v>67</v>
      </c>
      <c r="AM64">
        <v>7455</v>
      </c>
      <c r="AN64">
        <v>12</v>
      </c>
      <c r="AO64" s="1" t="str">
        <f t="shared" si="8"/>
        <v>20/10 A 23/10</v>
      </c>
      <c r="AQ64">
        <v>6990</v>
      </c>
      <c r="AR64" t="s">
        <v>93</v>
      </c>
      <c r="AS64">
        <v>6990</v>
      </c>
      <c r="AT64">
        <v>1.1399999999999999</v>
      </c>
      <c r="AU64" s="57">
        <v>42</v>
      </c>
      <c r="AV64" s="63">
        <f t="shared" si="9"/>
        <v>0.16285714285714284</v>
      </c>
      <c r="AW64" s="63">
        <f t="shared" si="10"/>
        <v>6</v>
      </c>
    </row>
    <row r="65" spans="5:49" x14ac:dyDescent="0.35">
      <c r="E65" s="1" t="str">
        <f t="shared" si="2"/>
        <v>19/01 a20/01</v>
      </c>
      <c r="K65" s="1" t="str">
        <f t="shared" si="3"/>
        <v>20/01 a 21/01</v>
      </c>
      <c r="Q65" s="1"/>
      <c r="W65" s="1"/>
      <c r="AC65" s="1" t="str">
        <f t="shared" si="6"/>
        <v>16/01 a 17/01</v>
      </c>
      <c r="AI65" s="1" t="str">
        <f t="shared" si="7"/>
        <v>17/01 a 18/01</v>
      </c>
      <c r="AK65">
        <v>7096</v>
      </c>
      <c r="AL65" t="s">
        <v>68</v>
      </c>
      <c r="AM65">
        <v>7096</v>
      </c>
      <c r="AN65">
        <v>0.33</v>
      </c>
      <c r="AO65" s="1" t="str">
        <f t="shared" si="8"/>
        <v>20/10 A 23/10</v>
      </c>
      <c r="AQ65">
        <v>7032</v>
      </c>
      <c r="AR65" t="s">
        <v>84</v>
      </c>
      <c r="AS65">
        <v>7032</v>
      </c>
      <c r="AT65">
        <v>1.01</v>
      </c>
      <c r="AU65" s="57">
        <v>40.119999999999997</v>
      </c>
      <c r="AV65" s="63">
        <f t="shared" si="9"/>
        <v>0.14428571428571429</v>
      </c>
      <c r="AW65" s="63">
        <f t="shared" si="10"/>
        <v>5.7314285714285713</v>
      </c>
    </row>
    <row r="66" spans="5:49" x14ac:dyDescent="0.35">
      <c r="E66" s="1" t="str">
        <f t="shared" si="2"/>
        <v>19/01 a20/01</v>
      </c>
      <c r="K66" s="1" t="str">
        <f t="shared" si="3"/>
        <v>20/01 a 21/01</v>
      </c>
      <c r="Q66" s="1"/>
      <c r="W66" s="1"/>
      <c r="AC66" s="1" t="str">
        <f t="shared" si="6"/>
        <v>16/01 a 17/01</v>
      </c>
      <c r="AI66" s="1" t="str">
        <f t="shared" si="7"/>
        <v>17/01 a 18/01</v>
      </c>
      <c r="AK66">
        <v>7190</v>
      </c>
      <c r="AL66" t="s">
        <v>69</v>
      </c>
      <c r="AM66">
        <v>7190</v>
      </c>
      <c r="AN66">
        <v>0.32</v>
      </c>
      <c r="AO66" s="1" t="str">
        <f t="shared" si="8"/>
        <v>20/10 A 23/10</v>
      </c>
      <c r="AQ66">
        <v>101883</v>
      </c>
      <c r="AR66" t="s">
        <v>145</v>
      </c>
      <c r="AS66">
        <v>101883</v>
      </c>
      <c r="AT66">
        <v>1.92</v>
      </c>
      <c r="AU66" s="57">
        <v>38.479999999999997</v>
      </c>
      <c r="AV66" s="63">
        <f t="shared" si="9"/>
        <v>0.2742857142857143</v>
      </c>
      <c r="AW66" s="63">
        <f t="shared" si="10"/>
        <v>5.4971428571428564</v>
      </c>
    </row>
    <row r="67" spans="5:49" x14ac:dyDescent="0.35">
      <c r="E67" s="1" t="str">
        <f t="shared" si="2"/>
        <v>19/01 a20/01</v>
      </c>
      <c r="K67" s="1" t="str">
        <f t="shared" si="3"/>
        <v>20/01 a 21/01</v>
      </c>
      <c r="Q67" s="1"/>
      <c r="W67" s="1"/>
      <c r="AC67" s="1" t="str">
        <f t="shared" si="6"/>
        <v>16/01 a 17/01</v>
      </c>
      <c r="AI67" s="1" t="str">
        <f t="shared" si="7"/>
        <v>17/01 a 18/01</v>
      </c>
      <c r="AK67">
        <v>7306</v>
      </c>
      <c r="AL67" t="s">
        <v>70</v>
      </c>
      <c r="AM67">
        <v>7306</v>
      </c>
      <c r="AN67">
        <v>0.82</v>
      </c>
      <c r="AO67" s="1" t="str">
        <f t="shared" si="8"/>
        <v>20/10 A 23/10</v>
      </c>
      <c r="AQ67">
        <v>6939</v>
      </c>
      <c r="AR67" t="s">
        <v>115</v>
      </c>
      <c r="AS67">
        <v>6939</v>
      </c>
      <c r="AT67">
        <v>0.95</v>
      </c>
      <c r="AU67" s="57">
        <v>37.74</v>
      </c>
      <c r="AV67" s="63">
        <f t="shared" ref="AV67:AV98" si="11">(AT67/7)</f>
        <v>0.1357142857142857</v>
      </c>
      <c r="AW67" s="63">
        <f t="shared" ref="AW67:AW98" si="12">(AU67/7)</f>
        <v>5.3914285714285715</v>
      </c>
    </row>
    <row r="68" spans="5:49" x14ac:dyDescent="0.35">
      <c r="E68" s="1" t="str">
        <f t="shared" si="2"/>
        <v>19/01 a20/01</v>
      </c>
      <c r="K68" s="1" t="str">
        <f t="shared" si="3"/>
        <v>20/01 a 21/01</v>
      </c>
      <c r="Q68" s="1"/>
      <c r="W68" s="1"/>
      <c r="AC68" s="1" t="str">
        <f t="shared" si="6"/>
        <v>16/01 a 17/01</v>
      </c>
      <c r="AI68" s="1" t="str">
        <f t="shared" si="7"/>
        <v>17/01 a 18/01</v>
      </c>
      <c r="AK68">
        <v>6949</v>
      </c>
      <c r="AL68" t="s">
        <v>71</v>
      </c>
      <c r="AM68">
        <v>6949</v>
      </c>
      <c r="AN68">
        <v>1.76</v>
      </c>
      <c r="AO68" s="1" t="str">
        <f t="shared" si="8"/>
        <v>20/10 A 23/10</v>
      </c>
      <c r="AQ68">
        <v>913</v>
      </c>
      <c r="AR68" t="s">
        <v>86</v>
      </c>
      <c r="AS68">
        <v>913</v>
      </c>
      <c r="AT68">
        <v>1.88</v>
      </c>
      <c r="AU68" s="57">
        <v>37.36</v>
      </c>
      <c r="AV68" s="63">
        <f t="shared" si="11"/>
        <v>0.26857142857142857</v>
      </c>
      <c r="AW68" s="63">
        <f t="shared" si="12"/>
        <v>5.3371428571428572</v>
      </c>
    </row>
    <row r="69" spans="5:49" x14ac:dyDescent="0.35">
      <c r="E69" s="1" t="str">
        <f t="shared" ref="E69:E100" si="13">(E68)</f>
        <v>19/01 a20/01</v>
      </c>
      <c r="K69" s="1" t="str">
        <f t="shared" ref="K69:K100" si="14">(K68)</f>
        <v>20/01 a 21/01</v>
      </c>
      <c r="Q69" s="1"/>
      <c r="W69" s="1"/>
      <c r="AC69" s="1" t="str">
        <f t="shared" ref="AC69:AC100" si="15">(AC68)</f>
        <v>16/01 a 17/01</v>
      </c>
      <c r="AI69" s="1" t="str">
        <f t="shared" ref="AI69:AI100" si="16">(AI68)</f>
        <v>17/01 a 18/01</v>
      </c>
      <c r="AK69">
        <v>6954</v>
      </c>
      <c r="AL69" t="s">
        <v>72</v>
      </c>
      <c r="AM69">
        <v>6954</v>
      </c>
      <c r="AN69">
        <v>0.25</v>
      </c>
      <c r="AO69" s="1" t="str">
        <f t="shared" ref="AO69:AO100" si="17">(AO68)</f>
        <v>20/10 A 23/10</v>
      </c>
      <c r="AQ69">
        <v>7309</v>
      </c>
      <c r="AR69" t="s">
        <v>120</v>
      </c>
      <c r="AS69">
        <v>7309</v>
      </c>
      <c r="AT69">
        <v>1.1299999999999999</v>
      </c>
      <c r="AU69" s="57">
        <v>37.11</v>
      </c>
      <c r="AV69" s="63">
        <f t="shared" si="11"/>
        <v>0.16142857142857142</v>
      </c>
      <c r="AW69" s="63">
        <f t="shared" si="12"/>
        <v>5.3014285714285716</v>
      </c>
    </row>
    <row r="70" spans="5:49" x14ac:dyDescent="0.35">
      <c r="E70" s="1" t="str">
        <f t="shared" si="13"/>
        <v>19/01 a20/01</v>
      </c>
      <c r="K70" s="1" t="str">
        <f t="shared" si="14"/>
        <v>20/01 a 21/01</v>
      </c>
      <c r="Q70" s="1"/>
      <c r="W70" s="1"/>
      <c r="AC70" s="1" t="str">
        <f t="shared" si="15"/>
        <v>16/01 a 17/01</v>
      </c>
      <c r="AI70" s="1" t="str">
        <f t="shared" si="16"/>
        <v>17/01 a 18/01</v>
      </c>
      <c r="AK70">
        <v>5580</v>
      </c>
      <c r="AL70" t="s">
        <v>73</v>
      </c>
      <c r="AM70">
        <v>5580</v>
      </c>
      <c r="AN70">
        <v>1</v>
      </c>
      <c r="AO70" s="1" t="str">
        <f t="shared" si="17"/>
        <v>20/10 A 23/10</v>
      </c>
      <c r="AQ70">
        <v>7190</v>
      </c>
      <c r="AR70" t="s">
        <v>69</v>
      </c>
      <c r="AS70">
        <v>7190</v>
      </c>
      <c r="AT70">
        <v>0.82</v>
      </c>
      <c r="AU70" s="57">
        <v>35.840000000000003</v>
      </c>
      <c r="AV70" s="63">
        <f t="shared" si="11"/>
        <v>0.11714285714285713</v>
      </c>
      <c r="AW70" s="63">
        <f t="shared" si="12"/>
        <v>5.12</v>
      </c>
    </row>
    <row r="71" spans="5:49" x14ac:dyDescent="0.35">
      <c r="E71" s="1" t="str">
        <f t="shared" si="13"/>
        <v>19/01 a20/01</v>
      </c>
      <c r="K71" s="1" t="str">
        <f t="shared" si="14"/>
        <v>20/01 a 21/01</v>
      </c>
      <c r="Q71" s="1"/>
      <c r="W71" s="1"/>
      <c r="AC71" s="1" t="str">
        <f t="shared" si="15"/>
        <v>16/01 a 17/01</v>
      </c>
      <c r="AI71" s="1" t="str">
        <f t="shared" si="16"/>
        <v>17/01 a 18/01</v>
      </c>
      <c r="AK71">
        <v>7569</v>
      </c>
      <c r="AL71" t="s">
        <v>74</v>
      </c>
      <c r="AM71">
        <v>7569</v>
      </c>
      <c r="AN71">
        <v>34</v>
      </c>
      <c r="AO71" s="1" t="str">
        <f t="shared" si="17"/>
        <v>20/10 A 23/10</v>
      </c>
      <c r="AQ71">
        <v>6957</v>
      </c>
      <c r="AR71" t="s">
        <v>78</v>
      </c>
      <c r="AS71">
        <v>6957</v>
      </c>
      <c r="AT71">
        <v>0.89</v>
      </c>
      <c r="AU71" s="57">
        <v>35.659999999999997</v>
      </c>
      <c r="AV71" s="63">
        <f t="shared" si="11"/>
        <v>0.12714285714285714</v>
      </c>
      <c r="AW71" s="63">
        <f t="shared" si="12"/>
        <v>5.0942857142857134</v>
      </c>
    </row>
    <row r="72" spans="5:49" x14ac:dyDescent="0.35">
      <c r="E72" s="1" t="str">
        <f t="shared" si="13"/>
        <v>19/01 a20/01</v>
      </c>
      <c r="K72" s="1" t="str">
        <f t="shared" si="14"/>
        <v>20/01 a 21/01</v>
      </c>
      <c r="Q72" s="1"/>
      <c r="W72" s="1"/>
      <c r="AC72" s="1" t="str">
        <f t="shared" si="15"/>
        <v>16/01 a 17/01</v>
      </c>
      <c r="AI72" s="1" t="str">
        <f t="shared" si="16"/>
        <v>17/01 a 18/01</v>
      </c>
      <c r="AK72">
        <v>6951</v>
      </c>
      <c r="AL72" t="s">
        <v>75</v>
      </c>
      <c r="AM72">
        <v>6951</v>
      </c>
      <c r="AN72">
        <v>6.36</v>
      </c>
      <c r="AO72" s="1" t="str">
        <f t="shared" si="17"/>
        <v>20/10 A 23/10</v>
      </c>
      <c r="AQ72">
        <v>7435</v>
      </c>
      <c r="AR72" t="s">
        <v>64</v>
      </c>
      <c r="AS72">
        <v>7435</v>
      </c>
      <c r="AT72">
        <v>0.66</v>
      </c>
      <c r="AU72" s="57">
        <v>32.17</v>
      </c>
      <c r="AV72" s="63">
        <f t="shared" si="11"/>
        <v>9.4285714285714292E-2</v>
      </c>
      <c r="AW72" s="63">
        <f t="shared" si="12"/>
        <v>4.5957142857142861</v>
      </c>
    </row>
    <row r="73" spans="5:49" x14ac:dyDescent="0.35">
      <c r="E73" s="1" t="str">
        <f t="shared" si="13"/>
        <v>19/01 a20/01</v>
      </c>
      <c r="K73" s="1" t="str">
        <f t="shared" si="14"/>
        <v>20/01 a 21/01</v>
      </c>
      <c r="Q73" s="1"/>
      <c r="W73" s="1"/>
      <c r="AC73" s="1" t="str">
        <f t="shared" si="15"/>
        <v>16/01 a 17/01</v>
      </c>
      <c r="AI73" s="1" t="str">
        <f t="shared" si="16"/>
        <v>17/01 a 18/01</v>
      </c>
      <c r="AK73">
        <v>6956</v>
      </c>
      <c r="AL73" t="s">
        <v>76</v>
      </c>
      <c r="AM73">
        <v>6956</v>
      </c>
      <c r="AN73">
        <v>0.37</v>
      </c>
      <c r="AO73" s="1" t="str">
        <f t="shared" si="17"/>
        <v>20/10 A 23/10</v>
      </c>
      <c r="AQ73">
        <v>6949</v>
      </c>
      <c r="AR73" t="s">
        <v>71</v>
      </c>
      <c r="AS73">
        <v>6949</v>
      </c>
      <c r="AT73">
        <v>0.96</v>
      </c>
      <c r="AU73" s="57">
        <v>31.46</v>
      </c>
      <c r="AV73" s="63">
        <f t="shared" si="11"/>
        <v>0.13714285714285715</v>
      </c>
      <c r="AW73" s="63">
        <f t="shared" si="12"/>
        <v>4.4942857142857147</v>
      </c>
    </row>
    <row r="74" spans="5:49" x14ac:dyDescent="0.35">
      <c r="E74" s="1" t="str">
        <f t="shared" si="13"/>
        <v>19/01 a20/01</v>
      </c>
      <c r="K74" s="1" t="str">
        <f t="shared" si="14"/>
        <v>20/01 a 21/01</v>
      </c>
      <c r="Q74" s="1"/>
      <c r="W74" s="1"/>
      <c r="AC74" s="1" t="str">
        <f t="shared" si="15"/>
        <v>16/01 a 17/01</v>
      </c>
      <c r="AI74" s="1" t="str">
        <f t="shared" si="16"/>
        <v>17/01 a 18/01</v>
      </c>
      <c r="AK74">
        <v>7308</v>
      </c>
      <c r="AL74" t="s">
        <v>77</v>
      </c>
      <c r="AM74">
        <v>7308</v>
      </c>
      <c r="AN74">
        <v>1.1599999999999999</v>
      </c>
      <c r="AO74" s="1" t="str">
        <f t="shared" si="17"/>
        <v>20/10 A 23/10</v>
      </c>
      <c r="AQ74">
        <v>7480</v>
      </c>
      <c r="AR74" t="s">
        <v>125</v>
      </c>
      <c r="AS74">
        <v>7480</v>
      </c>
      <c r="AT74">
        <v>2</v>
      </c>
      <c r="AU74" s="57">
        <v>29.98</v>
      </c>
      <c r="AV74" s="63">
        <f t="shared" si="11"/>
        <v>0.2857142857142857</v>
      </c>
      <c r="AW74" s="63">
        <f t="shared" si="12"/>
        <v>4.2828571428571429</v>
      </c>
    </row>
    <row r="75" spans="5:49" x14ac:dyDescent="0.35">
      <c r="E75" s="1" t="str">
        <f t="shared" si="13"/>
        <v>19/01 a20/01</v>
      </c>
      <c r="K75" s="1" t="str">
        <f t="shared" si="14"/>
        <v>20/01 a 21/01</v>
      </c>
      <c r="Q75" s="1"/>
      <c r="W75" s="1"/>
      <c r="AC75" s="1" t="str">
        <f t="shared" si="15"/>
        <v>16/01 a 17/01</v>
      </c>
      <c r="AI75" s="1" t="str">
        <f t="shared" si="16"/>
        <v>17/01 a 18/01</v>
      </c>
      <c r="AK75">
        <v>6957</v>
      </c>
      <c r="AL75" t="s">
        <v>78</v>
      </c>
      <c r="AM75">
        <v>6957</v>
      </c>
      <c r="AN75">
        <v>0.81</v>
      </c>
      <c r="AO75" s="1" t="str">
        <f t="shared" si="17"/>
        <v>20/10 A 23/10</v>
      </c>
      <c r="AQ75">
        <v>7492</v>
      </c>
      <c r="AR75" t="s">
        <v>88</v>
      </c>
      <c r="AS75">
        <v>7492</v>
      </c>
      <c r="AT75">
        <v>0.63</v>
      </c>
      <c r="AU75" s="57">
        <v>29.98</v>
      </c>
      <c r="AV75" s="63">
        <f t="shared" si="11"/>
        <v>0.09</v>
      </c>
      <c r="AW75" s="63">
        <f t="shared" si="12"/>
        <v>4.2828571428571429</v>
      </c>
    </row>
    <row r="76" spans="5:49" x14ac:dyDescent="0.35">
      <c r="E76" s="1" t="str">
        <f t="shared" si="13"/>
        <v>19/01 a20/01</v>
      </c>
      <c r="K76" s="1" t="str">
        <f t="shared" si="14"/>
        <v>20/01 a 21/01</v>
      </c>
      <c r="Q76" s="1"/>
      <c r="W76" s="1"/>
      <c r="AC76" s="1" t="str">
        <f t="shared" si="15"/>
        <v>16/01 a 17/01</v>
      </c>
      <c r="AI76" s="1" t="str">
        <f t="shared" si="16"/>
        <v>17/01 a 18/01</v>
      </c>
      <c r="AK76">
        <v>6965</v>
      </c>
      <c r="AL76" t="s">
        <v>79</v>
      </c>
      <c r="AM76">
        <v>6965</v>
      </c>
      <c r="AN76">
        <v>3.62</v>
      </c>
      <c r="AO76" s="1" t="str">
        <f t="shared" si="17"/>
        <v>20/10 A 23/10</v>
      </c>
      <c r="AQ76">
        <v>7436</v>
      </c>
      <c r="AR76" t="s">
        <v>65</v>
      </c>
      <c r="AS76">
        <v>7436</v>
      </c>
      <c r="AT76">
        <v>0.52</v>
      </c>
      <c r="AU76" s="57">
        <v>29.59</v>
      </c>
      <c r="AV76" s="63">
        <f t="shared" si="11"/>
        <v>7.4285714285714288E-2</v>
      </c>
      <c r="AW76" s="63">
        <f t="shared" si="12"/>
        <v>4.2271428571428569</v>
      </c>
    </row>
    <row r="77" spans="5:49" x14ac:dyDescent="0.35">
      <c r="E77" s="1" t="str">
        <f t="shared" si="13"/>
        <v>19/01 a20/01</v>
      </c>
      <c r="K77" s="1" t="str">
        <f t="shared" si="14"/>
        <v>20/01 a 21/01</v>
      </c>
      <c r="Q77" s="1"/>
      <c r="W77" s="1"/>
      <c r="AC77" s="1" t="str">
        <f t="shared" si="15"/>
        <v>16/01 a 17/01</v>
      </c>
      <c r="AI77" s="1" t="str">
        <f t="shared" si="16"/>
        <v>17/01 a 18/01</v>
      </c>
      <c r="AK77">
        <v>95804</v>
      </c>
      <c r="AL77" t="s">
        <v>80</v>
      </c>
      <c r="AM77">
        <v>95804</v>
      </c>
      <c r="AN77">
        <v>2.15</v>
      </c>
      <c r="AO77" s="1" t="str">
        <f t="shared" si="17"/>
        <v>20/10 A 23/10</v>
      </c>
      <c r="AQ77">
        <v>7433</v>
      </c>
      <c r="AR77" t="s">
        <v>146</v>
      </c>
      <c r="AS77">
        <v>7433</v>
      </c>
      <c r="AT77">
        <v>0.6</v>
      </c>
      <c r="AU77" s="57">
        <v>29.44</v>
      </c>
      <c r="AV77" s="63">
        <f t="shared" si="11"/>
        <v>8.5714285714285715E-2</v>
      </c>
      <c r="AW77" s="63">
        <f t="shared" si="12"/>
        <v>4.2057142857142855</v>
      </c>
    </row>
    <row r="78" spans="5:49" x14ac:dyDescent="0.35">
      <c r="E78" s="1" t="str">
        <f t="shared" si="13"/>
        <v>19/01 a20/01</v>
      </c>
      <c r="K78" s="1" t="str">
        <f t="shared" si="14"/>
        <v>20/01 a 21/01</v>
      </c>
      <c r="Q78" s="1"/>
      <c r="W78" s="1"/>
      <c r="AC78" s="1" t="str">
        <f t="shared" si="15"/>
        <v>16/01 a 17/01</v>
      </c>
      <c r="AI78" s="1" t="str">
        <f t="shared" si="16"/>
        <v>17/01 a 18/01</v>
      </c>
      <c r="AK78">
        <v>6966</v>
      </c>
      <c r="AL78" t="s">
        <v>81</v>
      </c>
      <c r="AM78">
        <v>6966</v>
      </c>
      <c r="AN78">
        <v>5.87</v>
      </c>
      <c r="AO78" s="1" t="str">
        <f t="shared" si="17"/>
        <v>20/10 A 23/10</v>
      </c>
      <c r="AQ78">
        <v>7482</v>
      </c>
      <c r="AR78" t="s">
        <v>142</v>
      </c>
      <c r="AS78">
        <v>7482</v>
      </c>
      <c r="AT78">
        <v>1</v>
      </c>
      <c r="AU78" s="57">
        <v>28.9</v>
      </c>
      <c r="AV78" s="63">
        <f t="shared" si="11"/>
        <v>0.14285714285714285</v>
      </c>
      <c r="AW78" s="63">
        <f t="shared" si="12"/>
        <v>4.1285714285714281</v>
      </c>
    </row>
    <row r="79" spans="5:49" x14ac:dyDescent="0.35">
      <c r="E79" s="1" t="str">
        <f t="shared" si="13"/>
        <v>19/01 a20/01</v>
      </c>
      <c r="K79" s="1" t="str">
        <f t="shared" si="14"/>
        <v>20/01 a 21/01</v>
      </c>
      <c r="Q79" s="1"/>
      <c r="W79" s="1"/>
      <c r="AC79" s="1" t="str">
        <f t="shared" si="15"/>
        <v>16/01 a 17/01</v>
      </c>
      <c r="AI79" s="1" t="str">
        <f t="shared" si="16"/>
        <v>17/01 a 18/01</v>
      </c>
      <c r="AK79">
        <v>7030</v>
      </c>
      <c r="AL79" t="s">
        <v>82</v>
      </c>
      <c r="AM79">
        <v>7030</v>
      </c>
      <c r="AN79">
        <v>0.34</v>
      </c>
      <c r="AO79" s="1" t="str">
        <f t="shared" si="17"/>
        <v>20/10 A 23/10</v>
      </c>
      <c r="AQ79">
        <v>7434</v>
      </c>
      <c r="AR79" t="s">
        <v>132</v>
      </c>
      <c r="AS79">
        <v>7434</v>
      </c>
      <c r="AT79">
        <v>0.55000000000000004</v>
      </c>
      <c r="AU79" s="57">
        <v>26.7</v>
      </c>
      <c r="AV79" s="63">
        <f t="shared" si="11"/>
        <v>7.8571428571428584E-2</v>
      </c>
      <c r="AW79" s="63">
        <f t="shared" si="12"/>
        <v>3.8142857142857141</v>
      </c>
    </row>
    <row r="80" spans="5:49" x14ac:dyDescent="0.35">
      <c r="E80" s="1" t="str">
        <f t="shared" si="13"/>
        <v>19/01 a20/01</v>
      </c>
      <c r="K80" s="1" t="str">
        <f t="shared" si="14"/>
        <v>20/01 a 21/01</v>
      </c>
      <c r="Q80" s="1"/>
      <c r="W80" s="1"/>
      <c r="AC80" s="1" t="str">
        <f t="shared" si="15"/>
        <v>16/01 a 17/01</v>
      </c>
      <c r="AI80" s="1" t="str">
        <f t="shared" si="16"/>
        <v>17/01 a 18/01</v>
      </c>
      <c r="AK80">
        <v>6975</v>
      </c>
      <c r="AL80" t="s">
        <v>82</v>
      </c>
      <c r="AM80">
        <v>6975</v>
      </c>
      <c r="AN80">
        <v>3</v>
      </c>
      <c r="AO80" s="1" t="str">
        <f t="shared" si="17"/>
        <v>20/10 A 23/10</v>
      </c>
      <c r="AQ80">
        <v>95804</v>
      </c>
      <c r="AR80" t="s">
        <v>80</v>
      </c>
      <c r="AS80">
        <v>95804</v>
      </c>
      <c r="AT80">
        <v>0.84</v>
      </c>
      <c r="AU80" s="57">
        <v>23.3</v>
      </c>
      <c r="AV80" s="63">
        <f t="shared" si="11"/>
        <v>0.12</v>
      </c>
      <c r="AW80" s="63">
        <f t="shared" si="12"/>
        <v>3.3285714285714287</v>
      </c>
    </row>
    <row r="81" spans="5:49" x14ac:dyDescent="0.35">
      <c r="E81" s="1" t="str">
        <f t="shared" si="13"/>
        <v>19/01 a20/01</v>
      </c>
      <c r="K81" s="1" t="str">
        <f t="shared" si="14"/>
        <v>20/01 a 21/01</v>
      </c>
      <c r="M81">
        <v>626</v>
      </c>
      <c r="Q81" s="1"/>
      <c r="W81" s="1"/>
      <c r="AC81" s="1" t="str">
        <f t="shared" si="15"/>
        <v>16/01 a 17/01</v>
      </c>
      <c r="AI81" s="1" t="str">
        <f t="shared" si="16"/>
        <v>17/01 a 18/01</v>
      </c>
      <c r="AK81">
        <v>626</v>
      </c>
      <c r="AL81" t="s">
        <v>83</v>
      </c>
      <c r="AM81">
        <v>626</v>
      </c>
      <c r="AN81">
        <v>0.83</v>
      </c>
      <c r="AO81" s="1" t="str">
        <f t="shared" si="17"/>
        <v>20/10 A 23/10</v>
      </c>
      <c r="AQ81">
        <v>7102</v>
      </c>
      <c r="AR81" t="s">
        <v>130</v>
      </c>
      <c r="AS81">
        <v>7102</v>
      </c>
      <c r="AT81">
        <v>0.66</v>
      </c>
      <c r="AU81" s="57">
        <v>22.97</v>
      </c>
      <c r="AV81" s="63">
        <f t="shared" si="11"/>
        <v>9.4285714285714292E-2</v>
      </c>
      <c r="AW81" s="63">
        <f t="shared" si="12"/>
        <v>3.2814285714285711</v>
      </c>
    </row>
    <row r="82" spans="5:49" x14ac:dyDescent="0.35">
      <c r="E82" s="1" t="str">
        <f t="shared" si="13"/>
        <v>19/01 a20/01</v>
      </c>
      <c r="K82" s="1" t="str">
        <f t="shared" si="14"/>
        <v>20/01 a 21/01</v>
      </c>
      <c r="M82">
        <v>7032</v>
      </c>
      <c r="Q82" s="1"/>
      <c r="W82" s="1"/>
      <c r="AC82" s="1" t="str">
        <f t="shared" si="15"/>
        <v>16/01 a 17/01</v>
      </c>
      <c r="AI82" s="1" t="str">
        <f t="shared" si="16"/>
        <v>17/01 a 18/01</v>
      </c>
      <c r="AK82">
        <v>7032</v>
      </c>
      <c r="AL82" t="s">
        <v>84</v>
      </c>
      <c r="AM82">
        <v>7032</v>
      </c>
      <c r="AN82">
        <v>0.33</v>
      </c>
      <c r="AO82" s="1" t="str">
        <f t="shared" si="17"/>
        <v>20/10 A 23/10</v>
      </c>
      <c r="AQ82">
        <v>6985</v>
      </c>
      <c r="AR82" t="s">
        <v>92</v>
      </c>
      <c r="AS82">
        <v>6985</v>
      </c>
      <c r="AT82">
        <v>0.52</v>
      </c>
      <c r="AU82" s="57">
        <v>22.92</v>
      </c>
      <c r="AV82" s="63">
        <f t="shared" si="11"/>
        <v>7.4285714285714288E-2</v>
      </c>
      <c r="AW82" s="63">
        <f t="shared" si="12"/>
        <v>3.2742857142857145</v>
      </c>
    </row>
    <row r="83" spans="5:49" x14ac:dyDescent="0.35">
      <c r="E83" s="1" t="str">
        <f t="shared" si="13"/>
        <v>19/01 a20/01</v>
      </c>
      <c r="K83" s="1" t="str">
        <f t="shared" si="14"/>
        <v>20/01 a 21/01</v>
      </c>
      <c r="M83">
        <v>3605</v>
      </c>
      <c r="Q83" s="1"/>
      <c r="W83" s="1"/>
      <c r="AC83" s="1" t="str">
        <f t="shared" si="15"/>
        <v>16/01 a 17/01</v>
      </c>
      <c r="AI83" s="1" t="str">
        <f t="shared" si="16"/>
        <v>17/01 a 18/01</v>
      </c>
      <c r="AK83">
        <v>3605</v>
      </c>
      <c r="AL83" t="s">
        <v>85</v>
      </c>
      <c r="AM83">
        <v>3605</v>
      </c>
      <c r="AN83">
        <v>1.43</v>
      </c>
      <c r="AO83" s="1" t="str">
        <f t="shared" si="17"/>
        <v>20/10 A 23/10</v>
      </c>
      <c r="AQ83">
        <v>5766</v>
      </c>
      <c r="AR83" t="s">
        <v>144</v>
      </c>
      <c r="AS83">
        <v>5766</v>
      </c>
      <c r="AT83">
        <v>0.54</v>
      </c>
      <c r="AU83" s="57">
        <v>21.46</v>
      </c>
      <c r="AV83" s="63">
        <f t="shared" si="11"/>
        <v>7.7142857142857152E-2</v>
      </c>
      <c r="AW83" s="63">
        <f t="shared" si="12"/>
        <v>3.0657142857142858</v>
      </c>
    </row>
    <row r="84" spans="5:49" x14ac:dyDescent="0.35">
      <c r="E84" s="1" t="str">
        <f t="shared" si="13"/>
        <v>19/01 a20/01</v>
      </c>
      <c r="K84" s="1" t="str">
        <f t="shared" si="14"/>
        <v>20/01 a 21/01</v>
      </c>
      <c r="M84">
        <v>913</v>
      </c>
      <c r="Q84" s="1"/>
      <c r="W84" s="1"/>
      <c r="AC84" s="1" t="str">
        <f t="shared" si="15"/>
        <v>16/01 a 17/01</v>
      </c>
      <c r="AI84" s="1" t="str">
        <f t="shared" si="16"/>
        <v>17/01 a 18/01</v>
      </c>
      <c r="AK84">
        <v>913</v>
      </c>
      <c r="AL84" t="s">
        <v>86</v>
      </c>
      <c r="AM84">
        <v>913</v>
      </c>
      <c r="AN84">
        <v>1.43</v>
      </c>
      <c r="AO84" s="1" t="str">
        <f t="shared" si="17"/>
        <v>20/10 A 23/10</v>
      </c>
      <c r="AQ84">
        <v>6964</v>
      </c>
      <c r="AR84" t="s">
        <v>148</v>
      </c>
      <c r="AS84">
        <v>6964</v>
      </c>
      <c r="AT84">
        <v>0.47</v>
      </c>
      <c r="AU84" s="57">
        <v>21.01</v>
      </c>
      <c r="AV84" s="63">
        <f t="shared" si="11"/>
        <v>6.7142857142857143E-2</v>
      </c>
      <c r="AW84" s="63">
        <f t="shared" si="12"/>
        <v>3.0014285714285718</v>
      </c>
    </row>
    <row r="85" spans="5:49" x14ac:dyDescent="0.35">
      <c r="E85" s="1" t="str">
        <f t="shared" si="13"/>
        <v>19/01 a20/01</v>
      </c>
      <c r="K85" s="1" t="str">
        <f t="shared" si="14"/>
        <v>20/01 a 21/01</v>
      </c>
      <c r="M85">
        <v>7481</v>
      </c>
      <c r="Q85" s="1"/>
      <c r="W85" s="1"/>
      <c r="AC85" s="1" t="str">
        <f t="shared" si="15"/>
        <v>16/01 a 17/01</v>
      </c>
      <c r="AI85" s="1" t="str">
        <f t="shared" si="16"/>
        <v>17/01 a 18/01</v>
      </c>
      <c r="AK85">
        <v>7481</v>
      </c>
      <c r="AL85" t="s">
        <v>87</v>
      </c>
      <c r="AM85">
        <v>7481</v>
      </c>
      <c r="AN85">
        <v>1.97</v>
      </c>
      <c r="AO85" s="1" t="str">
        <f t="shared" si="17"/>
        <v>20/10 A 23/10</v>
      </c>
      <c r="AQ85">
        <v>7567</v>
      </c>
      <c r="AR85" t="s">
        <v>17</v>
      </c>
      <c r="AS85">
        <v>7567</v>
      </c>
      <c r="AT85">
        <v>0.49</v>
      </c>
      <c r="AU85" s="57">
        <v>19.63</v>
      </c>
      <c r="AV85" s="63">
        <f t="shared" si="11"/>
        <v>6.9999999999999993E-2</v>
      </c>
      <c r="AW85" s="63">
        <f t="shared" si="12"/>
        <v>2.8042857142857143</v>
      </c>
    </row>
    <row r="86" spans="5:49" x14ac:dyDescent="0.35">
      <c r="E86" s="1" t="str">
        <f t="shared" si="13"/>
        <v>19/01 a20/01</v>
      </c>
      <c r="K86" s="1" t="str">
        <f t="shared" si="14"/>
        <v>20/01 a 21/01</v>
      </c>
      <c r="M86">
        <v>7481</v>
      </c>
      <c r="Q86" s="1"/>
      <c r="W86" s="1"/>
      <c r="AC86" s="1" t="str">
        <f t="shared" si="15"/>
        <v>16/01 a 17/01</v>
      </c>
      <c r="AI86" s="1" t="str">
        <f t="shared" si="16"/>
        <v>17/01 a 18/01</v>
      </c>
      <c r="AK86">
        <v>7481</v>
      </c>
      <c r="AL86" t="s">
        <v>87</v>
      </c>
      <c r="AM86">
        <v>7481</v>
      </c>
      <c r="AN86">
        <v>0.18</v>
      </c>
      <c r="AO86" s="1" t="str">
        <f t="shared" si="17"/>
        <v>20/10 A 23/10</v>
      </c>
      <c r="AQ86">
        <v>6818</v>
      </c>
      <c r="AR86" t="s">
        <v>37</v>
      </c>
      <c r="AS86">
        <v>6818</v>
      </c>
      <c r="AT86">
        <v>0.31</v>
      </c>
      <c r="AU86" s="57">
        <v>18.68</v>
      </c>
      <c r="AV86" s="63">
        <f t="shared" si="11"/>
        <v>4.4285714285714282E-2</v>
      </c>
      <c r="AW86" s="63">
        <f t="shared" si="12"/>
        <v>2.6685714285714286</v>
      </c>
    </row>
    <row r="87" spans="5:49" x14ac:dyDescent="0.35">
      <c r="E87" s="1" t="str">
        <f t="shared" si="13"/>
        <v>19/01 a20/01</v>
      </c>
      <c r="K87" s="1" t="str">
        <f t="shared" si="14"/>
        <v>20/01 a 21/01</v>
      </c>
      <c r="M87">
        <v>7492</v>
      </c>
      <c r="Q87" s="1"/>
      <c r="W87" s="1"/>
      <c r="AC87" s="1" t="str">
        <f t="shared" si="15"/>
        <v>16/01 a 17/01</v>
      </c>
      <c r="AI87" s="1" t="str">
        <f t="shared" si="16"/>
        <v>17/01 a 18/01</v>
      </c>
      <c r="AK87">
        <v>7492</v>
      </c>
      <c r="AL87" t="s">
        <v>88</v>
      </c>
      <c r="AM87">
        <v>7492</v>
      </c>
      <c r="AN87">
        <v>0.49</v>
      </c>
      <c r="AO87" s="1" t="str">
        <f t="shared" si="17"/>
        <v>20/10 A 23/10</v>
      </c>
      <c r="AQ87">
        <v>7308</v>
      </c>
      <c r="AR87" t="s">
        <v>77</v>
      </c>
      <c r="AS87">
        <v>7308</v>
      </c>
      <c r="AT87">
        <v>0.51</v>
      </c>
      <c r="AU87" s="57">
        <v>16.71</v>
      </c>
      <c r="AV87" s="63">
        <f t="shared" si="11"/>
        <v>7.2857142857142856E-2</v>
      </c>
      <c r="AW87" s="63">
        <f t="shared" si="12"/>
        <v>2.3871428571428575</v>
      </c>
    </row>
    <row r="88" spans="5:49" x14ac:dyDescent="0.35">
      <c r="E88" s="1" t="str">
        <f t="shared" si="13"/>
        <v>19/01 a20/01</v>
      </c>
      <c r="K88" s="1" t="str">
        <f t="shared" si="14"/>
        <v>20/01 a 21/01</v>
      </c>
      <c r="M88">
        <v>7494</v>
      </c>
      <c r="Q88" s="1"/>
      <c r="W88" s="1"/>
      <c r="AC88" s="1" t="str">
        <f t="shared" si="15"/>
        <v>16/01 a 17/01</v>
      </c>
      <c r="AI88" s="1" t="str">
        <f t="shared" si="16"/>
        <v>17/01 a 18/01</v>
      </c>
      <c r="AK88">
        <v>7494</v>
      </c>
      <c r="AL88" t="s">
        <v>89</v>
      </c>
      <c r="AM88">
        <v>7494</v>
      </c>
      <c r="AN88">
        <v>0.2</v>
      </c>
      <c r="AO88" s="1" t="str">
        <f t="shared" si="17"/>
        <v>20/10 A 23/10</v>
      </c>
      <c r="AQ88">
        <v>6948</v>
      </c>
      <c r="AR88" t="s">
        <v>147</v>
      </c>
      <c r="AS88">
        <v>6948</v>
      </c>
      <c r="AT88">
        <v>0.48</v>
      </c>
      <c r="AU88" s="57">
        <v>14.46</v>
      </c>
      <c r="AV88" s="63">
        <f t="shared" si="11"/>
        <v>6.8571428571428575E-2</v>
      </c>
      <c r="AW88" s="63">
        <f t="shared" si="12"/>
        <v>2.0657142857142858</v>
      </c>
    </row>
    <row r="89" spans="5:49" x14ac:dyDescent="0.35">
      <c r="E89" s="1" t="str">
        <f t="shared" si="13"/>
        <v>19/01 a20/01</v>
      </c>
      <c r="K89" s="1" t="str">
        <f t="shared" si="14"/>
        <v>20/01 a 21/01</v>
      </c>
      <c r="M89">
        <v>7495</v>
      </c>
      <c r="Q89" s="1"/>
      <c r="W89" s="1"/>
      <c r="AC89" s="1" t="str">
        <f t="shared" si="15"/>
        <v>16/01 a 17/01</v>
      </c>
      <c r="AI89" s="1" t="str">
        <f t="shared" si="16"/>
        <v>17/01 a 18/01</v>
      </c>
      <c r="AK89">
        <v>7495</v>
      </c>
      <c r="AL89" t="s">
        <v>90</v>
      </c>
      <c r="AM89">
        <v>7495</v>
      </c>
      <c r="AN89">
        <v>0.17</v>
      </c>
      <c r="AO89" s="1" t="str">
        <f t="shared" si="17"/>
        <v>20/10 A 23/10</v>
      </c>
      <c r="AQ89">
        <v>6987</v>
      </c>
      <c r="AR89" t="s">
        <v>128</v>
      </c>
      <c r="AS89">
        <v>6987</v>
      </c>
      <c r="AT89">
        <v>0.32</v>
      </c>
      <c r="AU89" s="57">
        <v>14.05</v>
      </c>
      <c r="AV89" s="63">
        <f t="shared" si="11"/>
        <v>4.5714285714285714E-2</v>
      </c>
      <c r="AW89" s="63">
        <f t="shared" si="12"/>
        <v>2.0071428571428571</v>
      </c>
    </row>
    <row r="90" spans="5:49" x14ac:dyDescent="0.35">
      <c r="E90" s="1" t="str">
        <f t="shared" si="13"/>
        <v>19/01 a20/01</v>
      </c>
      <c r="K90" s="1" t="str">
        <f t="shared" si="14"/>
        <v>20/01 a 21/01</v>
      </c>
      <c r="M90">
        <v>6982</v>
      </c>
      <c r="Q90" s="1"/>
      <c r="W90" s="1"/>
      <c r="AC90" s="1" t="str">
        <f t="shared" si="15"/>
        <v>16/01 a 17/01</v>
      </c>
      <c r="AI90" s="1" t="str">
        <f t="shared" si="16"/>
        <v>17/01 a 18/01</v>
      </c>
      <c r="AK90">
        <v>6982</v>
      </c>
      <c r="AL90" t="s">
        <v>91</v>
      </c>
      <c r="AM90">
        <v>6982</v>
      </c>
      <c r="AN90">
        <v>1.74</v>
      </c>
      <c r="AO90" s="1" t="str">
        <f t="shared" si="17"/>
        <v>20/10 A 23/10</v>
      </c>
      <c r="AQ90">
        <v>6643</v>
      </c>
      <c r="AR90" t="s">
        <v>26</v>
      </c>
      <c r="AS90">
        <v>6643</v>
      </c>
      <c r="AT90">
        <v>0.34</v>
      </c>
      <c r="AU90" s="57">
        <v>13.4</v>
      </c>
      <c r="AV90" s="63">
        <f t="shared" si="11"/>
        <v>4.8571428571428578E-2</v>
      </c>
      <c r="AW90" s="63">
        <f t="shared" si="12"/>
        <v>1.9142857142857144</v>
      </c>
    </row>
    <row r="91" spans="5:49" x14ac:dyDescent="0.35">
      <c r="E91" s="1" t="str">
        <f t="shared" si="13"/>
        <v>19/01 a20/01</v>
      </c>
      <c r="K91" s="1" t="str">
        <f t="shared" si="14"/>
        <v>20/01 a 21/01</v>
      </c>
      <c r="M91">
        <v>6985</v>
      </c>
      <c r="Q91" s="1"/>
      <c r="W91" s="1"/>
      <c r="AC91" s="1" t="str">
        <f t="shared" si="15"/>
        <v>16/01 a 17/01</v>
      </c>
      <c r="AI91" s="1" t="str">
        <f t="shared" si="16"/>
        <v>17/01 a 18/01</v>
      </c>
      <c r="AK91">
        <v>6985</v>
      </c>
      <c r="AL91" t="s">
        <v>92</v>
      </c>
      <c r="AM91">
        <v>6985</v>
      </c>
      <c r="AN91">
        <v>0.52</v>
      </c>
      <c r="AO91" s="1" t="str">
        <f t="shared" si="17"/>
        <v>20/10 A 23/10</v>
      </c>
      <c r="AQ91">
        <v>6987</v>
      </c>
      <c r="AR91" t="s">
        <v>128</v>
      </c>
      <c r="AS91">
        <v>6987</v>
      </c>
      <c r="AT91">
        <v>0.28000000000000003</v>
      </c>
      <c r="AU91" s="57">
        <v>12.57</v>
      </c>
      <c r="AV91" s="63">
        <f t="shared" si="11"/>
        <v>0.04</v>
      </c>
      <c r="AW91" s="63">
        <f t="shared" si="12"/>
        <v>1.7957142857142858</v>
      </c>
    </row>
    <row r="92" spans="5:49" x14ac:dyDescent="0.35">
      <c r="E92" s="1" t="str">
        <f t="shared" si="13"/>
        <v>19/01 a20/01</v>
      </c>
      <c r="K92" s="1" t="str">
        <f t="shared" si="14"/>
        <v>20/01 a 21/01</v>
      </c>
      <c r="M92">
        <v>6990</v>
      </c>
      <c r="Q92" s="1"/>
      <c r="W92" s="1"/>
      <c r="AC92" s="1" t="str">
        <f t="shared" si="15"/>
        <v>16/01 a 17/01</v>
      </c>
      <c r="AI92" s="1" t="str">
        <f t="shared" si="16"/>
        <v>17/01 a 18/01</v>
      </c>
      <c r="AK92">
        <v>6990</v>
      </c>
      <c r="AL92" t="s">
        <v>93</v>
      </c>
      <c r="AM92">
        <v>6990</v>
      </c>
      <c r="AN92">
        <v>0.36</v>
      </c>
      <c r="AO92" s="1" t="str">
        <f t="shared" si="17"/>
        <v>20/10 A 23/10</v>
      </c>
      <c r="AQ92">
        <v>103</v>
      </c>
      <c r="AR92" t="s">
        <v>34</v>
      </c>
      <c r="AS92">
        <v>103</v>
      </c>
      <c r="AT92">
        <v>0.34</v>
      </c>
      <c r="AU92" s="57">
        <v>12.48</v>
      </c>
      <c r="AV92" s="63">
        <f t="shared" si="11"/>
        <v>4.8571428571428578E-2</v>
      </c>
      <c r="AW92" s="63">
        <f t="shared" si="12"/>
        <v>1.7828571428571429</v>
      </c>
    </row>
    <row r="93" spans="5:49" x14ac:dyDescent="0.35">
      <c r="E93" s="1" t="str">
        <f t="shared" si="13"/>
        <v>19/01 a20/01</v>
      </c>
      <c r="K93" s="1" t="str">
        <f t="shared" si="14"/>
        <v>20/01 a 21/01</v>
      </c>
      <c r="M93">
        <v>6993</v>
      </c>
      <c r="Q93" s="1"/>
      <c r="W93" s="1"/>
      <c r="AC93" s="1" t="str">
        <f t="shared" si="15"/>
        <v>16/01 a 17/01</v>
      </c>
      <c r="AI93" s="1" t="str">
        <f t="shared" si="16"/>
        <v>17/01 a 18/01</v>
      </c>
      <c r="AK93">
        <v>6993</v>
      </c>
      <c r="AL93" t="s">
        <v>94</v>
      </c>
      <c r="AM93">
        <v>6993</v>
      </c>
      <c r="AN93">
        <v>0.35</v>
      </c>
      <c r="AO93" s="1" t="str">
        <f t="shared" si="17"/>
        <v>20/10 A 23/10</v>
      </c>
      <c r="AQ93">
        <v>6979</v>
      </c>
      <c r="AR93" t="s">
        <v>127</v>
      </c>
      <c r="AS93">
        <v>6979</v>
      </c>
      <c r="AT93">
        <v>0.28000000000000003</v>
      </c>
      <c r="AU93" s="57">
        <v>8.3699999999999992</v>
      </c>
      <c r="AV93" s="63">
        <f t="shared" si="11"/>
        <v>0.04</v>
      </c>
      <c r="AW93" s="63">
        <f t="shared" si="12"/>
        <v>1.1957142857142855</v>
      </c>
    </row>
    <row r="94" spans="5:49" x14ac:dyDescent="0.35">
      <c r="E94" s="1" t="str">
        <f t="shared" si="13"/>
        <v>19/01 a20/01</v>
      </c>
      <c r="K94" s="1" t="str">
        <f t="shared" si="14"/>
        <v>20/01 a 21/01</v>
      </c>
      <c r="M94">
        <v>6994</v>
      </c>
      <c r="Q94" s="1"/>
      <c r="W94" s="1"/>
      <c r="AC94" s="1" t="str">
        <f t="shared" si="15"/>
        <v>16/01 a 17/01</v>
      </c>
      <c r="AI94" s="1" t="str">
        <f t="shared" si="16"/>
        <v>17/01 a 18/01</v>
      </c>
      <c r="AK94">
        <v>6994</v>
      </c>
      <c r="AL94" t="s">
        <v>95</v>
      </c>
      <c r="AM94">
        <v>6994</v>
      </c>
      <c r="AN94">
        <v>0.39</v>
      </c>
      <c r="AO94" s="1" t="str">
        <f t="shared" si="17"/>
        <v>20/10 A 23/10</v>
      </c>
      <c r="AQ94">
        <v>6993</v>
      </c>
      <c r="AR94" t="s">
        <v>94</v>
      </c>
      <c r="AS94">
        <v>6993</v>
      </c>
      <c r="AT94">
        <v>0.33</v>
      </c>
      <c r="AU94" s="57">
        <v>7.91</v>
      </c>
      <c r="AV94" s="63">
        <f t="shared" si="11"/>
        <v>4.7142857142857146E-2</v>
      </c>
      <c r="AW94" s="63">
        <f t="shared" si="12"/>
        <v>1.1300000000000001</v>
      </c>
    </row>
    <row r="95" spans="5:49" x14ac:dyDescent="0.35">
      <c r="E95" s="1" t="str">
        <f t="shared" si="13"/>
        <v>19/01 a20/01</v>
      </c>
      <c r="K95" s="1" t="str">
        <f t="shared" si="14"/>
        <v>20/01 a 21/01</v>
      </c>
      <c r="M95">
        <v>7003</v>
      </c>
      <c r="Q95" s="1"/>
      <c r="W95" s="1"/>
      <c r="AC95" s="1" t="str">
        <f t="shared" si="15"/>
        <v>16/01 a 17/01</v>
      </c>
      <c r="AI95" s="1" t="str">
        <f t="shared" si="16"/>
        <v>17/01 a 18/01</v>
      </c>
      <c r="AK95">
        <v>7003</v>
      </c>
      <c r="AL95" t="s">
        <v>96</v>
      </c>
      <c r="AM95">
        <v>7003</v>
      </c>
      <c r="AN95">
        <v>0.15</v>
      </c>
      <c r="AO95" s="1" t="str">
        <f t="shared" si="17"/>
        <v>20/10 A 23/10</v>
      </c>
      <c r="AQ95">
        <v>7068</v>
      </c>
      <c r="AR95" t="s">
        <v>12</v>
      </c>
      <c r="AS95">
        <v>7068</v>
      </c>
      <c r="AT95">
        <v>0.28000000000000003</v>
      </c>
      <c r="AU95" s="57">
        <v>7.04</v>
      </c>
      <c r="AV95" s="63">
        <f t="shared" si="11"/>
        <v>0.04</v>
      </c>
      <c r="AW95" s="63">
        <f t="shared" si="12"/>
        <v>1.0057142857142858</v>
      </c>
    </row>
    <row r="96" spans="5:49" x14ac:dyDescent="0.35">
      <c r="E96" s="1" t="str">
        <f t="shared" si="13"/>
        <v>19/01 a20/01</v>
      </c>
      <c r="K96" s="1" t="str">
        <f t="shared" si="14"/>
        <v>20/01 a 21/01</v>
      </c>
      <c r="M96">
        <v>7004</v>
      </c>
      <c r="Q96" s="1"/>
      <c r="W96" s="1"/>
      <c r="AC96" s="1" t="str">
        <f t="shared" si="15"/>
        <v>16/01 a 17/01</v>
      </c>
      <c r="AI96" s="1" t="str">
        <f t="shared" si="16"/>
        <v>17/01 a 18/01</v>
      </c>
      <c r="AK96">
        <v>7004</v>
      </c>
      <c r="AL96" t="s">
        <v>97</v>
      </c>
      <c r="AM96">
        <v>7004</v>
      </c>
      <c r="AN96">
        <v>0.43</v>
      </c>
      <c r="AO96" s="1" t="str">
        <f t="shared" si="17"/>
        <v>20/10 A 23/10</v>
      </c>
      <c r="AQ96">
        <v>7096</v>
      </c>
      <c r="AR96" t="s">
        <v>68</v>
      </c>
      <c r="AS96">
        <v>7096</v>
      </c>
      <c r="AT96">
        <v>0.17</v>
      </c>
      <c r="AU96" s="57">
        <v>6.86</v>
      </c>
      <c r="AV96" s="63">
        <f t="shared" si="11"/>
        <v>2.4285714285714289E-2</v>
      </c>
      <c r="AW96" s="63">
        <f t="shared" si="12"/>
        <v>0.98000000000000009</v>
      </c>
    </row>
    <row r="97" spans="5:49" x14ac:dyDescent="0.35">
      <c r="E97" s="1" t="str">
        <f t="shared" si="13"/>
        <v>19/01 a20/01</v>
      </c>
      <c r="K97" s="1" t="str">
        <f t="shared" si="14"/>
        <v>20/01 a 21/01</v>
      </c>
      <c r="M97">
        <v>7499</v>
      </c>
      <c r="Q97" s="1"/>
      <c r="W97" s="1"/>
      <c r="AC97" s="1" t="str">
        <f t="shared" si="15"/>
        <v>16/01 a 17/01</v>
      </c>
      <c r="AI97" s="1" t="str">
        <f t="shared" si="16"/>
        <v>17/01 a 18/01</v>
      </c>
      <c r="AK97">
        <v>7499</v>
      </c>
      <c r="AL97" t="s">
        <v>98</v>
      </c>
      <c r="AM97">
        <v>7499</v>
      </c>
      <c r="AN97">
        <v>3.11</v>
      </c>
      <c r="AO97" s="1" t="str">
        <f t="shared" si="17"/>
        <v>20/10 A 23/10</v>
      </c>
      <c r="AQ97">
        <v>6856</v>
      </c>
      <c r="AR97" t="s">
        <v>13</v>
      </c>
      <c r="AS97">
        <v>6856</v>
      </c>
      <c r="AT97">
        <v>0.32</v>
      </c>
      <c r="AU97" s="57">
        <v>6.39</v>
      </c>
      <c r="AV97" s="63">
        <f t="shared" si="11"/>
        <v>4.5714285714285714E-2</v>
      </c>
      <c r="AW97" s="63">
        <f t="shared" si="12"/>
        <v>0.91285714285714281</v>
      </c>
    </row>
    <row r="98" spans="5:49" x14ac:dyDescent="0.35">
      <c r="E98" s="1" t="str">
        <f t="shared" si="13"/>
        <v>19/01 a20/01</v>
      </c>
      <c r="K98" s="1" t="str">
        <f t="shared" si="14"/>
        <v>20/01 a 21/01</v>
      </c>
      <c r="M98">
        <v>7500</v>
      </c>
      <c r="Q98" s="1"/>
      <c r="W98" s="1"/>
      <c r="AC98" s="1" t="str">
        <f t="shared" si="15"/>
        <v>16/01 a 17/01</v>
      </c>
      <c r="AI98" s="1" t="str">
        <f t="shared" si="16"/>
        <v>17/01 a 18/01</v>
      </c>
      <c r="AK98">
        <v>7500</v>
      </c>
      <c r="AL98" t="s">
        <v>99</v>
      </c>
      <c r="AM98">
        <v>7500</v>
      </c>
      <c r="AN98">
        <v>0.28999999999999998</v>
      </c>
      <c r="AO98" s="1" t="str">
        <f t="shared" si="17"/>
        <v>20/10 A 23/10</v>
      </c>
      <c r="AQ98">
        <v>4568</v>
      </c>
      <c r="AR98" t="s">
        <v>27</v>
      </c>
      <c r="AS98">
        <v>4568</v>
      </c>
      <c r="AT98">
        <v>0.08</v>
      </c>
      <c r="AU98" s="57">
        <v>5.45</v>
      </c>
      <c r="AV98" s="63">
        <f t="shared" si="11"/>
        <v>1.1428571428571429E-2</v>
      </c>
      <c r="AW98" s="63">
        <f t="shared" si="12"/>
        <v>0.77857142857142858</v>
      </c>
    </row>
    <row r="99" spans="5:49" x14ac:dyDescent="0.35">
      <c r="E99" s="1" t="str">
        <f t="shared" si="13"/>
        <v>19/01 a20/01</v>
      </c>
      <c r="K99" s="1" t="str">
        <f t="shared" si="14"/>
        <v>20/01 a 21/01</v>
      </c>
      <c r="M99">
        <v>93533</v>
      </c>
      <c r="Q99" s="1"/>
      <c r="W99" s="1"/>
      <c r="AC99" s="1" t="str">
        <f t="shared" si="15"/>
        <v>16/01 a 17/01</v>
      </c>
      <c r="AI99" s="1" t="str">
        <f t="shared" si="16"/>
        <v>17/01 a 18/01</v>
      </c>
      <c r="AK99">
        <v>93533</v>
      </c>
      <c r="AL99" t="s">
        <v>100</v>
      </c>
      <c r="AM99">
        <v>93533</v>
      </c>
      <c r="AN99">
        <v>1.24</v>
      </c>
      <c r="AO99" s="1" t="str">
        <f t="shared" si="17"/>
        <v>20/10 A 23/10</v>
      </c>
      <c r="AQ99">
        <v>7132</v>
      </c>
      <c r="AR99" t="s">
        <v>114</v>
      </c>
      <c r="AS99">
        <v>7132</v>
      </c>
      <c r="AT99">
        <v>0.26</v>
      </c>
      <c r="AU99" s="57">
        <v>5.1100000000000003</v>
      </c>
      <c r="AV99" s="63">
        <f t="shared" ref="AV99:AV105" si="18">(AT99/7)</f>
        <v>3.7142857142857144E-2</v>
      </c>
      <c r="AW99" s="63">
        <f t="shared" ref="AW99:AW105" si="19">(AU99/7)</f>
        <v>0.73000000000000009</v>
      </c>
    </row>
    <row r="100" spans="5:49" x14ac:dyDescent="0.35">
      <c r="E100" s="1" t="str">
        <f t="shared" si="13"/>
        <v>19/01 a20/01</v>
      </c>
      <c r="K100" s="1" t="str">
        <f t="shared" si="14"/>
        <v>20/01 a 21/01</v>
      </c>
      <c r="M100">
        <v>7503</v>
      </c>
      <c r="Q100" s="1"/>
      <c r="W100" s="1"/>
      <c r="AC100" s="1" t="str">
        <f t="shared" si="15"/>
        <v>16/01 a 17/01</v>
      </c>
      <c r="AI100" s="1" t="str">
        <f t="shared" si="16"/>
        <v>17/01 a 18/01</v>
      </c>
      <c r="AK100">
        <v>7503</v>
      </c>
      <c r="AL100" t="s">
        <v>101</v>
      </c>
      <c r="AM100">
        <v>7503</v>
      </c>
      <c r="AN100">
        <v>1.27</v>
      </c>
      <c r="AO100" s="1" t="str">
        <f t="shared" si="17"/>
        <v>20/10 A 23/10</v>
      </c>
      <c r="AQ100">
        <v>7132</v>
      </c>
      <c r="AR100" t="s">
        <v>114</v>
      </c>
      <c r="AS100">
        <v>7132</v>
      </c>
      <c r="AT100">
        <v>0.25</v>
      </c>
      <c r="AU100" s="57">
        <v>4.91</v>
      </c>
      <c r="AV100" s="63">
        <f t="shared" si="18"/>
        <v>3.5714285714285712E-2</v>
      </c>
      <c r="AW100" s="63">
        <f t="shared" si="19"/>
        <v>0.7014285714285714</v>
      </c>
    </row>
    <row r="101" spans="5:49" x14ac:dyDescent="0.35">
      <c r="AQ101">
        <v>6590</v>
      </c>
      <c r="AR101" t="s">
        <v>25</v>
      </c>
      <c r="AS101">
        <v>6590</v>
      </c>
      <c r="AT101">
        <v>7.0000000000000007E-2</v>
      </c>
      <c r="AU101" s="57">
        <v>2.88</v>
      </c>
      <c r="AV101" s="63">
        <f t="shared" si="18"/>
        <v>0.01</v>
      </c>
      <c r="AW101" s="63">
        <f t="shared" si="19"/>
        <v>0.41142857142857142</v>
      </c>
    </row>
    <row r="102" spans="5:49" x14ac:dyDescent="0.35">
      <c r="AQ102" s="60">
        <v>7068</v>
      </c>
      <c r="AR102" s="59" t="s">
        <v>12</v>
      </c>
      <c r="AS102" s="61">
        <v>7068</v>
      </c>
      <c r="AT102" s="60">
        <v>0.16</v>
      </c>
      <c r="AU102" s="57">
        <v>0</v>
      </c>
      <c r="AV102" s="63">
        <f t="shared" si="18"/>
        <v>2.2857142857142857E-2</v>
      </c>
      <c r="AW102" s="63">
        <f t="shared" si="19"/>
        <v>0</v>
      </c>
    </row>
    <row r="103" spans="5:49" x14ac:dyDescent="0.35">
      <c r="AQ103">
        <v>6856</v>
      </c>
      <c r="AR103" t="s">
        <v>13</v>
      </c>
      <c r="AS103">
        <v>6856</v>
      </c>
      <c r="AT103">
        <v>0.15</v>
      </c>
      <c r="AU103" s="57">
        <v>0</v>
      </c>
      <c r="AV103" s="63">
        <f t="shared" si="18"/>
        <v>2.1428571428571429E-2</v>
      </c>
      <c r="AW103" s="63">
        <f t="shared" si="19"/>
        <v>0</v>
      </c>
    </row>
    <row r="104" spans="5:49" x14ac:dyDescent="0.35">
      <c r="AQ104">
        <v>7569</v>
      </c>
      <c r="AR104" t="s">
        <v>74</v>
      </c>
      <c r="AS104">
        <v>7569</v>
      </c>
      <c r="AT104">
        <v>1</v>
      </c>
      <c r="AU104" s="57">
        <v>0</v>
      </c>
      <c r="AV104" s="63">
        <f t="shared" si="18"/>
        <v>0.14285714285714285</v>
      </c>
      <c r="AW104" s="63">
        <f t="shared" si="19"/>
        <v>0</v>
      </c>
    </row>
    <row r="105" spans="5:49" x14ac:dyDescent="0.35">
      <c r="AQ105">
        <v>6955</v>
      </c>
      <c r="AR105" t="s">
        <v>121</v>
      </c>
      <c r="AS105">
        <v>6955</v>
      </c>
      <c r="AT105">
        <v>0.17</v>
      </c>
      <c r="AU105" s="57">
        <v>0</v>
      </c>
      <c r="AV105" s="63">
        <f t="shared" si="18"/>
        <v>2.4285714285714289E-2</v>
      </c>
      <c r="AW105" s="63">
        <f t="shared" si="19"/>
        <v>0</v>
      </c>
    </row>
    <row r="106" spans="5:49" x14ac:dyDescent="0.35">
      <c r="AV106" s="64"/>
      <c r="AW106" s="64"/>
    </row>
    <row r="107" spans="5:49" x14ac:dyDescent="0.35">
      <c r="AV107" s="64"/>
      <c r="AW107" s="64"/>
    </row>
    <row r="108" spans="5:49" x14ac:dyDescent="0.35">
      <c r="AV108" s="64"/>
      <c r="AW108" s="64"/>
    </row>
    <row r="109" spans="5:49" x14ac:dyDescent="0.35">
      <c r="AV109" s="64"/>
      <c r="AW109" s="64"/>
    </row>
    <row r="110" spans="5:49" x14ac:dyDescent="0.35">
      <c r="AV110" s="64"/>
      <c r="AW110" s="64"/>
    </row>
    <row r="111" spans="5:49" x14ac:dyDescent="0.35">
      <c r="AV111" s="64"/>
      <c r="AW111" s="64"/>
    </row>
    <row r="112" spans="5:49" x14ac:dyDescent="0.35">
      <c r="AV112" s="64"/>
      <c r="AW112" s="64"/>
    </row>
    <row r="113" spans="48:49" x14ac:dyDescent="0.35">
      <c r="AV113" s="64"/>
      <c r="AW113" s="64"/>
    </row>
    <row r="114" spans="48:49" x14ac:dyDescent="0.35">
      <c r="AV114" s="64"/>
      <c r="AW114" s="64"/>
    </row>
  </sheetData>
  <autoFilter ref="AQ2:AW2" xr:uid="{4B5530A0-30AC-4484-BFC7-FD63BFD20048}">
    <sortState xmlns:xlrd2="http://schemas.microsoft.com/office/spreadsheetml/2017/richdata2" ref="AQ3:AW105">
      <sortCondition descending="1" ref="AU2"/>
    </sortState>
  </autoFilter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123D-01D1-4ECB-9774-A6DFE991A45A}">
  <sheetPr>
    <tabColor theme="9" tint="0.39997558519241921"/>
    <pageSetUpPr fitToPage="1"/>
  </sheetPr>
  <dimension ref="A1:S64"/>
  <sheetViews>
    <sheetView zoomScale="86" zoomScaleNormal="50" workbookViewId="0">
      <selection activeCell="P1" sqref="P1:S64"/>
    </sheetView>
  </sheetViews>
  <sheetFormatPr defaultRowHeight="14.5" x14ac:dyDescent="0.35"/>
  <cols>
    <col min="2" max="2" width="60" customWidth="1"/>
    <col min="3" max="3" width="8.453125" customWidth="1"/>
    <col min="4" max="4" width="8.1796875" customWidth="1"/>
    <col min="5" max="5" width="9.6328125" bestFit="1" customWidth="1"/>
    <col min="6" max="6" width="9.26953125" bestFit="1" customWidth="1"/>
    <col min="7" max="7" width="15.1796875" style="2" bestFit="1" customWidth="1"/>
    <col min="8" max="8" width="10.54296875" bestFit="1" customWidth="1"/>
    <col min="9" max="9" width="13.36328125" bestFit="1" customWidth="1"/>
    <col min="10" max="10" width="6.6328125" bestFit="1" customWidth="1"/>
    <col min="11" max="11" width="10.6328125" customWidth="1"/>
    <col min="12" max="12" width="20.08984375" bestFit="1" customWidth="1"/>
    <col min="16" max="16" width="7.54296875" bestFit="1" customWidth="1"/>
    <col min="17" max="17" width="81.26953125" bestFit="1" customWidth="1"/>
    <col min="18" max="18" width="11.7265625" customWidth="1"/>
    <col min="19" max="19" width="15" bestFit="1" customWidth="1"/>
  </cols>
  <sheetData>
    <row r="1" spans="1:19" ht="21.5" thickBot="1" x14ac:dyDescent="0.55000000000000004">
      <c r="A1" s="154" t="s">
        <v>172</v>
      </c>
      <c r="B1" s="155"/>
      <c r="C1" s="155"/>
      <c r="D1" s="128"/>
      <c r="E1" s="128"/>
      <c r="F1" s="128"/>
      <c r="G1" s="128"/>
      <c r="H1" s="128"/>
      <c r="I1" s="155" t="s">
        <v>171</v>
      </c>
      <c r="J1" s="155"/>
      <c r="K1" s="155"/>
      <c r="L1" s="155"/>
      <c r="M1" s="165"/>
      <c r="P1" s="157" t="s">
        <v>288</v>
      </c>
      <c r="Q1" s="158"/>
      <c r="R1" s="132" t="s">
        <v>102</v>
      </c>
      <c r="S1" s="131">
        <v>46048</v>
      </c>
    </row>
    <row r="2" spans="1:19" ht="15" thickBot="1" x14ac:dyDescent="0.4">
      <c r="A2" s="151" t="s">
        <v>192</v>
      </c>
      <c r="B2" s="152"/>
      <c r="C2" s="119" t="s">
        <v>155</v>
      </c>
      <c r="D2" s="146" t="s">
        <v>155</v>
      </c>
      <c r="E2" s="146"/>
      <c r="F2" s="146"/>
      <c r="G2" s="146"/>
      <c r="H2" s="156"/>
      <c r="I2" s="146" t="s">
        <v>156</v>
      </c>
      <c r="J2" s="146"/>
      <c r="K2" s="146"/>
      <c r="L2" s="146"/>
      <c r="M2" s="153"/>
      <c r="P2" s="151" t="s">
        <v>192</v>
      </c>
      <c r="Q2" s="152"/>
      <c r="R2" s="145" t="s">
        <v>155</v>
      </c>
      <c r="S2" s="146"/>
    </row>
    <row r="3" spans="1:19" ht="15" thickBot="1" x14ac:dyDescent="0.4">
      <c r="A3" s="85" t="s">
        <v>8</v>
      </c>
      <c r="B3" s="6" t="s">
        <v>164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P3" s="85" t="s">
        <v>8</v>
      </c>
      <c r="Q3" s="6" t="s">
        <v>164</v>
      </c>
      <c r="R3" s="3" t="s">
        <v>2</v>
      </c>
      <c r="S3" s="3" t="s">
        <v>6</v>
      </c>
    </row>
    <row r="4" spans="1:19" ht="19" thickBot="1" x14ac:dyDescent="0.5">
      <c r="A4" s="87">
        <f>('[1]ESCALA DE PRODUÇÃO'!B3)</f>
        <v>7768</v>
      </c>
      <c r="B4" s="29" t="str">
        <f>_xlfn.XLOOKUP(A4,'[1]ESCALA DE PRODUÇÃO'!$AL$1:$AL$1048566,'[1]ESCALA DE PRODUÇÃO'!$AJ$1:$AJ$1048566,"NÃO ENCOTRADO")</f>
        <v>007768 - REFEICAO LAGARTO M.MADEIRA + BATATA ASSADA BENDITO</v>
      </c>
      <c r="C4" s="44">
        <v>10</v>
      </c>
      <c r="D4" s="28" t="str">
        <f>_xlfn.XLOOKUP(A4,'[1]ESCALA DE PRODUÇÃO'!$AL$1:$AL$1048566,'[1]ESCALA DE PRODUÇÃO'!$AK$1:$AK$1048566,"0")</f>
        <v>UN/0001</v>
      </c>
      <c r="E4" s="32">
        <f>'[2]ESCALA DE PRODUÇÃO'!D3</f>
        <v>1</v>
      </c>
      <c r="F4" s="45">
        <f>IFERROR(C4/E4,"0")</f>
        <v>10</v>
      </c>
      <c r="G4" s="30">
        <f>_xlfn.XLOOKUP(A4,'[1]ESCALA DE PRODUÇÃO'!$AL$1:$AL$1048566,'[1]ESCALA DE PRODUÇÃO'!$AM$1:$AM$1048566,"SEM PREÇO")</f>
        <v>24.9</v>
      </c>
      <c r="H4" s="31">
        <f>IFERROR(C4*G4,"0")</f>
        <v>249</v>
      </c>
      <c r="I4" s="46">
        <f>_xlfn.XLOOKUP(A4,'DADOS DE VENDA'!A:A,'DADOS DE VENDA'!D:D,"SEM VENDA")</f>
        <v>10</v>
      </c>
      <c r="J4" s="47">
        <f>IFERROR(I4/E4,"0")</f>
        <v>10</v>
      </c>
      <c r="K4" s="48">
        <f>IFERROR(I4*G4,"0")</f>
        <v>249</v>
      </c>
      <c r="L4" s="49" t="str">
        <f>_xlfn.XLOOKUP(A4,'DADOS DE VENDA'!A:A,'DADOS DE VENDA'!E:E,"RUPTURA NO PERIODO")</f>
        <v>19/01 a20/01</v>
      </c>
      <c r="M4" s="88" t="str" cm="1">
        <f t="array" ref="M4">_xlfn.IFS(C4&lt;I4,"ABAIXO",C4&gt;I4,"ACIMA",C4=I4,"OK")</f>
        <v>OK</v>
      </c>
      <c r="P4" s="87">
        <f>A4</f>
        <v>7768</v>
      </c>
      <c r="Q4" s="29" t="str">
        <f>_xlfn.XLOOKUP(P4,'[1]ESCALA DE PRODUÇÃO'!$AL$1:$AL$1048566,'[1]ESCALA DE PRODUÇÃO'!$AJ$1:$AJ$1048566,"NÃO ENCOTRADO")</f>
        <v>007768 - REFEICAO LAGARTO M.MADEIRA + BATATA ASSADA BENDITO</v>
      </c>
      <c r="R4" s="44">
        <f>C4</f>
        <v>10</v>
      </c>
      <c r="S4" s="45">
        <f>(F4)</f>
        <v>10</v>
      </c>
    </row>
    <row r="5" spans="1:19" ht="19" thickBot="1" x14ac:dyDescent="0.5">
      <c r="A5" s="87">
        <f>('[1]ESCALA DE PRODUÇÃO'!B4)</f>
        <v>8966</v>
      </c>
      <c r="B5" s="29" t="str">
        <f>_xlfn.XLOOKUP(A5,'[1]ESCALA DE PRODUÇÃO'!$AL$1:$AL$1048566,'[1]ESCALA DE PRODUÇÃO'!$AJ$1:$AJ$1048566,"NÃO ENCOTRADO")</f>
        <v>08966 - REFEICAO ISCA DE FRANGO A MILANESA</v>
      </c>
      <c r="C5" s="44">
        <v>12</v>
      </c>
      <c r="D5" s="28" t="str">
        <f>_xlfn.XLOOKUP(A5,'[1]ESCALA DE PRODUÇÃO'!$AL$1:$AL$1048566,'[1]ESCALA DE PRODUÇÃO'!$AK$1:$AK$1048566,"0")</f>
        <v>UN/0001</v>
      </c>
      <c r="E5" s="32">
        <f>'[2]ESCALA DE PRODUÇÃO'!D4</f>
        <v>1</v>
      </c>
      <c r="F5" s="45">
        <f t="shared" ref="F5:F36" si="0">IFERROR(C5/E5,"0")</f>
        <v>12</v>
      </c>
      <c r="G5" s="30">
        <f>_xlfn.XLOOKUP(A5,'[1]ESCALA DE PRODUÇÃO'!$AL$1:$AL$1048566,'[1]ESCALA DE PRODUÇÃO'!$AM$1:$AM$1048566,"SEM PREÇO")</f>
        <v>23.9</v>
      </c>
      <c r="H5" s="33">
        <f t="shared" ref="H5:H36" si="1">IFERROR(C5*G5,"0")</f>
        <v>286.79999999999995</v>
      </c>
      <c r="I5" s="50">
        <f>_xlfn.XLOOKUP(A5,'DADOS DE VENDA'!A:A,'DADOS DE VENDA'!D:D,"SEM VENDA")</f>
        <v>12</v>
      </c>
      <c r="J5" s="42">
        <f t="shared" ref="J5:J36" si="2">IFERROR(I5/E5,"0")</f>
        <v>12</v>
      </c>
      <c r="K5" s="43">
        <f t="shared" ref="K5:K36" si="3">IFERROR(I5*G5,"0")</f>
        <v>286.79999999999995</v>
      </c>
      <c r="L5" s="51" t="str">
        <f>_xlfn.XLOOKUP(A5,'DADOS DE VENDA'!A:A,'DADOS DE VENDA'!E:E,"RUPTURA NO PERIODO")</f>
        <v>19/01 a20/01</v>
      </c>
      <c r="M5" s="88" t="str" cm="1">
        <f t="array" ref="M5">_xlfn.IFS(C5&lt;I5,"ABAIXO",C5&gt;I5,"ACIMA",C5=I5,"OK")</f>
        <v>OK</v>
      </c>
      <c r="P5" s="87">
        <f t="shared" ref="P5:P27" si="4">A5</f>
        <v>8966</v>
      </c>
      <c r="Q5" s="29" t="str">
        <f>_xlfn.XLOOKUP(P5,'[1]ESCALA DE PRODUÇÃO'!$AL$1:$AL$1048566,'[1]ESCALA DE PRODUÇÃO'!$AJ$1:$AJ$1048566,"NÃO ENCOTRADO")</f>
        <v>08966 - REFEICAO ISCA DE FRANGO A MILANESA</v>
      </c>
      <c r="R5" s="44">
        <f t="shared" ref="R5:R27" si="5">C5</f>
        <v>12</v>
      </c>
      <c r="S5" s="45">
        <f t="shared" ref="S5:S27" si="6">(F5)</f>
        <v>12</v>
      </c>
    </row>
    <row r="6" spans="1:19" ht="19" thickBot="1" x14ac:dyDescent="0.5">
      <c r="A6" s="87">
        <f>('[1]ESCALA DE PRODUÇÃO'!B5)</f>
        <v>0</v>
      </c>
      <c r="B6" s="29" t="str">
        <f>_xlfn.XLOOKUP(A6,'[1]ESCALA DE PRODUÇÃO'!$AL$1:$AL$1048566,'[1]ESCALA DE PRODUÇÃO'!$AJ$1:$AJ$1048566,"NÃO ENCOTRADO")</f>
        <v>NÃO ENCOTRADO</v>
      </c>
      <c r="C6" s="44">
        <v>0</v>
      </c>
      <c r="D6" s="28" t="str">
        <f>_xlfn.XLOOKUP(A6,'[1]ESCALA DE PRODUÇÃO'!$AL$1:$AL$1048566,'[1]ESCALA DE PRODUÇÃO'!$AK$1:$AK$1048566,"0")</f>
        <v>0</v>
      </c>
      <c r="E6" s="32">
        <f>'[2]ESCALA DE PRODUÇÃO'!D5</f>
        <v>0</v>
      </c>
      <c r="F6" s="45" t="str">
        <f t="shared" si="0"/>
        <v>0</v>
      </c>
      <c r="G6" s="30" t="str">
        <f>_xlfn.XLOOKUP(A6,'[1]ESCALA DE PRODUÇÃO'!$AL$1:$AL$1048566,'[1]ESCALA DE PRODUÇÃO'!$AM$1:$AM$1048566,"SEM PREÇO")</f>
        <v>SEM PREÇO</v>
      </c>
      <c r="H6" s="33" t="str">
        <f t="shared" si="1"/>
        <v>0</v>
      </c>
      <c r="I6" s="50" t="str">
        <f>_xlfn.XLOOKUP(A6,'DADOS DE VENDA'!A:A,'DADOS DE VENDA'!D:D,"SEM VENDA")</f>
        <v>SEM VENDA</v>
      </c>
      <c r="J6" s="42" t="str">
        <f t="shared" si="2"/>
        <v>0</v>
      </c>
      <c r="K6" s="43" t="str">
        <f t="shared" si="3"/>
        <v>0</v>
      </c>
      <c r="L6" s="51" t="str">
        <f>_xlfn.XLOOKUP(A6,'DADOS DE VENDA'!A:A,'DADOS DE VENDA'!E:E,"RUPTURA NO PERIODO")</f>
        <v>RUPTURA NO PERIODO</v>
      </c>
      <c r="M6" s="88" t="str" cm="1">
        <f t="array" ref="M6">_xlfn.IFS(C6&lt;I6,"ABAIXO",C6&gt;I6,"ACIMA",C6=I6,"OK")</f>
        <v>ABAIXO</v>
      </c>
      <c r="P6" s="87">
        <f t="shared" si="4"/>
        <v>0</v>
      </c>
      <c r="Q6" s="29" t="str">
        <f>_xlfn.XLOOKUP(P6,'[1]ESCALA DE PRODUÇÃO'!$AL$1:$AL$1048566,'[1]ESCALA DE PRODUÇÃO'!$AJ$1:$AJ$1048566,"NÃO ENCOTRADO")</f>
        <v>NÃO ENCOTRADO</v>
      </c>
      <c r="R6" s="44">
        <f t="shared" si="5"/>
        <v>0</v>
      </c>
      <c r="S6" s="45" t="str">
        <f t="shared" si="6"/>
        <v>0</v>
      </c>
    </row>
    <row r="7" spans="1:19" ht="15" thickBot="1" x14ac:dyDescent="0.4">
      <c r="A7" s="85" t="s">
        <v>8</v>
      </c>
      <c r="B7" s="6" t="s">
        <v>165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P7" s="85" t="s">
        <v>8</v>
      </c>
      <c r="Q7" s="6" t="s">
        <v>165</v>
      </c>
      <c r="R7" s="3" t="s">
        <v>2</v>
      </c>
      <c r="S7" s="3" t="s">
        <v>6</v>
      </c>
    </row>
    <row r="8" spans="1:19" ht="19" thickBot="1" x14ac:dyDescent="0.5">
      <c r="A8" s="87">
        <f>('[1]ESCALA DE PRODUÇÃO'!B7)</f>
        <v>8480</v>
      </c>
      <c r="B8" s="29" t="str">
        <f>_xlfn.XLOOKUP(A8,'[1]ESCALA DE PRODUÇÃO'!$AL$1:$AL$1048566,'[1]ESCALA DE PRODUÇÃO'!$AJ$1:$AJ$1048566,"NÃO ENCOTRADO")</f>
        <v>008480 - ROTISSERIA MACARRONADA A BOLONHESA BENDITO KG</v>
      </c>
      <c r="C8" s="44">
        <v>3</v>
      </c>
      <c r="D8" s="28" t="str">
        <f>_xlfn.XLOOKUP(A8,'[1]ESCALA DE PRODUÇÃO'!$AL$1:$AL$1048566,'[1]ESCALA DE PRODUÇÃO'!$AK$1:$AK$1048566,"0")</f>
        <v>KG/0001</v>
      </c>
      <c r="E8" s="32">
        <f>'[2]ESCALA DE PRODUÇÃO'!D7</f>
        <v>0.35</v>
      </c>
      <c r="F8" s="45">
        <f t="shared" si="0"/>
        <v>8.5714285714285712</v>
      </c>
      <c r="G8" s="30">
        <f>_xlfn.XLOOKUP(A8,'[1]ESCALA DE PRODUÇÃO'!$AL$1:$AL$1048566,'[1]ESCALA DE PRODUÇÃO'!$AM$1:$AM$1048566,"SEM PREÇO")</f>
        <v>39.9</v>
      </c>
      <c r="H8" s="33">
        <f t="shared" si="1"/>
        <v>119.69999999999999</v>
      </c>
      <c r="I8" s="50" t="str">
        <f>_xlfn.XLOOKUP(A8,'DADOS DE VENDA'!A:A,'DADOS DE VENDA'!D:D,"SEM VENDA")</f>
        <v>SEM VENDA</v>
      </c>
      <c r="J8" s="42" t="str">
        <f t="shared" si="2"/>
        <v>0</v>
      </c>
      <c r="K8" s="43" t="str">
        <f t="shared" si="3"/>
        <v>0</v>
      </c>
      <c r="L8" s="51" t="str">
        <f>_xlfn.XLOOKUP(A8,'DADOS DE VENDA'!A:A,'DADOS DE VENDA'!E:E,"RUPTURA NO PERIODO")</f>
        <v>RUPTURA NO PERIODO</v>
      </c>
      <c r="M8" s="88" t="str" cm="1">
        <f t="array" ref="M8">_xlfn.IFS(C8&lt;I8,"ABAIXO",C8&gt;I8,"ACIMA",C8=I8,"OK")</f>
        <v>ABAIXO</v>
      </c>
      <c r="P8" s="87">
        <f t="shared" si="4"/>
        <v>8480</v>
      </c>
      <c r="Q8" s="29" t="str">
        <f>_xlfn.XLOOKUP(P8,'[1]ESCALA DE PRODUÇÃO'!$AL$1:$AL$1048566,'[1]ESCALA DE PRODUÇÃO'!$AJ$1:$AJ$1048566,"NÃO ENCOTRADO")</f>
        <v>008480 - ROTISSERIA MACARRONADA A BOLONHESA BENDITO KG</v>
      </c>
      <c r="R8" s="44">
        <f t="shared" si="5"/>
        <v>3</v>
      </c>
      <c r="S8" s="45">
        <f t="shared" si="6"/>
        <v>8.5714285714285712</v>
      </c>
    </row>
    <row r="9" spans="1:19" ht="19" thickBot="1" x14ac:dyDescent="0.5">
      <c r="A9" s="87">
        <f>('[1]ESCALA DE PRODUÇÃO'!B8)</f>
        <v>93626</v>
      </c>
      <c r="B9" s="29" t="str">
        <f>_xlfn.XLOOKUP(A9,'[1]ESCALA DE PRODUÇÃO'!$AL$1:$AL$1048566,'[1]ESCALA DE PRODUÇÃO'!$AJ$1:$AJ$1048566,"NÃO ENCOTRADO")</f>
        <v>093626 - ROTISSERIA MACARRAO C/BROCOLIS E BACON KG</v>
      </c>
      <c r="C9" s="44">
        <v>2</v>
      </c>
      <c r="D9" s="28" t="str">
        <f>_xlfn.XLOOKUP(A9,'[1]ESCALA DE PRODUÇÃO'!$AL$1:$AL$1048566,'[1]ESCALA DE PRODUÇÃO'!$AK$1:$AK$1048566,"0")</f>
        <v>KG/0001</v>
      </c>
      <c r="E9" s="32">
        <f>'[2]ESCALA DE PRODUÇÃO'!D8</f>
        <v>0.35</v>
      </c>
      <c r="F9" s="45">
        <f t="shared" si="0"/>
        <v>5.7142857142857144</v>
      </c>
      <c r="G9" s="30">
        <f>_xlfn.XLOOKUP(A9,'[1]ESCALA DE PRODUÇÃO'!$AL$1:$AL$1048566,'[1]ESCALA DE PRODUÇÃO'!$AM$1:$AM$1048566,"SEM PREÇO")</f>
        <v>39.9</v>
      </c>
      <c r="H9" s="33">
        <f t="shared" si="1"/>
        <v>79.8</v>
      </c>
      <c r="I9" s="50">
        <f>_xlfn.XLOOKUP(A9,'DADOS DE VENDA'!A:A,'DADOS DE VENDA'!D:D,"SEM VENDA")</f>
        <v>1.17</v>
      </c>
      <c r="J9" s="42">
        <f t="shared" si="2"/>
        <v>3.342857142857143</v>
      </c>
      <c r="K9" s="43">
        <f t="shared" si="3"/>
        <v>46.682999999999993</v>
      </c>
      <c r="L9" s="51" t="str">
        <f>_xlfn.XLOOKUP(A9,'DADOS DE VENDA'!A:A,'DADOS DE VENDA'!E:E,"RUPTURA NO PERIODO")</f>
        <v>19/01 a20/01</v>
      </c>
      <c r="M9" s="88" t="str" cm="1">
        <f t="array" ref="M9">_xlfn.IFS(C9&lt;I9,"ABAIXO",C9&gt;I9,"ACIMA",C9=I9,"OK")</f>
        <v>ACIMA</v>
      </c>
      <c r="P9" s="87">
        <f t="shared" si="4"/>
        <v>93626</v>
      </c>
      <c r="Q9" s="29" t="str">
        <f>_xlfn.XLOOKUP(P9,'[1]ESCALA DE PRODUÇÃO'!$AL$1:$AL$1048566,'[1]ESCALA DE PRODUÇÃO'!$AJ$1:$AJ$1048566,"NÃO ENCOTRADO")</f>
        <v>093626 - ROTISSERIA MACARRAO C/BROCOLIS E BACON KG</v>
      </c>
      <c r="R9" s="44">
        <f t="shared" si="5"/>
        <v>2</v>
      </c>
      <c r="S9" s="45">
        <f t="shared" si="6"/>
        <v>5.7142857142857144</v>
      </c>
    </row>
    <row r="10" spans="1:19" ht="19" thickBot="1" x14ac:dyDescent="0.5">
      <c r="A10" s="87">
        <f>('[1]ESCALA DE PRODUÇÃO'!B9)</f>
        <v>0</v>
      </c>
      <c r="B10" s="29" t="str">
        <f>_xlfn.XLOOKUP(A10,'[1]ESCALA DE PRODUÇÃO'!$AL$1:$AL$1048566,'[1]ESCALA DE PRODUÇÃO'!$AJ$1:$AJ$1048566,"NÃO ENCOTRADO")</f>
        <v>NÃO ENCOTRADO</v>
      </c>
      <c r="C10" s="44">
        <v>0</v>
      </c>
      <c r="D10" s="28" t="str">
        <f>_xlfn.XLOOKUP(A10,'[1]ESCALA DE PRODUÇÃO'!$AL$1:$AL$1048566,'[1]ESCALA DE PRODUÇÃO'!$AK$1:$AK$1048566,"0")</f>
        <v>0</v>
      </c>
      <c r="E10" s="32">
        <f>'[2]ESCALA DE PRODUÇÃO'!D9</f>
        <v>0</v>
      </c>
      <c r="F10" s="45" t="str">
        <f t="shared" si="0"/>
        <v>0</v>
      </c>
      <c r="G10" s="30" t="str">
        <f>_xlfn.XLOOKUP(A10,'[1]ESCALA DE PRODUÇÃO'!$AL$1:$AL$1048566,'[1]ESCALA DE PRODUÇÃO'!$AM$1:$AM$1048566,"SEM PREÇO")</f>
        <v>SEM PREÇO</v>
      </c>
      <c r="H10" s="33" t="str">
        <f t="shared" si="1"/>
        <v>0</v>
      </c>
      <c r="I10" s="50" t="str">
        <f>_xlfn.XLOOKUP(A10,'DADOS DE VENDA'!A:A,'DADOS DE VENDA'!D:D,"SEM VENDA")</f>
        <v>SEM VENDA</v>
      </c>
      <c r="J10" s="42" t="str">
        <f t="shared" si="2"/>
        <v>0</v>
      </c>
      <c r="K10" s="43" t="str">
        <f t="shared" si="3"/>
        <v>0</v>
      </c>
      <c r="L10" s="51" t="str">
        <f>_xlfn.XLOOKUP(A10,'DADOS DE VENDA'!A:A,'DADOS DE VENDA'!E:E,"RUPTURA NO PERIODO")</f>
        <v>RUPTURA NO PERIODO</v>
      </c>
      <c r="M10" s="88" t="str" cm="1">
        <f t="array" ref="M10">_xlfn.IFS(C10&lt;I10,"ABAIXO",C10&gt;I10,"ACIMA",C10=I10,"OK")</f>
        <v>ABAIXO</v>
      </c>
      <c r="P10" s="87">
        <f t="shared" si="4"/>
        <v>0</v>
      </c>
      <c r="Q10" s="29" t="str">
        <f>_xlfn.XLOOKUP(P10,'[1]ESCALA DE PRODUÇÃO'!$AL$1:$AL$1048566,'[1]ESCALA DE PRODUÇÃO'!$AJ$1:$AJ$1048566,"NÃO ENCOTRADO")</f>
        <v>NÃO ENCOTRADO</v>
      </c>
      <c r="R10" s="44">
        <f t="shared" si="5"/>
        <v>0</v>
      </c>
      <c r="S10" s="45" t="str">
        <f t="shared" si="6"/>
        <v>0</v>
      </c>
    </row>
    <row r="11" spans="1:19" ht="15" thickBot="1" x14ac:dyDescent="0.4">
      <c r="A11" s="85" t="s">
        <v>8</v>
      </c>
      <c r="B11" s="6" t="s">
        <v>166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P11" s="85" t="s">
        <v>8</v>
      </c>
      <c r="Q11" s="6" t="s">
        <v>166</v>
      </c>
      <c r="R11" s="3" t="s">
        <v>2</v>
      </c>
      <c r="S11" s="3" t="s">
        <v>6</v>
      </c>
    </row>
    <row r="12" spans="1:19" ht="19" thickBot="1" x14ac:dyDescent="0.5">
      <c r="A12" s="87">
        <f>('[1]ESCALA DE PRODUÇÃO'!B11)</f>
        <v>8028</v>
      </c>
      <c r="B12" s="29" t="str">
        <f>_xlfn.XLOOKUP(A12,'[1]ESCALA DE PRODUÇÃO'!$AL$1:$AL$1048566,'[1]ESCALA DE PRODUÇÃO'!$AJ$1:$AJ$1048566,"NÃO ENCOTRADO")</f>
        <v>008028 - ROTISSERIA ARROZ BRANCO BENDITO KG</v>
      </c>
      <c r="C12" s="44">
        <v>1.2</v>
      </c>
      <c r="D12" s="28" t="str">
        <f>_xlfn.XLOOKUP(A12,'[1]ESCALA DE PRODUÇÃO'!$AL$1:$AL$1048566,'[1]ESCALA DE PRODUÇÃO'!$AK$1:$AK$1048566,"0")</f>
        <v>KG/0001</v>
      </c>
      <c r="E12" s="32">
        <f>'[2]ESCALA DE PRODUÇÃO'!D11</f>
        <v>0.12</v>
      </c>
      <c r="F12" s="45">
        <f t="shared" si="0"/>
        <v>10</v>
      </c>
      <c r="G12" s="30">
        <f>_xlfn.XLOOKUP(A12,'[1]ESCALA DE PRODUÇÃO'!$AL$1:$AL$1048566,'[1]ESCALA DE PRODUÇÃO'!$AM$1:$AM$1048566,"SEM PREÇO")</f>
        <v>28.9</v>
      </c>
      <c r="H12" s="33">
        <f t="shared" si="1"/>
        <v>34.68</v>
      </c>
      <c r="I12" s="50">
        <f>_xlfn.XLOOKUP(A12,'DADOS DE VENDA'!A:A,'DADOS DE VENDA'!D:D,"SEM VENDA")</f>
        <v>2.71</v>
      </c>
      <c r="J12" s="42">
        <f t="shared" si="2"/>
        <v>22.583333333333332</v>
      </c>
      <c r="K12" s="43">
        <f t="shared" si="3"/>
        <v>78.318999999999988</v>
      </c>
      <c r="L12" s="51" t="str">
        <f>_xlfn.XLOOKUP(A12,'DADOS DE VENDA'!A:A,'DADOS DE VENDA'!E:E,"RUPTURA NO PERIODO")</f>
        <v>19/01 a20/01</v>
      </c>
      <c r="M12" s="88" t="str" cm="1">
        <f t="array" ref="M12">_xlfn.IFS(C12&lt;I12,"ABAIXO",C12&gt;I12,"ACIMA",C12=I12,"OK")</f>
        <v>ABAIXO</v>
      </c>
      <c r="P12" s="87">
        <f t="shared" si="4"/>
        <v>8028</v>
      </c>
      <c r="Q12" s="29" t="str">
        <f>_xlfn.XLOOKUP(P12,'[1]ESCALA DE PRODUÇÃO'!$AL$1:$AL$1048566,'[1]ESCALA DE PRODUÇÃO'!$AJ$1:$AJ$1048566,"NÃO ENCOTRADO")</f>
        <v>008028 - ROTISSERIA ARROZ BRANCO BENDITO KG</v>
      </c>
      <c r="R12" s="44">
        <f t="shared" si="5"/>
        <v>1.2</v>
      </c>
      <c r="S12" s="45">
        <f t="shared" si="6"/>
        <v>10</v>
      </c>
    </row>
    <row r="13" spans="1:19" ht="19" thickBot="1" x14ac:dyDescent="0.5">
      <c r="A13" s="87">
        <f>('[1]ESCALA DE PRODUÇÃO'!B12)</f>
        <v>0</v>
      </c>
      <c r="B13" s="29" t="str">
        <f>_xlfn.XLOOKUP(A13,'[1]ESCALA DE PRODUÇÃO'!$AL$1:$AL$1048566,'[1]ESCALA DE PRODUÇÃO'!$AJ$1:$AJ$1048566,"NÃO ENCOTRADO")</f>
        <v>NÃO ENCOTRADO</v>
      </c>
      <c r="C13" s="44">
        <v>0</v>
      </c>
      <c r="D13" s="28" t="str">
        <f>_xlfn.XLOOKUP(A13,'[1]ESCALA DE PRODUÇÃO'!$AL$1:$AL$1048566,'[1]ESCALA DE PRODUÇÃO'!$AK$1:$AK$1048566,"0")</f>
        <v>0</v>
      </c>
      <c r="E13" s="32">
        <f>'[2]ESCALA DE PRODUÇÃO'!D12</f>
        <v>0</v>
      </c>
      <c r="F13" s="45" t="str">
        <f t="shared" si="0"/>
        <v>0</v>
      </c>
      <c r="G13" s="30" t="str">
        <f>_xlfn.XLOOKUP(A13,'[1]ESCALA DE PRODUÇÃO'!$AL$1:$AL$1048566,'[1]ESCALA DE PRODUÇÃO'!$AM$1:$AM$1048566,"SEM PREÇO")</f>
        <v>SEM PREÇO</v>
      </c>
      <c r="H13" s="33" t="str">
        <f t="shared" si="1"/>
        <v>0</v>
      </c>
      <c r="I13" s="50" t="str">
        <f>_xlfn.XLOOKUP(A13,'DADOS DE VENDA'!A:A,'DADOS DE VENDA'!D:D,"SEM VENDA")</f>
        <v>SEM VENDA</v>
      </c>
      <c r="J13" s="42" t="str">
        <f t="shared" si="2"/>
        <v>0</v>
      </c>
      <c r="K13" s="43" t="str">
        <f t="shared" si="3"/>
        <v>0</v>
      </c>
      <c r="L13" s="51" t="str">
        <f>_xlfn.XLOOKUP(A13,'DADOS DE VENDA'!A:A,'DADOS DE VENDA'!E:E,"RUPTURA NO PERIODO")</f>
        <v>RUPTURA NO PERIODO</v>
      </c>
      <c r="M13" s="88" t="str" cm="1">
        <f t="array" ref="M13">_xlfn.IFS(C13&lt;I13,"ABAIXO",C13&gt;I13,"ACIMA",C13=I13,"OK")</f>
        <v>ABAIXO</v>
      </c>
      <c r="P13" s="87">
        <f t="shared" si="4"/>
        <v>0</v>
      </c>
      <c r="Q13" s="29" t="str">
        <f>_xlfn.XLOOKUP(P13,'[1]ESCALA DE PRODUÇÃO'!$AL$1:$AL$1048566,'[1]ESCALA DE PRODUÇÃO'!$AJ$1:$AJ$1048566,"NÃO ENCOTRADO")</f>
        <v>NÃO ENCOTRADO</v>
      </c>
      <c r="R13" s="44">
        <f t="shared" si="5"/>
        <v>0</v>
      </c>
      <c r="S13" s="45" t="str">
        <f t="shared" si="6"/>
        <v>0</v>
      </c>
    </row>
    <row r="14" spans="1:19" ht="15" thickBot="1" x14ac:dyDescent="0.4">
      <c r="A14" s="85" t="s">
        <v>8</v>
      </c>
      <c r="B14" s="6" t="s">
        <v>167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P14" s="85" t="s">
        <v>8</v>
      </c>
      <c r="Q14" s="6" t="s">
        <v>167</v>
      </c>
      <c r="R14" s="3" t="s">
        <v>2</v>
      </c>
      <c r="S14" s="3" t="s">
        <v>6</v>
      </c>
    </row>
    <row r="15" spans="1:19" ht="19" thickBot="1" x14ac:dyDescent="0.5">
      <c r="A15" s="87">
        <f>('[1]ESCALA DE PRODUÇÃO'!B14)</f>
        <v>8328</v>
      </c>
      <c r="B15" s="29" t="str">
        <f>_xlfn.XLOOKUP(A15,'[1]ESCALA DE PRODUÇÃO'!$AL$1:$AL$1048566,'[1]ESCALA DE PRODUÇÃO'!$AJ$1:$AJ$1048566,"NÃO ENCOTRADO")</f>
        <v>008328 - ROTISSERIA FEIJAO BENDITO KG</v>
      </c>
      <c r="C15" s="44">
        <v>1</v>
      </c>
      <c r="D15" s="28" t="str">
        <f>_xlfn.XLOOKUP(A15,'[1]ESCALA DE PRODUÇÃO'!$AL$1:$AL$1048566,'[1]ESCALA DE PRODUÇÃO'!$AK$1:$AK$1048566,"0")</f>
        <v>KG/0001</v>
      </c>
      <c r="E15" s="32">
        <f>'[2]ESCALA DE PRODUÇÃO'!D14</f>
        <v>0.18</v>
      </c>
      <c r="F15" s="45">
        <f t="shared" si="0"/>
        <v>5.5555555555555554</v>
      </c>
      <c r="G15" s="30">
        <f>_xlfn.XLOOKUP(A15,'[1]ESCALA DE PRODUÇÃO'!$AL$1:$AL$1048566,'[1]ESCALA DE PRODUÇÃO'!$AM$1:$AM$1048566,"SEM PREÇO")</f>
        <v>34.9</v>
      </c>
      <c r="H15" s="33">
        <f t="shared" si="1"/>
        <v>34.9</v>
      </c>
      <c r="I15" s="50">
        <f>_xlfn.XLOOKUP(A15,'DADOS DE VENDA'!A:A,'DADOS DE VENDA'!D:D,"SEM VENDA")</f>
        <v>0.75</v>
      </c>
      <c r="J15" s="42">
        <f t="shared" si="2"/>
        <v>4.166666666666667</v>
      </c>
      <c r="K15" s="43">
        <f t="shared" si="3"/>
        <v>26.174999999999997</v>
      </c>
      <c r="L15" s="51" t="str">
        <f>_xlfn.XLOOKUP(A15,'DADOS DE VENDA'!A:A,'DADOS DE VENDA'!E:E,"RUPTURA NO PERIODO")</f>
        <v>19/01 a20/01</v>
      </c>
      <c r="M15" s="88" t="str" cm="1">
        <f t="array" ref="M15">_xlfn.IFS(C15&lt;I15,"ABAIXO",C15&gt;I15,"ACIMA",C15=I15,"OK")</f>
        <v>ACIMA</v>
      </c>
      <c r="P15" s="87">
        <f t="shared" si="4"/>
        <v>8328</v>
      </c>
      <c r="Q15" s="29" t="str">
        <f>_xlfn.XLOOKUP(P15,'[1]ESCALA DE PRODUÇÃO'!$AL$1:$AL$1048566,'[1]ESCALA DE PRODUÇÃO'!$AJ$1:$AJ$1048566,"NÃO ENCOTRADO")</f>
        <v>008328 - ROTISSERIA FEIJAO BENDITO KG</v>
      </c>
      <c r="R15" s="44">
        <f t="shared" si="5"/>
        <v>1</v>
      </c>
      <c r="S15" s="45">
        <f t="shared" si="6"/>
        <v>5.5555555555555554</v>
      </c>
    </row>
    <row r="16" spans="1:19" ht="19" thickBot="1" x14ac:dyDescent="0.5">
      <c r="A16" s="87">
        <f>('[1]ESCALA DE PRODUÇÃO'!B15)</f>
        <v>10</v>
      </c>
      <c r="B16" s="29" t="str">
        <f>_xlfn.XLOOKUP(A16,'[1]ESCALA DE PRODUÇÃO'!$AL$1:$AL$1048566,'[1]ESCALA DE PRODUÇÃO'!$AJ$1:$AJ$1048566,"NÃO ENCOTRADO")</f>
        <v>NÃO ENCOTRADO</v>
      </c>
      <c r="C16" s="44">
        <v>0</v>
      </c>
      <c r="D16" s="28" t="str">
        <f>_xlfn.XLOOKUP(A16,'[1]ESCALA DE PRODUÇÃO'!$AL$1:$AL$1048566,'[1]ESCALA DE PRODUÇÃO'!$AK$1:$AK$1048566,"0")</f>
        <v>0</v>
      </c>
      <c r="E16" s="32">
        <f>'[2]ESCALA DE PRODUÇÃO'!D15</f>
        <v>0</v>
      </c>
      <c r="F16" s="45" t="str">
        <f t="shared" si="0"/>
        <v>0</v>
      </c>
      <c r="G16" s="30" t="str">
        <f>_xlfn.XLOOKUP(A16,'[1]ESCALA DE PRODUÇÃO'!$AL$1:$AL$1048566,'[1]ESCALA DE PRODUÇÃO'!$AM$1:$AM$1048566,"SEM PREÇO")</f>
        <v>SEM PREÇO</v>
      </c>
      <c r="H16" s="33" t="str">
        <f t="shared" si="1"/>
        <v>0</v>
      </c>
      <c r="I16" s="50" t="str">
        <f>_xlfn.XLOOKUP(A16,'DADOS DE VENDA'!A:A,'DADOS DE VENDA'!D:D,"SEM VENDA")</f>
        <v>SEM VENDA</v>
      </c>
      <c r="J16" s="42" t="str">
        <f t="shared" si="2"/>
        <v>0</v>
      </c>
      <c r="K16" s="43" t="str">
        <f t="shared" si="3"/>
        <v>0</v>
      </c>
      <c r="L16" s="51" t="str">
        <f>_xlfn.XLOOKUP(A16,'DADOS DE VENDA'!A:A,'DADOS DE VENDA'!E:E,"RUPTURA NO PERIODO")</f>
        <v>RUPTURA NO PERIODO</v>
      </c>
      <c r="M16" s="88" t="str" cm="1">
        <f t="array" ref="M16">_xlfn.IFS(C16&lt;I16,"ABAIXO",C16&gt;I16,"ACIMA",C16=I16,"OK")</f>
        <v>ABAIXO</v>
      </c>
      <c r="P16" s="87">
        <f t="shared" si="4"/>
        <v>10</v>
      </c>
      <c r="Q16" s="29" t="str">
        <f>_xlfn.XLOOKUP(P16,'[1]ESCALA DE PRODUÇÃO'!$AL$1:$AL$1048566,'[1]ESCALA DE PRODUÇÃO'!$AJ$1:$AJ$1048566,"NÃO ENCOTRADO")</f>
        <v>NÃO ENCOTRADO</v>
      </c>
      <c r="R16" s="44">
        <f t="shared" si="5"/>
        <v>0</v>
      </c>
      <c r="S16" s="45" t="str">
        <f t="shared" si="6"/>
        <v>0</v>
      </c>
    </row>
    <row r="17" spans="1:19" ht="15" thickBot="1" x14ac:dyDescent="0.4">
      <c r="A17" s="85" t="s">
        <v>8</v>
      </c>
      <c r="B17" s="6" t="s">
        <v>168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P17" s="85" t="s">
        <v>8</v>
      </c>
      <c r="Q17" s="6" t="s">
        <v>168</v>
      </c>
      <c r="R17" s="3" t="s">
        <v>2</v>
      </c>
      <c r="S17" s="3" t="s">
        <v>6</v>
      </c>
    </row>
    <row r="18" spans="1:19" ht="19" thickBot="1" x14ac:dyDescent="0.5">
      <c r="A18" s="87">
        <f>('[1]ESCALA DE PRODUÇÃO'!B17)</f>
        <v>8089</v>
      </c>
      <c r="B18" s="29" t="str">
        <f>_xlfn.XLOOKUP(A18,'[1]ESCALA DE PRODUÇÃO'!$AL$1:$AL$1048566,'[1]ESCALA DE PRODUÇÃO'!$AJ$1:$AJ$1048566,"NÃO ENCOTRADO")</f>
        <v>008089 - ROTISSERIA BATATA ASSADA BENDITO KG</v>
      </c>
      <c r="C18" s="44">
        <v>1</v>
      </c>
      <c r="D18" s="28" t="str">
        <f>_xlfn.XLOOKUP(A18,'[1]ESCALA DE PRODUÇÃO'!$AL$1:$AL$1048566,'[1]ESCALA DE PRODUÇÃO'!$AK$1:$AK$1048566,"0")</f>
        <v>KG/0001</v>
      </c>
      <c r="E18" s="32">
        <f>'[2]ESCALA DE PRODUÇÃO'!D17</f>
        <v>0.12</v>
      </c>
      <c r="F18" s="45">
        <f t="shared" si="0"/>
        <v>8.3333333333333339</v>
      </c>
      <c r="G18" s="30">
        <f>_xlfn.XLOOKUP(A18,'[1]ESCALA DE PRODUÇÃO'!$AL$1:$AL$1048566,'[1]ESCALA DE PRODUÇÃO'!$AM$1:$AM$1048566,"SEM PREÇO")</f>
        <v>49.9</v>
      </c>
      <c r="H18" s="33">
        <f t="shared" si="1"/>
        <v>49.9</v>
      </c>
      <c r="I18" s="50">
        <f>_xlfn.XLOOKUP(A18,'DADOS DE VENDA'!A:A,'DADOS DE VENDA'!D:D,"SEM VENDA")</f>
        <v>1.36</v>
      </c>
      <c r="J18" s="42">
        <f t="shared" si="2"/>
        <v>11.333333333333334</v>
      </c>
      <c r="K18" s="43">
        <f t="shared" si="3"/>
        <v>67.864000000000004</v>
      </c>
      <c r="L18" s="51" t="str">
        <f>_xlfn.XLOOKUP(A18,'DADOS DE VENDA'!A:A,'DADOS DE VENDA'!E:E,"RUPTURA NO PERIODO")</f>
        <v>19/01 a20/01</v>
      </c>
      <c r="M18" s="88" t="str" cm="1">
        <f t="array" ref="M18">_xlfn.IFS(C18&lt;I18,"ABAIXO",C18&gt;I18,"ACIMA",C18=I18,"OK")</f>
        <v>ABAIXO</v>
      </c>
      <c r="P18" s="87">
        <f t="shared" si="4"/>
        <v>8089</v>
      </c>
      <c r="Q18" s="29" t="str">
        <f>_xlfn.XLOOKUP(P18,'[1]ESCALA DE PRODUÇÃO'!$AL$1:$AL$1048566,'[1]ESCALA DE PRODUÇÃO'!$AJ$1:$AJ$1048566,"NÃO ENCOTRADO")</f>
        <v>008089 - ROTISSERIA BATATA ASSADA BENDITO KG</v>
      </c>
      <c r="R18" s="44">
        <f t="shared" si="5"/>
        <v>1</v>
      </c>
      <c r="S18" s="45">
        <f t="shared" si="6"/>
        <v>8.3333333333333339</v>
      </c>
    </row>
    <row r="19" spans="1:19" ht="19" thickBot="1" x14ac:dyDescent="0.5">
      <c r="A19" s="87">
        <f>('[1]ESCALA DE PRODUÇÃO'!B18)</f>
        <v>8598</v>
      </c>
      <c r="B19" s="29" t="str">
        <f>_xlfn.XLOOKUP(A19,'[1]ESCALA DE PRODUÇÃO'!$AL$1:$AL$1048566,'[1]ESCALA DE PRODUÇÃO'!$AJ$1:$AJ$1048566,"NÃO ENCOTRADO")</f>
        <v>008598 - ROTISSERIA PURE DE BATATA BENDITO KG</v>
      </c>
      <c r="C19" s="44">
        <v>1</v>
      </c>
      <c r="D19" s="28" t="str">
        <f>_xlfn.XLOOKUP(A19,'[1]ESCALA DE PRODUÇÃO'!$AL$1:$AL$1048566,'[1]ESCALA DE PRODUÇÃO'!$AK$1:$AK$1048566,"0")</f>
        <v>KG/0001</v>
      </c>
      <c r="E19" s="32">
        <f>'[2]ESCALA DE PRODUÇÃO'!D18</f>
        <v>0.15</v>
      </c>
      <c r="F19" s="45">
        <f t="shared" si="0"/>
        <v>6.666666666666667</v>
      </c>
      <c r="G19" s="30">
        <f>_xlfn.XLOOKUP(A19,'[1]ESCALA DE PRODUÇÃO'!$AL$1:$AL$1048566,'[1]ESCALA DE PRODUÇÃO'!$AM$1:$AM$1048566,"SEM PREÇO")</f>
        <v>48.9</v>
      </c>
      <c r="H19" s="33">
        <f t="shared" si="1"/>
        <v>48.9</v>
      </c>
      <c r="I19" s="50" t="str">
        <f>_xlfn.XLOOKUP(A19,'DADOS DE VENDA'!A:A,'DADOS DE VENDA'!D:D,"SEM VENDA")</f>
        <v>SEM VENDA</v>
      </c>
      <c r="J19" s="42" t="str">
        <f t="shared" si="2"/>
        <v>0</v>
      </c>
      <c r="K19" s="43" t="str">
        <f t="shared" si="3"/>
        <v>0</v>
      </c>
      <c r="L19" s="51" t="str">
        <f>_xlfn.XLOOKUP(A19,'DADOS DE VENDA'!A:A,'DADOS DE VENDA'!E:E,"RUPTURA NO PERIODO")</f>
        <v>RUPTURA NO PERIODO</v>
      </c>
      <c r="M19" s="88" t="str" cm="1">
        <f t="array" ref="M19">_xlfn.IFS(C19&lt;I19,"ABAIXO",C19&gt;I19,"ACIMA",C19=I19,"OK")</f>
        <v>ABAIXO</v>
      </c>
      <c r="P19" s="87">
        <f t="shared" si="4"/>
        <v>8598</v>
      </c>
      <c r="Q19" s="29" t="str">
        <f>_xlfn.XLOOKUP(P19,'[1]ESCALA DE PRODUÇÃO'!$AL$1:$AL$1048566,'[1]ESCALA DE PRODUÇÃO'!$AJ$1:$AJ$1048566,"NÃO ENCOTRADO")</f>
        <v>008598 - ROTISSERIA PURE DE BATATA BENDITO KG</v>
      </c>
      <c r="R19" s="44">
        <f t="shared" si="5"/>
        <v>1</v>
      </c>
      <c r="S19" s="45">
        <f t="shared" si="6"/>
        <v>6.666666666666667</v>
      </c>
    </row>
    <row r="20" spans="1:19" ht="19" thickBot="1" x14ac:dyDescent="0.5">
      <c r="A20" s="87">
        <f>('[1]ESCALA DE PRODUÇÃO'!B19)</f>
        <v>8403</v>
      </c>
      <c r="B20" s="29" t="str">
        <f>_xlfn.XLOOKUP(A20,'[1]ESCALA DE PRODUÇÃO'!$AL$1:$AL$1048566,'[1]ESCALA DE PRODUÇÃO'!$AJ$1:$AJ$1048566,"NÃO ENCOTRADO")</f>
        <v>008403 - ROTISSERIA LEGUMES BENDITO KG</v>
      </c>
      <c r="C20" s="44">
        <v>1</v>
      </c>
      <c r="D20" s="28" t="str">
        <f>_xlfn.XLOOKUP(A20,'[1]ESCALA DE PRODUÇÃO'!$AL$1:$AL$1048566,'[1]ESCALA DE PRODUÇÃO'!$AK$1:$AK$1048566,"0")</f>
        <v>KG/0001</v>
      </c>
      <c r="E20" s="32">
        <f>'[2]ESCALA DE PRODUÇÃO'!D19</f>
        <v>0.12</v>
      </c>
      <c r="F20" s="45">
        <f t="shared" si="0"/>
        <v>8.3333333333333339</v>
      </c>
      <c r="G20" s="30">
        <f>_xlfn.XLOOKUP(A20,'[1]ESCALA DE PRODUÇÃO'!$AL$1:$AL$1048566,'[1]ESCALA DE PRODUÇÃO'!$AM$1:$AM$1048566,"SEM PREÇO")</f>
        <v>14.9</v>
      </c>
      <c r="H20" s="33">
        <f t="shared" si="1"/>
        <v>14.9</v>
      </c>
      <c r="I20" s="50">
        <f>_xlfn.XLOOKUP(A20,'DADOS DE VENDA'!A:A,'DADOS DE VENDA'!D:D,"SEM VENDA")</f>
        <v>0.25</v>
      </c>
      <c r="J20" s="42">
        <f t="shared" si="2"/>
        <v>2.0833333333333335</v>
      </c>
      <c r="K20" s="43">
        <f t="shared" si="3"/>
        <v>3.7250000000000001</v>
      </c>
      <c r="L20" s="51" t="str">
        <f>_xlfn.XLOOKUP(A20,'DADOS DE VENDA'!A:A,'DADOS DE VENDA'!E:E,"RUPTURA NO PERIODO")</f>
        <v>19/01 a20/01</v>
      </c>
      <c r="M20" s="88" t="str" cm="1">
        <f t="array" ref="M20">_xlfn.IFS(C20&lt;I20,"ABAIXO",C20&gt;I20,"ACIMA",C20=I20,"OK")</f>
        <v>ACIMA</v>
      </c>
      <c r="P20" s="87">
        <f t="shared" si="4"/>
        <v>8403</v>
      </c>
      <c r="Q20" s="29" t="str">
        <f>_xlfn.XLOOKUP(P20,'[1]ESCALA DE PRODUÇÃO'!$AL$1:$AL$1048566,'[1]ESCALA DE PRODUÇÃO'!$AJ$1:$AJ$1048566,"NÃO ENCOTRADO")</f>
        <v>008403 - ROTISSERIA LEGUMES BENDITO KG</v>
      </c>
      <c r="R20" s="44">
        <f t="shared" si="5"/>
        <v>1</v>
      </c>
      <c r="S20" s="45">
        <f t="shared" si="6"/>
        <v>8.3333333333333339</v>
      </c>
    </row>
    <row r="21" spans="1:19" ht="15" thickBot="1" x14ac:dyDescent="0.4">
      <c r="A21" s="85" t="s">
        <v>8</v>
      </c>
      <c r="B21" s="6" t="s">
        <v>169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P21" s="85" t="s">
        <v>8</v>
      </c>
      <c r="Q21" s="6" t="s">
        <v>169</v>
      </c>
      <c r="R21" s="3" t="s">
        <v>2</v>
      </c>
      <c r="S21" s="3" t="s">
        <v>6</v>
      </c>
    </row>
    <row r="22" spans="1:19" ht="19" thickBot="1" x14ac:dyDescent="0.5">
      <c r="A22" s="87">
        <f>('[1]ESCALA DE PRODUÇÃO'!B21)</f>
        <v>8409</v>
      </c>
      <c r="B22" s="29" t="str">
        <f>_xlfn.XLOOKUP(A22,'[1]ESCALA DE PRODUÇÃO'!$AL$1:$AL$1048566,'[1]ESCALA DE PRODUÇÃO'!$AJ$1:$AJ$1048566,"NÃO ENCOTRADO")</f>
        <v>008409 - ROTISSERIA LINGUICA ASSADA BENDITO KG</v>
      </c>
      <c r="C22" s="44">
        <v>1</v>
      </c>
      <c r="D22" s="28" t="str">
        <f>_xlfn.XLOOKUP(A22,'[1]ESCALA DE PRODUÇÃO'!$AL$1:$AL$1048566,'[1]ESCALA DE PRODUÇÃO'!$AK$1:$AK$1048566,"0")</f>
        <v>KG/0001</v>
      </c>
      <c r="E22" s="32">
        <f>'[2]ESCALA DE PRODUÇÃO'!D21</f>
        <v>0.15</v>
      </c>
      <c r="F22" s="45">
        <f t="shared" si="0"/>
        <v>6.666666666666667</v>
      </c>
      <c r="G22" s="30">
        <f>_xlfn.XLOOKUP(A22,'[1]ESCALA DE PRODUÇÃO'!$AL$1:$AL$1048566,'[1]ESCALA DE PRODUÇÃO'!$AM$1:$AM$1048566,"SEM PREÇO")</f>
        <v>59.9</v>
      </c>
      <c r="H22" s="33">
        <f t="shared" si="1"/>
        <v>59.9</v>
      </c>
      <c r="I22" s="50">
        <f>_xlfn.XLOOKUP(A22,'DADOS DE VENDA'!A:A,'DADOS DE VENDA'!D:D,"SEM VENDA")</f>
        <v>0.42</v>
      </c>
      <c r="J22" s="42">
        <f t="shared" si="2"/>
        <v>2.8</v>
      </c>
      <c r="K22" s="43">
        <f t="shared" si="3"/>
        <v>25.157999999999998</v>
      </c>
      <c r="L22" s="51" t="str">
        <f>_xlfn.XLOOKUP(A22,'DADOS DE VENDA'!A:A,'DADOS DE VENDA'!E:E,"RUPTURA NO PERIODO")</f>
        <v>19/01 a20/01</v>
      </c>
      <c r="M22" s="88" t="str" cm="1">
        <f t="array" ref="M22">_xlfn.IFS(C22&lt;I22,"ABAIXO",C22&gt;I22,"ACIMA",C22=I22,"OK")</f>
        <v>ACIMA</v>
      </c>
      <c r="P22" s="87">
        <f t="shared" si="4"/>
        <v>8409</v>
      </c>
      <c r="Q22" s="29" t="str">
        <f>_xlfn.XLOOKUP(P22,'[1]ESCALA DE PRODUÇÃO'!$AL$1:$AL$1048566,'[1]ESCALA DE PRODUÇÃO'!$AJ$1:$AJ$1048566,"NÃO ENCOTRADO")</f>
        <v>008409 - ROTISSERIA LINGUICA ASSADA BENDITO KG</v>
      </c>
      <c r="R22" s="44">
        <f t="shared" si="5"/>
        <v>1</v>
      </c>
      <c r="S22" s="45">
        <f t="shared" si="6"/>
        <v>6.666666666666667</v>
      </c>
    </row>
    <row r="23" spans="1:19" ht="19" thickBot="1" x14ac:dyDescent="0.5">
      <c r="A23" s="87">
        <f>('[1]ESCALA DE PRODUÇÃO'!B22)</f>
        <v>8945</v>
      </c>
      <c r="B23" s="29" t="str">
        <f>_xlfn.XLOOKUP(A23,'[1]ESCALA DE PRODUÇÃO'!$AL$1:$AL$1048566,'[1]ESCALA DE PRODUÇÃO'!$AJ$1:$AJ$1048566,"NÃO ENCOTRADO")</f>
        <v>008945 - ROT.ISCA DE FRANGO A MILANESA BENDITO KG</v>
      </c>
      <c r="C23" s="44">
        <v>1</v>
      </c>
      <c r="D23" s="28" t="str">
        <f>_xlfn.XLOOKUP(A23,'[1]ESCALA DE PRODUÇÃO'!$AL$1:$AL$1048566,'[1]ESCALA DE PRODUÇÃO'!$AK$1:$AK$1048566,"0")</f>
        <v>KG/0001</v>
      </c>
      <c r="E23" s="32">
        <f>'[2]ESCALA DE PRODUÇÃO'!D22</f>
        <v>0.18</v>
      </c>
      <c r="F23" s="45">
        <f>IFERROR(C23/E23,"0")</f>
        <v>5.5555555555555554</v>
      </c>
      <c r="G23" s="30">
        <f>_xlfn.XLOOKUP(A23,'[1]ESCALA DE PRODUÇÃO'!$AL$1:$AL$1048566,'[1]ESCALA DE PRODUÇÃO'!$AM$1:$AM$1048566,"SEM PREÇO")</f>
        <v>64.900000000000006</v>
      </c>
      <c r="H23" s="33">
        <f>IFERROR(C23*G23,"0")</f>
        <v>64.900000000000006</v>
      </c>
      <c r="I23" s="50">
        <f>_xlfn.XLOOKUP(A23,'DADOS DE VENDA'!A:A,'DADOS DE VENDA'!D:D,"SEM VENDA")</f>
        <v>0.87</v>
      </c>
      <c r="J23" s="42">
        <f>IFERROR(I23/E23,"0")</f>
        <v>4.8333333333333339</v>
      </c>
      <c r="K23" s="43">
        <f>IFERROR(I23*G23,"0")</f>
        <v>56.463000000000008</v>
      </c>
      <c r="L23" s="51" t="str">
        <f>_xlfn.XLOOKUP(A23,'DADOS DE VENDA'!A:A,'DADOS DE VENDA'!E:E,"RUPTURA NO PERIODO")</f>
        <v>19/01 a20/01</v>
      </c>
      <c r="M23" s="88" t="str" cm="1">
        <f t="array" ref="M23">_xlfn.IFS(C23&lt;I23,"ABAIXO",C23&gt;I23,"ACIMA",C23=I23,"OK")</f>
        <v>ACIMA</v>
      </c>
      <c r="P23" s="87">
        <f t="shared" si="4"/>
        <v>8945</v>
      </c>
      <c r="Q23" s="29" t="str">
        <f>_xlfn.XLOOKUP(P23,'[1]ESCALA DE PRODUÇÃO'!$AL$1:$AL$1048566,'[1]ESCALA DE PRODUÇÃO'!$AJ$1:$AJ$1048566,"NÃO ENCOTRADO")</f>
        <v>008945 - ROT.ISCA DE FRANGO A MILANESA BENDITO KG</v>
      </c>
      <c r="R23" s="44">
        <f t="shared" si="5"/>
        <v>1</v>
      </c>
      <c r="S23" s="45">
        <f t="shared" si="6"/>
        <v>5.5555555555555554</v>
      </c>
    </row>
    <row r="24" spans="1:19" ht="19" thickBot="1" x14ac:dyDescent="0.5">
      <c r="A24" s="87">
        <f>('[1]ESCALA DE PRODUÇÃO'!B23)</f>
        <v>8396</v>
      </c>
      <c r="B24" s="29" t="str">
        <f>_xlfn.XLOOKUP(A24,'[1]ESCALA DE PRODUÇÃO'!$AL$1:$AL$1048566,'[1]ESCALA DE PRODUÇÃO'!$AJ$1:$AJ$1048566,"NÃO ENCOTRADO")</f>
        <v>008396 - ROTISSERIA LAGARTO AO MOLHO MADEIRA BENDITO KG</v>
      </c>
      <c r="C24" s="44">
        <v>0</v>
      </c>
      <c r="D24" s="28" t="str">
        <f>_xlfn.XLOOKUP(A24,'[1]ESCALA DE PRODUÇÃO'!$AL$1:$AL$1048566,'[1]ESCALA DE PRODUÇÃO'!$AK$1:$AK$1048566,"0")</f>
        <v>KG/0001</v>
      </c>
      <c r="E24" s="32">
        <f>'[2]ESCALA DE PRODUÇÃO'!D23</f>
        <v>0</v>
      </c>
      <c r="F24" s="45" t="str">
        <f t="shared" si="0"/>
        <v>0</v>
      </c>
      <c r="G24" s="30">
        <f>_xlfn.XLOOKUP(A24,'[1]ESCALA DE PRODUÇÃO'!$AL$1:$AL$1048566,'[1]ESCALA DE PRODUÇÃO'!$AM$1:$AM$1048566,"SEM PREÇO")</f>
        <v>94.9</v>
      </c>
      <c r="H24" s="33">
        <f t="shared" si="1"/>
        <v>0</v>
      </c>
      <c r="I24" s="50" t="str">
        <f>_xlfn.XLOOKUP(A24,'DADOS DE VENDA'!A:A,'DADOS DE VENDA'!D:D,"SEM VENDA")</f>
        <v>SEM VENDA</v>
      </c>
      <c r="J24" s="42" t="str">
        <f t="shared" si="2"/>
        <v>0</v>
      </c>
      <c r="K24" s="43" t="str">
        <f t="shared" si="3"/>
        <v>0</v>
      </c>
      <c r="L24" s="51" t="str">
        <f>_xlfn.XLOOKUP(A24,'DADOS DE VENDA'!A:A,'DADOS DE VENDA'!E:E,"RUPTURA NO PERIODO")</f>
        <v>RUPTURA NO PERIODO</v>
      </c>
      <c r="M24" s="88" t="str" cm="1">
        <f t="array" ref="M24">_xlfn.IFS(C24&lt;I24,"ABAIXO",C24&gt;I24,"ACIMA",C24=I24,"OK")</f>
        <v>ABAIXO</v>
      </c>
      <c r="P24" s="87">
        <f t="shared" si="4"/>
        <v>8396</v>
      </c>
      <c r="Q24" s="29" t="str">
        <f>_xlfn.XLOOKUP(P24,'[1]ESCALA DE PRODUÇÃO'!$AL$1:$AL$1048566,'[1]ESCALA DE PRODUÇÃO'!$AJ$1:$AJ$1048566,"NÃO ENCOTRADO")</f>
        <v>008396 - ROTISSERIA LAGARTO AO MOLHO MADEIRA BENDITO KG</v>
      </c>
      <c r="R24" s="44">
        <f t="shared" si="5"/>
        <v>0</v>
      </c>
      <c r="S24" s="45" t="str">
        <f t="shared" si="6"/>
        <v>0</v>
      </c>
    </row>
    <row r="25" spans="1:19" ht="15" thickBot="1" x14ac:dyDescent="0.4">
      <c r="A25" s="85" t="s">
        <v>8</v>
      </c>
      <c r="B25" s="6" t="s">
        <v>170</v>
      </c>
      <c r="C25" s="3" t="s">
        <v>2</v>
      </c>
      <c r="D25" s="3" t="s">
        <v>106</v>
      </c>
      <c r="E25" s="3" t="s">
        <v>4</v>
      </c>
      <c r="F25" s="3" t="s">
        <v>6</v>
      </c>
      <c r="G25" s="4" t="s">
        <v>3</v>
      </c>
      <c r="H25" s="3" t="s">
        <v>5</v>
      </c>
      <c r="I25" s="7" t="s">
        <v>157</v>
      </c>
      <c r="J25" s="7" t="s">
        <v>152</v>
      </c>
      <c r="K25" s="7" t="s">
        <v>153</v>
      </c>
      <c r="L25" s="3" t="s">
        <v>104</v>
      </c>
      <c r="M25" s="86" t="s">
        <v>105</v>
      </c>
      <c r="P25" s="85" t="s">
        <v>8</v>
      </c>
      <c r="Q25" s="6" t="s">
        <v>170</v>
      </c>
      <c r="R25" s="3" t="s">
        <v>2</v>
      </c>
      <c r="S25" s="3" t="s">
        <v>6</v>
      </c>
    </row>
    <row r="26" spans="1:19" ht="19" thickBot="1" x14ac:dyDescent="0.5">
      <c r="A26" s="87">
        <f>('[1]ESCALA DE PRODUÇÃO'!B25)</f>
        <v>0</v>
      </c>
      <c r="B26" s="29" t="str">
        <f>_xlfn.XLOOKUP(A26,'[1]ESCALA DE PRODUÇÃO'!$AL$1:$AL$1048566,'[1]ESCALA DE PRODUÇÃO'!$AJ$1:$AJ$1048566,"NÃO ENCOTRADO")</f>
        <v>NÃO ENCOTRADO</v>
      </c>
      <c r="C26" s="44">
        <v>3.5</v>
      </c>
      <c r="D26" s="28" t="str">
        <f>_xlfn.XLOOKUP(A26,'[1]ESCALA DE PRODUÇÃO'!$AL$1:$AL$1048566,'[1]ESCALA DE PRODUÇÃO'!$AK$1:$AK$1048566,"0")</f>
        <v>0</v>
      </c>
      <c r="E26" s="32">
        <f>'[2]ESCALA DE PRODUÇÃO'!D25</f>
        <v>0.35</v>
      </c>
      <c r="F26" s="45">
        <f t="shared" si="0"/>
        <v>10</v>
      </c>
      <c r="G26" s="30" t="str">
        <f>_xlfn.XLOOKUP(A26,'[1]ESCALA DE PRODUÇÃO'!$AL$1:$AL$1048566,'[1]ESCALA DE PRODUÇÃO'!$AM$1:$AM$1048566,"SEM PREÇO")</f>
        <v>SEM PREÇO</v>
      </c>
      <c r="H26" s="33" t="str">
        <f t="shared" si="1"/>
        <v>0</v>
      </c>
      <c r="I26" s="50" t="str">
        <f>_xlfn.XLOOKUP(A26,'DADOS DE VENDA'!A:A,'DADOS DE VENDA'!D:D,"SEM VENDA")</f>
        <v>SEM VENDA</v>
      </c>
      <c r="J26" s="42" t="str">
        <f t="shared" si="2"/>
        <v>0</v>
      </c>
      <c r="K26" s="43" t="str">
        <f t="shared" si="3"/>
        <v>0</v>
      </c>
      <c r="L26" s="51" t="str">
        <f>_xlfn.XLOOKUP(A26,'DADOS DE VENDA'!A:A,'DADOS DE VENDA'!E:E,"RUPTURA NO PERIODO")</f>
        <v>RUPTURA NO PERIODO</v>
      </c>
      <c r="M26" s="88" t="str" cm="1">
        <f t="array" ref="M26">_xlfn.IFS(C26&lt;I26,"ABAIXO",C26&gt;I26,"ACIMA",C26=I26,"OK")</f>
        <v>ABAIXO</v>
      </c>
      <c r="P26" s="87">
        <f t="shared" si="4"/>
        <v>0</v>
      </c>
      <c r="Q26" s="29" t="str">
        <f>_xlfn.XLOOKUP(P26,'[1]ESCALA DE PRODUÇÃO'!$AL$1:$AL$1048566,'[1]ESCALA DE PRODUÇÃO'!$AJ$1:$AJ$1048566,"NÃO ENCOTRADO")</f>
        <v>NÃO ENCOTRADO</v>
      </c>
      <c r="R26" s="44">
        <f t="shared" si="5"/>
        <v>3.5</v>
      </c>
      <c r="S26" s="45">
        <f t="shared" si="6"/>
        <v>10</v>
      </c>
    </row>
    <row r="27" spans="1:19" ht="19" thickBot="1" x14ac:dyDescent="0.5">
      <c r="A27" s="87">
        <f>('[1]ESCALA DE PRODUÇÃO'!B26)</f>
        <v>8221</v>
      </c>
      <c r="B27" s="90" t="str">
        <f>_xlfn.XLOOKUP(A27,'[1]ESCALA DE PRODUÇÃO'!$AL$1:$AL$1048566,'[1]ESCALA DE PRODUÇÃO'!$AJ$1:$AJ$1048566,"NÃO ENCOTRADO")</f>
        <v>008221 - ROTISSERIA CAPONATA BERINJELA BENDITO KG</v>
      </c>
      <c r="C27" s="69">
        <v>2</v>
      </c>
      <c r="D27" s="67" t="str">
        <f>_xlfn.XLOOKUP(A27,'[1]ESCALA DE PRODUÇÃO'!$AL$1:$AL$1048566,'[1]ESCALA DE PRODUÇÃO'!$AK$1:$AK$1048566,"0")</f>
        <v>KG/0001</v>
      </c>
      <c r="E27" s="32">
        <f>'[2]ESCALA DE PRODUÇÃO'!D26</f>
        <v>0.25</v>
      </c>
      <c r="F27" s="71">
        <f t="shared" si="0"/>
        <v>8</v>
      </c>
      <c r="G27" s="72">
        <f>_xlfn.XLOOKUP(A27,'[1]ESCALA DE PRODUÇÃO'!$AL$1:$AL$1048566,'[1]ESCALA DE PRODUÇÃO'!$AM$1:$AM$1048566,"SEM PREÇO")</f>
        <v>39.9</v>
      </c>
      <c r="H27" s="73">
        <f t="shared" si="1"/>
        <v>79.8</v>
      </c>
      <c r="I27" s="74">
        <f>_xlfn.XLOOKUP(A27,'DADOS DE VENDA'!A:A,'DADOS DE VENDA'!D:D,"SEM VENDA")</f>
        <v>0.27</v>
      </c>
      <c r="J27" s="75">
        <f t="shared" si="2"/>
        <v>1.08</v>
      </c>
      <c r="K27" s="76">
        <f t="shared" si="3"/>
        <v>10.773</v>
      </c>
      <c r="L27" s="77" t="str">
        <f>_xlfn.XLOOKUP(A27,'DADOS DE VENDA'!A:A,'DADOS DE VENDA'!E:E,"RUPTURA NO PERIODO")</f>
        <v>19/01 a20/01</v>
      </c>
      <c r="M27" s="102" t="str" cm="1">
        <f t="array" ref="M27">_xlfn.IFS(C27&lt;I27,"ABAIXO",C27&gt;I27,"ACIMA",C27=I27,"OK")</f>
        <v>ACIMA</v>
      </c>
      <c r="P27" s="87">
        <f t="shared" si="4"/>
        <v>8221</v>
      </c>
      <c r="Q27" s="90" t="str">
        <f>_xlfn.XLOOKUP(P27,'[1]ESCALA DE PRODUÇÃO'!$AL$1:$AL$1048566,'[1]ESCALA DE PRODUÇÃO'!$AJ$1:$AJ$1048566,"NÃO ENCOTRADO")</f>
        <v>008221 - ROTISSERIA CAPONATA BERINJELA BENDITO KG</v>
      </c>
      <c r="R27" s="69">
        <f t="shared" si="5"/>
        <v>2</v>
      </c>
      <c r="S27" s="45">
        <f t="shared" si="6"/>
        <v>8</v>
      </c>
    </row>
    <row r="28" spans="1:19" ht="19" thickBot="1" x14ac:dyDescent="0.5">
      <c r="A28" s="106"/>
      <c r="B28" s="103" t="s">
        <v>176</v>
      </c>
      <c r="C28" s="103" t="s">
        <v>173</v>
      </c>
      <c r="D28" s="159"/>
      <c r="E28" s="160"/>
      <c r="F28" s="105" t="s">
        <v>174</v>
      </c>
      <c r="G28" s="161">
        <f>SUM(H4+H5+H6+H8+H9+H10+H12+H13+H15+H16+H18+H19+H20+H22+H24+H26+H27)</f>
        <v>1058.2799999999997</v>
      </c>
      <c r="H28" s="162"/>
      <c r="I28" s="105" t="s">
        <v>175</v>
      </c>
      <c r="J28" s="163">
        <f>SUM(K4+K5+K6+K8+K9+K10+K12+K13+K15+K16+K18+K19+K20+K22+K24+K26+K27)</f>
        <v>794.49699999999996</v>
      </c>
      <c r="K28" s="164"/>
      <c r="L28" s="104"/>
      <c r="M28" s="107"/>
      <c r="P28" s="147" t="s">
        <v>5</v>
      </c>
      <c r="Q28" s="148"/>
      <c r="R28" s="149">
        <f>G28</f>
        <v>1058.2799999999997</v>
      </c>
      <c r="S28" s="150"/>
    </row>
    <row r="29" spans="1:19" ht="18.5" x14ac:dyDescent="0.45">
      <c r="A29" s="106"/>
      <c r="C29" s="78"/>
      <c r="F29" s="79"/>
      <c r="G29" s="80"/>
      <c r="H29" s="80"/>
      <c r="I29" s="81"/>
      <c r="J29" s="82"/>
      <c r="K29" s="83"/>
      <c r="M29" s="108"/>
      <c r="R29" s="78"/>
      <c r="S29" s="79"/>
    </row>
    <row r="30" spans="1:19" ht="19" thickBot="1" x14ac:dyDescent="0.5">
      <c r="A30" s="106"/>
      <c r="C30" s="78"/>
      <c r="F30" s="79"/>
      <c r="G30" s="80"/>
      <c r="H30" s="80"/>
      <c r="I30" s="81"/>
      <c r="J30" s="82"/>
      <c r="K30" s="83"/>
      <c r="M30" s="108"/>
      <c r="R30" s="78"/>
      <c r="S30" s="79"/>
    </row>
    <row r="31" spans="1:19" ht="21.5" thickBot="1" x14ac:dyDescent="0.55000000000000004">
      <c r="A31" s="154" t="s">
        <v>172</v>
      </c>
      <c r="B31" s="155"/>
      <c r="C31" s="155"/>
      <c r="D31" s="128"/>
      <c r="E31" s="128"/>
      <c r="F31" s="128"/>
      <c r="G31" s="128"/>
      <c r="H31" s="128"/>
      <c r="I31" s="155" t="s">
        <v>171</v>
      </c>
      <c r="J31" s="155"/>
      <c r="K31" s="155"/>
      <c r="L31" s="155"/>
      <c r="M31" s="165"/>
      <c r="P31" s="157" t="str">
        <f>P1</f>
        <v xml:space="preserve"> </v>
      </c>
      <c r="Q31" s="158"/>
      <c r="R31" s="132" t="s">
        <v>102</v>
      </c>
      <c r="S31" s="131">
        <f>S1</f>
        <v>46048</v>
      </c>
    </row>
    <row r="32" spans="1:19" ht="15" thickBot="1" x14ac:dyDescent="0.4">
      <c r="A32" s="151" t="s">
        <v>178</v>
      </c>
      <c r="B32" s="152"/>
      <c r="C32" s="119" t="s">
        <v>191</v>
      </c>
      <c r="D32" s="146" t="s">
        <v>155</v>
      </c>
      <c r="E32" s="146"/>
      <c r="F32" s="146"/>
      <c r="G32" s="146"/>
      <c r="H32" s="156"/>
      <c r="I32" s="146" t="s">
        <v>156</v>
      </c>
      <c r="J32" s="146"/>
      <c r="K32" s="146"/>
      <c r="L32" s="146"/>
      <c r="M32" s="153"/>
      <c r="P32" s="151" t="s">
        <v>178</v>
      </c>
      <c r="Q32" s="152"/>
      <c r="R32" s="145" t="s">
        <v>155</v>
      </c>
      <c r="S32" s="146"/>
    </row>
    <row r="33" spans="1:19" ht="15" thickBot="1" x14ac:dyDescent="0.4">
      <c r="A33" s="85" t="s">
        <v>8</v>
      </c>
      <c r="B33" s="6" t="s">
        <v>177</v>
      </c>
      <c r="C33" s="3" t="s">
        <v>2</v>
      </c>
      <c r="D33" s="3" t="s">
        <v>106</v>
      </c>
      <c r="E33" s="3" t="s">
        <v>4</v>
      </c>
      <c r="F33" s="3" t="s">
        <v>6</v>
      </c>
      <c r="G33" s="4" t="s">
        <v>3</v>
      </c>
      <c r="H33" s="3" t="s">
        <v>5</v>
      </c>
      <c r="I33" s="7" t="s">
        <v>157</v>
      </c>
      <c r="J33" s="7" t="s">
        <v>152</v>
      </c>
      <c r="K33" s="7" t="s">
        <v>153</v>
      </c>
      <c r="L33" s="3" t="s">
        <v>104</v>
      </c>
      <c r="M33" s="86" t="s">
        <v>105</v>
      </c>
      <c r="P33" s="85" t="s">
        <v>8</v>
      </c>
      <c r="Q33" s="6" t="s">
        <v>177</v>
      </c>
      <c r="R33" s="3" t="s">
        <v>2</v>
      </c>
      <c r="S33" s="3" t="s">
        <v>6</v>
      </c>
    </row>
    <row r="34" spans="1:19" ht="19" thickBot="1" x14ac:dyDescent="0.5">
      <c r="A34" s="87">
        <f>'[2]ESCALA DE PRODUÇÃO'!B28</f>
        <v>8963</v>
      </c>
      <c r="B34" s="29" t="str">
        <f>_xlfn.XLOOKUP(A34,'[1]ESCALA DE PRODUÇÃO'!$AL$1:$AL$1048566,'[1]ESCALA DE PRODUÇÃO'!$AJ$1:$AJ$1048566,"NÃO ENCOTRADO")</f>
        <v>008963 - ROTISSERIA SALADA CEASER C/FRANGO BENDITO</v>
      </c>
      <c r="C34" s="44">
        <v>4</v>
      </c>
      <c r="D34" s="28" t="str">
        <f>_xlfn.XLOOKUP(A34,'[1]ESCALA DE PRODUÇÃO'!$AL$1:$AL$1048566,'[1]ESCALA DE PRODUÇÃO'!$AK$1:$AK$1048566,"0")</f>
        <v>UN/0001</v>
      </c>
      <c r="E34" s="32">
        <f>('[2]ESCALA DE PRODUÇÃO'!D28)</f>
        <v>1</v>
      </c>
      <c r="F34" s="45">
        <f t="shared" si="0"/>
        <v>4</v>
      </c>
      <c r="G34" s="30">
        <f>_xlfn.XLOOKUP(A34,'[1]ESCALA DE PRODUÇÃO'!$AL$1:$AL$1048566,'[1]ESCALA DE PRODUÇÃO'!$AM$1:$AM$1048566,"SEM PREÇO")</f>
        <v>24.9</v>
      </c>
      <c r="H34" s="33">
        <f t="shared" si="1"/>
        <v>99.6</v>
      </c>
      <c r="I34" s="50">
        <f>_xlfn.XLOOKUP(A34,'DADOS DE VENDA'!A:A,'DADOS DE VENDA'!D:D,"SEM VENDA")</f>
        <v>5</v>
      </c>
      <c r="J34" s="42">
        <f t="shared" si="2"/>
        <v>5</v>
      </c>
      <c r="K34" s="43">
        <f t="shared" si="3"/>
        <v>124.5</v>
      </c>
      <c r="L34" s="51" t="str">
        <f>_xlfn.XLOOKUP(A34,'DADOS DE VENDA'!A:A,'DADOS DE VENDA'!E:E,"RUPTURA NO PERIODO")</f>
        <v>19/01 a20/01</v>
      </c>
      <c r="M34" s="88" t="str" cm="1">
        <f t="array" ref="M34">_xlfn.IFS(C34&lt;I34,"ABAIXO",C34&gt;I34,"ACIMA",C34=I34,"OK")</f>
        <v>ABAIXO</v>
      </c>
      <c r="P34" s="87">
        <f>A34</f>
        <v>8963</v>
      </c>
      <c r="Q34" s="29" t="str">
        <f>_xlfn.XLOOKUP(P34,'[1]ESCALA DE PRODUÇÃO'!$AL$1:$AL$1048566,'[1]ESCALA DE PRODUÇÃO'!$AJ$1:$AJ$1048566,"NÃO ENCOTRADO")</f>
        <v>008963 - ROTISSERIA SALADA CEASER C/FRANGO BENDITO</v>
      </c>
      <c r="R34" s="44">
        <f>C34</f>
        <v>4</v>
      </c>
      <c r="S34" s="45">
        <f>F34</f>
        <v>4</v>
      </c>
    </row>
    <row r="35" spans="1:19" ht="19" thickBot="1" x14ac:dyDescent="0.5">
      <c r="A35" s="87">
        <f>'[2]ESCALA DE PRODUÇÃO'!B29</f>
        <v>8962</v>
      </c>
      <c r="B35" s="29" t="str">
        <f>_xlfn.XLOOKUP(A35,'[1]ESCALA DE PRODUÇÃO'!$AL$1:$AL$1048566,'[1]ESCALA DE PRODUÇÃO'!$AJ$1:$AJ$1048566,"NÃO ENCOTRADO")</f>
        <v>008962 - ROTISSERIA SALADA MIX DE FOLHA E LEGUMES C/PROTEINAS BENDITO</v>
      </c>
      <c r="C35" s="44">
        <v>0</v>
      </c>
      <c r="D35" s="28" t="str">
        <f>_xlfn.XLOOKUP(A35,'[1]ESCALA DE PRODUÇÃO'!$AL$1:$AL$1048566,'[1]ESCALA DE PRODUÇÃO'!$AK$1:$AK$1048566,"0")</f>
        <v>UN/0001</v>
      </c>
      <c r="E35" s="32">
        <f>('[2]ESCALA DE PRODUÇÃO'!D29)</f>
        <v>1</v>
      </c>
      <c r="F35" s="45">
        <f t="shared" si="0"/>
        <v>0</v>
      </c>
      <c r="G35" s="30">
        <f>_xlfn.XLOOKUP(A35,'[1]ESCALA DE PRODUÇÃO'!$AL$1:$AL$1048566,'[1]ESCALA DE PRODUÇÃO'!$AM$1:$AM$1048566,"SEM PREÇO")</f>
        <v>21.9</v>
      </c>
      <c r="H35" s="33">
        <f t="shared" si="1"/>
        <v>0</v>
      </c>
      <c r="I35" s="50" t="str">
        <f>_xlfn.XLOOKUP(A35,'DADOS DE VENDA'!A:A,'DADOS DE VENDA'!D:D,"SEM VENDA")</f>
        <v>SEM VENDA</v>
      </c>
      <c r="J35" s="42" t="str">
        <f t="shared" si="2"/>
        <v>0</v>
      </c>
      <c r="K35" s="43" t="str">
        <f t="shared" si="3"/>
        <v>0</v>
      </c>
      <c r="L35" s="51" t="str">
        <f>_xlfn.XLOOKUP(A35,'DADOS DE VENDA'!A:A,'DADOS DE VENDA'!E:E,"RUPTURA NO PERIODO")</f>
        <v>RUPTURA NO PERIODO</v>
      </c>
      <c r="M35" s="88" t="str" cm="1">
        <f t="array" ref="M35">_xlfn.IFS(C35&lt;I35,"ABAIXO",C35&gt;I35,"ACIMA",C35=I35,"OK")</f>
        <v>ABAIXO</v>
      </c>
      <c r="P35" s="87">
        <f t="shared" ref="P35:P44" si="7">A35</f>
        <v>8962</v>
      </c>
      <c r="Q35" s="29" t="str">
        <f>_xlfn.XLOOKUP(P35,'[1]ESCALA DE PRODUÇÃO'!$AL$1:$AL$1048566,'[1]ESCALA DE PRODUÇÃO'!$AJ$1:$AJ$1048566,"NÃO ENCOTRADO")</f>
        <v>008962 - ROTISSERIA SALADA MIX DE FOLHA E LEGUMES C/PROTEINAS BENDITO</v>
      </c>
      <c r="R35" s="44">
        <f t="shared" ref="R35:R44" si="8">C35</f>
        <v>0</v>
      </c>
      <c r="S35" s="45">
        <f t="shared" ref="S35:S44" si="9">F35</f>
        <v>0</v>
      </c>
    </row>
    <row r="36" spans="1:19" ht="19" thickBot="1" x14ac:dyDescent="0.5">
      <c r="A36" s="87">
        <f>'[2]ESCALA DE PRODUÇÃO'!B30</f>
        <v>30</v>
      </c>
      <c r="B36" s="29" t="str">
        <f>_xlfn.XLOOKUP(A36,'[1]ESCALA DE PRODUÇÃO'!$AL$1:$AL$1048566,'[1]ESCALA DE PRODUÇÃO'!$AJ$1:$AJ$1048566,"NÃO ENCOTRADO")</f>
        <v>NÃO ENCOTRADO</v>
      </c>
      <c r="C36" s="44">
        <v>0</v>
      </c>
      <c r="D36" s="28" t="str">
        <f>_xlfn.XLOOKUP(A36,'[1]ESCALA DE PRODUÇÃO'!$AL$1:$AL$1048566,'[1]ESCALA DE PRODUÇÃO'!$AK$1:$AK$1048566,"0")</f>
        <v>0</v>
      </c>
      <c r="E36" s="32">
        <f>('[2]ESCALA DE PRODUÇÃO'!D30)</f>
        <v>0</v>
      </c>
      <c r="F36" s="45" t="str">
        <f t="shared" si="0"/>
        <v>0</v>
      </c>
      <c r="G36" s="30" t="str">
        <f>_xlfn.XLOOKUP(A36,'[1]ESCALA DE PRODUÇÃO'!$AL$1:$AL$1048566,'[1]ESCALA DE PRODUÇÃO'!$AM$1:$AM$1048566,"SEM PREÇO")</f>
        <v>SEM PREÇO</v>
      </c>
      <c r="H36" s="33" t="str">
        <f t="shared" si="1"/>
        <v>0</v>
      </c>
      <c r="I36" s="50" t="str">
        <f>_xlfn.XLOOKUP(A36,'DADOS DE VENDA'!A:A,'DADOS DE VENDA'!D:D,"SEM VENDA")</f>
        <v>SEM VENDA</v>
      </c>
      <c r="J36" s="42" t="str">
        <f t="shared" si="2"/>
        <v>0</v>
      </c>
      <c r="K36" s="43" t="str">
        <f t="shared" si="3"/>
        <v>0</v>
      </c>
      <c r="L36" s="51" t="str">
        <f>_xlfn.XLOOKUP(A36,'DADOS DE VENDA'!A:A,'DADOS DE VENDA'!E:E,"RUPTURA NO PERIODO")</f>
        <v>RUPTURA NO PERIODO</v>
      </c>
      <c r="M36" s="88" t="str" cm="1">
        <f t="array" ref="M36">_xlfn.IFS(C36&lt;I36,"ABAIXO",C36&gt;I36,"ACIMA",C36=I36,"OK")</f>
        <v>ABAIXO</v>
      </c>
      <c r="P36" s="87">
        <f t="shared" si="7"/>
        <v>30</v>
      </c>
      <c r="Q36" s="29" t="str">
        <f>_xlfn.XLOOKUP(P36,'[1]ESCALA DE PRODUÇÃO'!$AL$1:$AL$1048566,'[1]ESCALA DE PRODUÇÃO'!$AJ$1:$AJ$1048566,"NÃO ENCOTRADO")</f>
        <v>NÃO ENCOTRADO</v>
      </c>
      <c r="R36" s="44">
        <f t="shared" si="8"/>
        <v>0</v>
      </c>
      <c r="S36" s="45" t="str">
        <f t="shared" si="9"/>
        <v>0</v>
      </c>
    </row>
    <row r="37" spans="1:19" ht="15" thickBot="1" x14ac:dyDescent="0.4">
      <c r="A37" s="85" t="s">
        <v>8</v>
      </c>
      <c r="B37" s="6" t="s">
        <v>179</v>
      </c>
      <c r="C37" s="3" t="s">
        <v>2</v>
      </c>
      <c r="D37" s="3" t="s">
        <v>106</v>
      </c>
      <c r="E37" s="3" t="s">
        <v>4</v>
      </c>
      <c r="F37" s="3" t="s">
        <v>6</v>
      </c>
      <c r="G37" s="4" t="s">
        <v>3</v>
      </c>
      <c r="H37" s="3" t="s">
        <v>5</v>
      </c>
      <c r="I37" s="7" t="s">
        <v>157</v>
      </c>
      <c r="J37" s="7" t="s">
        <v>152</v>
      </c>
      <c r="K37" s="7" t="s">
        <v>153</v>
      </c>
      <c r="L37" s="3" t="s">
        <v>104</v>
      </c>
      <c r="M37" s="86" t="s">
        <v>105</v>
      </c>
      <c r="P37" s="85" t="s">
        <v>8</v>
      </c>
      <c r="Q37" s="6" t="s">
        <v>179</v>
      </c>
      <c r="R37" s="3" t="s">
        <v>2</v>
      </c>
      <c r="S37" s="3" t="s">
        <v>6</v>
      </c>
    </row>
    <row r="38" spans="1:19" ht="18.5" customHeight="1" thickBot="1" x14ac:dyDescent="0.5">
      <c r="A38" s="87">
        <f>'[2]ESCALA DE PRODUÇÃO'!B32</f>
        <v>9124</v>
      </c>
      <c r="B38" s="29" t="str">
        <f>_xlfn.XLOOKUP(A38,'[1]ESCALA DE PRODUÇÃO'!$AL$1:$AL$1048566,'[1]ESCALA DE PRODUÇÃO'!$AJ$1:$AJ$1048566,"NÃO ENCOTRADO")</f>
        <v>009124 - ROTISSERIA HOT HOLL BENDITO UN</v>
      </c>
      <c r="C38" s="44">
        <v>5</v>
      </c>
      <c r="D38" s="28" t="str">
        <f>_xlfn.XLOOKUP(A38,'[1]ESCALA DE PRODUÇÃO'!$AL$1:$AL$1048566,'[1]ESCALA DE PRODUÇÃO'!$AK$1:$AK$1048566,"0")</f>
        <v>UN/0001</v>
      </c>
      <c r="E38" s="32">
        <f>('[2]ESCALA DE PRODUÇÃO'!D32)</f>
        <v>1</v>
      </c>
      <c r="F38" s="45">
        <f t="shared" ref="F38:F44" si="10">IFERROR(C38/E38,"0")</f>
        <v>5</v>
      </c>
      <c r="G38" s="30">
        <f>_xlfn.XLOOKUP(A38,'[1]ESCALA DE PRODUÇÃO'!$AL$1:$AL$1048566,'[1]ESCALA DE PRODUÇÃO'!$AM$1:$AM$1048566,"SEM PREÇO")</f>
        <v>25.9</v>
      </c>
      <c r="H38" s="33">
        <f t="shared" ref="H38:H44" si="11">IFERROR(C38*G38,"0")</f>
        <v>129.5</v>
      </c>
      <c r="I38" s="50">
        <f>_xlfn.XLOOKUP(A38,'DADOS DE VENDA'!A:A,'DADOS DE VENDA'!D:D,"SEM VENDA")</f>
        <v>8</v>
      </c>
      <c r="J38" s="42">
        <f t="shared" ref="J38:J44" si="12">IFERROR(I38/E38,"0")</f>
        <v>8</v>
      </c>
      <c r="K38" s="43">
        <f t="shared" ref="K38:K44" si="13">IFERROR(I38*G38,"0")</f>
        <v>207.2</v>
      </c>
      <c r="L38" s="51" t="str">
        <f>_xlfn.XLOOKUP(A38,'DADOS DE VENDA'!A:A,'DADOS DE VENDA'!E:E,"RUPTURA NO PERIODO")</f>
        <v>19/01 a20/01</v>
      </c>
      <c r="M38" s="88" t="str" cm="1">
        <f t="array" ref="M38">_xlfn.IFS(C38&lt;I38,"ABAIXO",C38&gt;I38,"ACIMA",C38=I38,"OK")</f>
        <v>ABAIXO</v>
      </c>
      <c r="P38" s="87">
        <f t="shared" si="7"/>
        <v>9124</v>
      </c>
      <c r="Q38" s="29" t="str">
        <f>_xlfn.XLOOKUP(P38,'[1]ESCALA DE PRODUÇÃO'!$AL$1:$AL$1048566,'[1]ESCALA DE PRODUÇÃO'!$AJ$1:$AJ$1048566,"NÃO ENCOTRADO")</f>
        <v>009124 - ROTISSERIA HOT HOLL BENDITO UN</v>
      </c>
      <c r="R38" s="44">
        <f t="shared" si="8"/>
        <v>5</v>
      </c>
      <c r="S38" s="45">
        <f t="shared" si="9"/>
        <v>5</v>
      </c>
    </row>
    <row r="39" spans="1:19" ht="19" thickBot="1" x14ac:dyDescent="0.5">
      <c r="A39" s="87">
        <f>'[2]ESCALA DE PRODUÇÃO'!B33</f>
        <v>9119</v>
      </c>
      <c r="B39" s="29" t="str">
        <f>_xlfn.XLOOKUP(A39,'[1]ESCALA DE PRODUÇÃO'!$AL$1:$AL$1048566,'[1]ESCALA DE PRODUÇÃO'!$AJ$1:$AJ$1048566,"NÃO ENCOTRADO")</f>
        <v xml:space="preserve">009119 - ROTISSERIA CALIFORNIA BENDITO UN </v>
      </c>
      <c r="C39" s="44">
        <v>4</v>
      </c>
      <c r="D39" s="28" t="str">
        <f>_xlfn.XLOOKUP(A39,'[1]ESCALA DE PRODUÇÃO'!$AL$1:$AL$1048566,'[1]ESCALA DE PRODUÇÃO'!$AK$1:$AK$1048566,"0")</f>
        <v>UN/0001</v>
      </c>
      <c r="E39" s="32">
        <f>('[2]ESCALA DE PRODUÇÃO'!D33)</f>
        <v>1</v>
      </c>
      <c r="F39" s="45">
        <f t="shared" si="10"/>
        <v>4</v>
      </c>
      <c r="G39" s="30">
        <f>_xlfn.XLOOKUP(A39,'[1]ESCALA DE PRODUÇÃO'!$AL$1:$AL$1048566,'[1]ESCALA DE PRODUÇÃO'!$AM$1:$AM$1048566,"SEM PREÇO")</f>
        <v>19.899999999999999</v>
      </c>
      <c r="H39" s="33">
        <f t="shared" si="11"/>
        <v>79.599999999999994</v>
      </c>
      <c r="I39" s="50" t="str">
        <f>_xlfn.XLOOKUP(A39,'DADOS DE VENDA'!A:A,'DADOS DE VENDA'!D:D,"SEM VENDA")</f>
        <v>SEM VENDA</v>
      </c>
      <c r="J39" s="42" t="str">
        <f t="shared" si="12"/>
        <v>0</v>
      </c>
      <c r="K39" s="43" t="str">
        <f t="shared" si="13"/>
        <v>0</v>
      </c>
      <c r="L39" s="51" t="str">
        <f>_xlfn.XLOOKUP(A39,'DADOS DE VENDA'!A:A,'DADOS DE VENDA'!E:E,"RUPTURA NO PERIODO")</f>
        <v>RUPTURA NO PERIODO</v>
      </c>
      <c r="M39" s="88" t="str" cm="1">
        <f t="array" ref="M39">_xlfn.IFS(C39&lt;I39,"ABAIXO",C39&gt;I39,"ACIMA",C39=I39,"OK")</f>
        <v>ABAIXO</v>
      </c>
      <c r="P39" s="87">
        <f t="shared" si="7"/>
        <v>9119</v>
      </c>
      <c r="Q39" s="29" t="str">
        <f>_xlfn.XLOOKUP(P39,'[1]ESCALA DE PRODUÇÃO'!$AL$1:$AL$1048566,'[1]ESCALA DE PRODUÇÃO'!$AJ$1:$AJ$1048566,"NÃO ENCOTRADO")</f>
        <v xml:space="preserve">009119 - ROTISSERIA CALIFORNIA BENDITO UN </v>
      </c>
      <c r="R39" s="44">
        <f t="shared" si="8"/>
        <v>4</v>
      </c>
      <c r="S39" s="45">
        <f t="shared" si="9"/>
        <v>4</v>
      </c>
    </row>
    <row r="40" spans="1:19" ht="19" thickBot="1" x14ac:dyDescent="0.5">
      <c r="A40" s="87">
        <f>'[2]ESCALA DE PRODUÇÃO'!B34</f>
        <v>60</v>
      </c>
      <c r="B40" s="29" t="str">
        <f>_xlfn.XLOOKUP(A40,'[1]ESCALA DE PRODUÇÃO'!$AL$1:$AL$1048566,'[1]ESCALA DE PRODUÇÃO'!$AJ$1:$AJ$1048566,"NÃO ENCOTRADO")</f>
        <v>NÃO ENCOTRADO</v>
      </c>
      <c r="C40" s="44">
        <v>0</v>
      </c>
      <c r="D40" s="28" t="str">
        <f>_xlfn.XLOOKUP(A40,'[1]ESCALA DE PRODUÇÃO'!$AL$1:$AL$1048566,'[1]ESCALA DE PRODUÇÃO'!$AK$1:$AK$1048566,"0")</f>
        <v>0</v>
      </c>
      <c r="E40" s="32">
        <f>('[2]ESCALA DE PRODUÇÃO'!D34)</f>
        <v>0</v>
      </c>
      <c r="F40" s="45" t="str">
        <f t="shared" si="10"/>
        <v>0</v>
      </c>
      <c r="G40" s="30" t="str">
        <f>_xlfn.XLOOKUP(A40,'[1]ESCALA DE PRODUÇÃO'!$AL$1:$AL$1048566,'[1]ESCALA DE PRODUÇÃO'!$AM$1:$AM$1048566,"SEM PREÇO")</f>
        <v>SEM PREÇO</v>
      </c>
      <c r="H40" s="33" t="str">
        <f t="shared" si="11"/>
        <v>0</v>
      </c>
      <c r="I40" s="50" t="str">
        <f>_xlfn.XLOOKUP(A40,'DADOS DE VENDA'!A:A,'DADOS DE VENDA'!D:D,"SEM VENDA")</f>
        <v>SEM VENDA</v>
      </c>
      <c r="J40" s="42" t="str">
        <f t="shared" si="12"/>
        <v>0</v>
      </c>
      <c r="K40" s="43" t="str">
        <f t="shared" si="13"/>
        <v>0</v>
      </c>
      <c r="L40" s="51" t="str">
        <f>_xlfn.XLOOKUP(A40,'DADOS DE VENDA'!A:A,'DADOS DE VENDA'!E:E,"RUPTURA NO PERIODO")</f>
        <v>RUPTURA NO PERIODO</v>
      </c>
      <c r="M40" s="88" t="str" cm="1">
        <f t="array" ref="M40">_xlfn.IFS(C40&lt;I40,"ABAIXO",C40&gt;I40,"ACIMA",C40=I40,"OK")</f>
        <v>ABAIXO</v>
      </c>
      <c r="P40" s="87">
        <f t="shared" si="7"/>
        <v>60</v>
      </c>
      <c r="Q40" s="29" t="str">
        <f>_xlfn.XLOOKUP(P40,'[1]ESCALA DE PRODUÇÃO'!$AL$1:$AL$1048566,'[1]ESCALA DE PRODUÇÃO'!$AJ$1:$AJ$1048566,"NÃO ENCOTRADO")</f>
        <v>NÃO ENCOTRADO</v>
      </c>
      <c r="R40" s="44">
        <f t="shared" si="8"/>
        <v>0</v>
      </c>
      <c r="S40" s="45" t="str">
        <f t="shared" si="9"/>
        <v>0</v>
      </c>
    </row>
    <row r="41" spans="1:19" ht="15" thickBot="1" x14ac:dyDescent="0.4">
      <c r="A41" s="85" t="s">
        <v>8</v>
      </c>
      <c r="B41" s="6" t="s">
        <v>180</v>
      </c>
      <c r="C41" s="3" t="s">
        <v>2</v>
      </c>
      <c r="D41" s="3" t="s">
        <v>106</v>
      </c>
      <c r="E41" s="3" t="s">
        <v>4</v>
      </c>
      <c r="F41" s="3" t="s">
        <v>6</v>
      </c>
      <c r="G41" s="4" t="s">
        <v>3</v>
      </c>
      <c r="H41" s="3" t="s">
        <v>5</v>
      </c>
      <c r="I41" s="7" t="s">
        <v>157</v>
      </c>
      <c r="J41" s="7" t="s">
        <v>152</v>
      </c>
      <c r="K41" s="7" t="s">
        <v>153</v>
      </c>
      <c r="L41" s="3" t="s">
        <v>104</v>
      </c>
      <c r="M41" s="86" t="s">
        <v>105</v>
      </c>
      <c r="P41" s="85" t="s">
        <v>8</v>
      </c>
      <c r="Q41" s="6" t="s">
        <v>180</v>
      </c>
      <c r="R41" s="3" t="s">
        <v>2</v>
      </c>
      <c r="S41" s="3" t="s">
        <v>6</v>
      </c>
    </row>
    <row r="42" spans="1:19" ht="19" thickBot="1" x14ac:dyDescent="0.5">
      <c r="A42" s="87">
        <f>'[2]ESCALA DE PRODUÇÃO'!B36</f>
        <v>9125</v>
      </c>
      <c r="B42" s="29" t="str">
        <f>_xlfn.XLOOKUP(A42,'[1]ESCALA DE PRODUÇÃO'!$AL$1:$AL$1048566,'[1]ESCALA DE PRODUÇÃO'!$AJ$1:$AJ$1048566,"NÃO ENCOTRADO")</f>
        <v>009125 - ROTISSERIA SALADA POKE DE KANI BENDITO UN</v>
      </c>
      <c r="C42" s="44">
        <v>0</v>
      </c>
      <c r="D42" s="28" t="str">
        <f>_xlfn.XLOOKUP(A42,'[1]ESCALA DE PRODUÇÃO'!$AL$1:$AL$1048566,'[1]ESCALA DE PRODUÇÃO'!$AK$1:$AK$1048566,"0")</f>
        <v>UN/0001</v>
      </c>
      <c r="E42" s="32">
        <f>('[2]ESCALA DE PRODUÇÃO'!D36)</f>
        <v>1</v>
      </c>
      <c r="F42" s="45">
        <f t="shared" si="10"/>
        <v>0</v>
      </c>
      <c r="G42" s="30">
        <f>_xlfn.XLOOKUP(A42,'[1]ESCALA DE PRODUÇÃO'!$AL$1:$AL$1048566,'[1]ESCALA DE PRODUÇÃO'!$AM$1:$AM$1048566,"SEM PREÇO")</f>
        <v>28.9</v>
      </c>
      <c r="H42" s="33">
        <f t="shared" si="11"/>
        <v>0</v>
      </c>
      <c r="I42" s="50" t="str">
        <f>_xlfn.XLOOKUP(A42,'DADOS DE VENDA'!A:A,'DADOS DE VENDA'!D:D,"SEM VENDA")</f>
        <v>SEM VENDA</v>
      </c>
      <c r="J42" s="42" t="str">
        <f t="shared" si="12"/>
        <v>0</v>
      </c>
      <c r="K42" s="43" t="str">
        <f t="shared" si="13"/>
        <v>0</v>
      </c>
      <c r="L42" s="51" t="str">
        <f>_xlfn.XLOOKUP(A42,'DADOS DE VENDA'!A:A,'DADOS DE VENDA'!E:E,"RUPTURA NO PERIODO")</f>
        <v>RUPTURA NO PERIODO</v>
      </c>
      <c r="M42" s="88" t="str" cm="1">
        <f t="array" ref="M42">_xlfn.IFS(C42&lt;I42,"ABAIXO",C42&gt;I42,"ACIMA",C42=I42,"OK")</f>
        <v>ABAIXO</v>
      </c>
      <c r="P42" s="87">
        <f t="shared" si="7"/>
        <v>9125</v>
      </c>
      <c r="Q42" s="29" t="str">
        <f>_xlfn.XLOOKUP(P42,'[1]ESCALA DE PRODUÇÃO'!$AL$1:$AL$1048566,'[1]ESCALA DE PRODUÇÃO'!$AJ$1:$AJ$1048566,"NÃO ENCOTRADO")</f>
        <v>009125 - ROTISSERIA SALADA POKE DE KANI BENDITO UN</v>
      </c>
      <c r="R42" s="44">
        <f t="shared" si="8"/>
        <v>0</v>
      </c>
      <c r="S42" s="45">
        <f t="shared" si="9"/>
        <v>0</v>
      </c>
    </row>
    <row r="43" spans="1:19" ht="19" thickBot="1" x14ac:dyDescent="0.5">
      <c r="A43" s="87">
        <f>'[2]ESCALA DE PRODUÇÃO'!B37</f>
        <v>9129</v>
      </c>
      <c r="B43" s="29" t="str">
        <f>_xlfn.XLOOKUP(A43,'[1]ESCALA DE PRODUÇÃO'!$AL$1:$AL$1048566,'[1]ESCALA DE PRODUÇÃO'!$AJ$1:$AJ$1048566,"NÃO ENCOTRADO")</f>
        <v>009129 - ROTISSERIA SALADA POKE DE SHIMEJI BENDITO UN</v>
      </c>
      <c r="C43" s="44">
        <v>0</v>
      </c>
      <c r="D43" s="28" t="str">
        <f>_xlfn.XLOOKUP(A43,'[1]ESCALA DE PRODUÇÃO'!$AL$1:$AL$1048566,'[1]ESCALA DE PRODUÇÃO'!$AK$1:$AK$1048566,"0")</f>
        <v>UN/0001</v>
      </c>
      <c r="E43" s="32">
        <f>('[2]ESCALA DE PRODUÇÃO'!D37)</f>
        <v>1</v>
      </c>
      <c r="F43" s="45">
        <f t="shared" si="10"/>
        <v>0</v>
      </c>
      <c r="G43" s="30">
        <f>_xlfn.XLOOKUP(A43,'[1]ESCALA DE PRODUÇÃO'!$AL$1:$AL$1048566,'[1]ESCALA DE PRODUÇÃO'!$AM$1:$AM$1048566,"SEM PREÇO")</f>
        <v>29.9</v>
      </c>
      <c r="H43" s="33">
        <f t="shared" si="11"/>
        <v>0</v>
      </c>
      <c r="I43" s="50" t="str">
        <f>_xlfn.XLOOKUP(A43,'DADOS DE VENDA'!A:A,'DADOS DE VENDA'!D:D,"SEM VENDA")</f>
        <v>SEM VENDA</v>
      </c>
      <c r="J43" s="42" t="str">
        <f t="shared" si="12"/>
        <v>0</v>
      </c>
      <c r="K43" s="43" t="str">
        <f t="shared" si="13"/>
        <v>0</v>
      </c>
      <c r="L43" s="51" t="str">
        <f>_xlfn.XLOOKUP(A43,'DADOS DE VENDA'!A:A,'DADOS DE VENDA'!E:E,"RUPTURA NO PERIODO")</f>
        <v>RUPTURA NO PERIODO</v>
      </c>
      <c r="M43" s="88" t="str" cm="1">
        <f t="array" ref="M43">_xlfn.IFS(C43&lt;I43,"ABAIXO",C43&gt;I43,"ACIMA",C43=I43,"OK")</f>
        <v>ABAIXO</v>
      </c>
      <c r="P43" s="87">
        <f t="shared" si="7"/>
        <v>9129</v>
      </c>
      <c r="Q43" s="29" t="str">
        <f>_xlfn.XLOOKUP(P43,'[1]ESCALA DE PRODUÇÃO'!$AL$1:$AL$1048566,'[1]ESCALA DE PRODUÇÃO'!$AJ$1:$AJ$1048566,"NÃO ENCOTRADO")</f>
        <v>009129 - ROTISSERIA SALADA POKE DE SHIMEJI BENDITO UN</v>
      </c>
      <c r="R43" s="44">
        <f t="shared" si="8"/>
        <v>0</v>
      </c>
      <c r="S43" s="45">
        <f t="shared" si="9"/>
        <v>0</v>
      </c>
    </row>
    <row r="44" spans="1:19" ht="19" thickBot="1" x14ac:dyDescent="0.5">
      <c r="A44" s="87">
        <f>'[2]ESCALA DE PRODUÇÃO'!B38</f>
        <v>90</v>
      </c>
      <c r="B44" s="90" t="str">
        <f>_xlfn.XLOOKUP(A44,'[1]ESCALA DE PRODUÇÃO'!$AL$1:$AL$1048566,'[1]ESCALA DE PRODUÇÃO'!$AJ$1:$AJ$1048566,"NÃO ENCOTRADO")</f>
        <v>NÃO ENCOTRADO</v>
      </c>
      <c r="C44" s="91">
        <v>0</v>
      </c>
      <c r="D44" s="92" t="str">
        <f>_xlfn.XLOOKUP(A44,'[1]ESCALA DE PRODUÇÃO'!$AL$1:$AL$1048566,'[1]ESCALA DE PRODUÇÃO'!$AK$1:$AK$1048566,"0")</f>
        <v>0</v>
      </c>
      <c r="E44" s="32">
        <f>('[2]ESCALA DE PRODUÇÃO'!D38)</f>
        <v>0</v>
      </c>
      <c r="F44" s="94" t="str">
        <f t="shared" si="10"/>
        <v>0</v>
      </c>
      <c r="G44" s="95" t="str">
        <f>_xlfn.XLOOKUP(A44,'[1]ESCALA DE PRODUÇÃO'!$AL$1:$AL$1048566,'[1]ESCALA DE PRODUÇÃO'!$AM$1:$AM$1048566,"SEM PREÇO")</f>
        <v>SEM PREÇO</v>
      </c>
      <c r="H44" s="96" t="str">
        <f t="shared" si="11"/>
        <v>0</v>
      </c>
      <c r="I44" s="97" t="str">
        <f>_xlfn.XLOOKUP(A44,'DADOS DE VENDA'!A:A,'DADOS DE VENDA'!D:D,"SEM VENDA")</f>
        <v>SEM VENDA</v>
      </c>
      <c r="J44" s="98" t="str">
        <f t="shared" si="12"/>
        <v>0</v>
      </c>
      <c r="K44" s="99" t="str">
        <f t="shared" si="13"/>
        <v>0</v>
      </c>
      <c r="L44" s="100" t="str">
        <f>_xlfn.XLOOKUP(A44,'DADOS DE VENDA'!A:A,'DADOS DE VENDA'!E:E,"RUPTURA NO PERIODO")</f>
        <v>RUPTURA NO PERIODO</v>
      </c>
      <c r="M44" s="101" t="str" cm="1">
        <f t="array" ref="M44">_xlfn.IFS(C44&lt;I44,"ABAIXO",C44&gt;I44,"ACIMA",C44=I44,"OK")</f>
        <v>ABAIXO</v>
      </c>
      <c r="P44" s="87">
        <f t="shared" si="7"/>
        <v>90</v>
      </c>
      <c r="Q44" s="90" t="str">
        <f>_xlfn.XLOOKUP(P44,'[1]ESCALA DE PRODUÇÃO'!$AL$1:$AL$1048566,'[1]ESCALA DE PRODUÇÃO'!$AJ$1:$AJ$1048566,"NÃO ENCOTRADO")</f>
        <v>NÃO ENCOTRADO</v>
      </c>
      <c r="R44" s="44">
        <f t="shared" si="8"/>
        <v>0</v>
      </c>
      <c r="S44" s="45" t="str">
        <f t="shared" si="9"/>
        <v>0</v>
      </c>
    </row>
    <row r="45" spans="1:19" ht="19" thickBot="1" x14ac:dyDescent="0.5">
      <c r="A45" s="106"/>
      <c r="B45" s="103" t="s">
        <v>176</v>
      </c>
      <c r="C45" s="103" t="s">
        <v>173</v>
      </c>
      <c r="D45" s="159"/>
      <c r="E45" s="160"/>
      <c r="F45" s="105" t="s">
        <v>174</v>
      </c>
      <c r="G45" s="161">
        <f>SUM(H34,H35,H36,H38,H39,H40,H42,H43,H44)</f>
        <v>308.7</v>
      </c>
      <c r="H45" s="162"/>
      <c r="I45" s="105" t="s">
        <v>175</v>
      </c>
      <c r="J45" s="163" t="e">
        <f>SUM(K21+K22+K24+K26+K27+K28+K30+K31+K33+K34+K36+K37+K38+K40+K41+K43+K44)</f>
        <v>#VALUE!</v>
      </c>
      <c r="K45" s="164"/>
      <c r="L45" s="104"/>
      <c r="M45" s="107"/>
      <c r="P45" s="147" t="s">
        <v>5</v>
      </c>
      <c r="Q45" s="148"/>
      <c r="R45" s="149">
        <f>G45</f>
        <v>308.7</v>
      </c>
      <c r="S45" s="150"/>
    </row>
    <row r="46" spans="1:19" ht="19" thickBot="1" x14ac:dyDescent="0.5">
      <c r="C46" s="78"/>
      <c r="F46" s="79"/>
      <c r="G46" s="80"/>
      <c r="H46" s="80"/>
      <c r="I46" s="81"/>
      <c r="J46" s="82"/>
      <c r="K46" s="83"/>
      <c r="M46" s="84"/>
      <c r="R46" s="78"/>
      <c r="S46" s="79"/>
    </row>
    <row r="47" spans="1:19" ht="21.5" thickBot="1" x14ac:dyDescent="0.55000000000000004">
      <c r="A47" s="154" t="s">
        <v>172</v>
      </c>
      <c r="B47" s="155"/>
      <c r="C47" s="155"/>
      <c r="D47" s="128"/>
      <c r="E47" s="128"/>
      <c r="F47" s="128"/>
      <c r="G47" s="128"/>
      <c r="H47" s="128"/>
      <c r="I47" s="155" t="s">
        <v>171</v>
      </c>
      <c r="J47" s="155"/>
      <c r="K47" s="155"/>
      <c r="L47" s="155"/>
      <c r="M47" s="165"/>
      <c r="P47" s="157" t="str">
        <f>P31</f>
        <v xml:space="preserve"> </v>
      </c>
      <c r="Q47" s="158"/>
      <c r="R47" s="132" t="s">
        <v>102</v>
      </c>
      <c r="S47" s="131">
        <f>S31</f>
        <v>46048</v>
      </c>
    </row>
    <row r="48" spans="1:19" ht="15" thickBot="1" x14ac:dyDescent="0.4">
      <c r="A48" s="151" t="s">
        <v>181</v>
      </c>
      <c r="B48" s="152"/>
      <c r="C48" s="119" t="s">
        <v>174</v>
      </c>
      <c r="D48" s="146" t="s">
        <v>155</v>
      </c>
      <c r="E48" s="146"/>
      <c r="F48" s="146"/>
      <c r="G48" s="146"/>
      <c r="H48" s="156"/>
      <c r="I48" s="146" t="s">
        <v>156</v>
      </c>
      <c r="J48" s="146"/>
      <c r="K48" s="146"/>
      <c r="L48" s="146"/>
      <c r="M48" s="153"/>
      <c r="P48" s="151" t="s">
        <v>181</v>
      </c>
      <c r="Q48" s="152"/>
      <c r="R48" s="145" t="s">
        <v>155</v>
      </c>
      <c r="S48" s="146"/>
    </row>
    <row r="49" spans="1:19" ht="15" thickBot="1" x14ac:dyDescent="0.4">
      <c r="A49" s="85" t="s">
        <v>8</v>
      </c>
      <c r="B49" s="6" t="s">
        <v>182</v>
      </c>
      <c r="C49" s="3" t="s">
        <v>2</v>
      </c>
      <c r="D49" s="3" t="s">
        <v>106</v>
      </c>
      <c r="E49" s="3" t="s">
        <v>4</v>
      </c>
      <c r="F49" s="3" t="s">
        <v>6</v>
      </c>
      <c r="G49" s="4" t="s">
        <v>3</v>
      </c>
      <c r="H49" s="3" t="s">
        <v>5</v>
      </c>
      <c r="I49" s="7" t="s">
        <v>157</v>
      </c>
      <c r="J49" s="7" t="s">
        <v>152</v>
      </c>
      <c r="K49" s="7" t="s">
        <v>153</v>
      </c>
      <c r="L49" s="3" t="s">
        <v>104</v>
      </c>
      <c r="M49" s="86" t="s">
        <v>105</v>
      </c>
      <c r="P49" s="85" t="s">
        <v>8</v>
      </c>
      <c r="Q49" s="6" t="s">
        <v>182</v>
      </c>
      <c r="R49" s="3" t="s">
        <v>2</v>
      </c>
      <c r="S49" s="3" t="s">
        <v>6</v>
      </c>
    </row>
    <row r="50" spans="1:19" ht="19" thickBot="1" x14ac:dyDescent="0.5">
      <c r="A50" s="87">
        <f>('[1]ESCALA DE PRODUÇÃO'!B41)</f>
        <v>8307</v>
      </c>
      <c r="B50" s="29" t="str">
        <f>_xlfn.XLOOKUP(A50,'[1]ESCALA DE PRODUÇÃO'!$AL$1:$AL$1048566,'[1]ESCALA DE PRODUÇÃO'!$AJ$1:$AJ$1048566,"NÃO ENCOTRADO")</f>
        <v>008307 - ROTISSERIA ESCONDIDINHO DE CARNE SECA BENDITO KG</v>
      </c>
      <c r="C50" s="44">
        <v>2</v>
      </c>
      <c r="D50" s="28" t="str">
        <f>_xlfn.XLOOKUP(A50,'[1]ESCALA DE PRODUÇÃO'!$AL$1:$AL$1048566,'[1]ESCALA DE PRODUÇÃO'!$AK$1:$AK$1048566,"0")</f>
        <v>KG/0001</v>
      </c>
      <c r="E50" s="32">
        <f>('[2]ESCALA DE PRODUÇÃO'!D40)</f>
        <v>0.45</v>
      </c>
      <c r="F50" s="45">
        <f>IFERROR(C50/E50,"0")</f>
        <v>4.4444444444444446</v>
      </c>
      <c r="G50" s="30">
        <f>_xlfn.XLOOKUP(A50,'[1]ESCALA DE PRODUÇÃO'!$AL$1:$AL$1048566,'[1]ESCALA DE PRODUÇÃO'!$AM$1:$AM$1048566,"SEM PREÇO")</f>
        <v>57.9</v>
      </c>
      <c r="H50" s="33">
        <f>IFERROR(C50*G50,"0")</f>
        <v>115.8</v>
      </c>
      <c r="I50" s="50" t="str">
        <f>_xlfn.XLOOKUP(A50,'DADOS DE VENDA'!A:A,'DADOS DE VENDA'!D:D,"SEM VENDA")</f>
        <v>SEM VENDA</v>
      </c>
      <c r="J50" s="42" t="str">
        <f>IFERROR(I50/E50,"0")</f>
        <v>0</v>
      </c>
      <c r="K50" s="43" t="str">
        <f>IFERROR(I50*G50,"0")</f>
        <v>0</v>
      </c>
      <c r="L50" s="51" t="str">
        <f>_xlfn.XLOOKUP(A50,'DADOS DE VENDA'!A:A,'DADOS DE VENDA'!E:E,"RUPTURA NO PERIODO")</f>
        <v>RUPTURA NO PERIODO</v>
      </c>
      <c r="M50" s="88" t="str" cm="1">
        <f t="array" ref="M50">_xlfn.IFS(C50&lt;I50,"ABAIXO",C50&gt;I50,"ACIMA",C50=I50,"OK")</f>
        <v>ABAIXO</v>
      </c>
      <c r="P50" s="87">
        <f>A50</f>
        <v>8307</v>
      </c>
      <c r="Q50" s="29" t="str">
        <f>_xlfn.XLOOKUP(P50,'[1]ESCALA DE PRODUÇÃO'!$AL$1:$AL$1048566,'[1]ESCALA DE PRODUÇÃO'!$AJ$1:$AJ$1048566,"NÃO ENCOTRADO")</f>
        <v>008307 - ROTISSERIA ESCONDIDINHO DE CARNE SECA BENDITO KG</v>
      </c>
      <c r="R50" s="44">
        <f>(C50)</f>
        <v>2</v>
      </c>
      <c r="S50" s="45">
        <f>F50</f>
        <v>4.4444444444444446</v>
      </c>
    </row>
    <row r="51" spans="1:19" ht="19" thickBot="1" x14ac:dyDescent="0.5">
      <c r="A51" s="87">
        <f>('[1]ESCALA DE PRODUÇÃO'!B42)</f>
        <v>8316</v>
      </c>
      <c r="B51" s="29" t="str">
        <f>_xlfn.XLOOKUP(A51,'[1]ESCALA DE PRODUÇÃO'!$AL$1:$AL$1048566,'[1]ESCALA DE PRODUÇÃO'!$AJ$1:$AJ$1048566,"NÃO ENCOTRADO")</f>
        <v>008316 - ROTISSERIA ESCONDIDINHO FRANGO BENDITO KG</v>
      </c>
      <c r="C51" s="44">
        <v>2</v>
      </c>
      <c r="D51" s="28" t="str">
        <f>_xlfn.XLOOKUP(A51,'[1]ESCALA DE PRODUÇÃO'!$AL$1:$AL$1048566,'[1]ESCALA DE PRODUÇÃO'!$AK$1:$AK$1048566,"0")</f>
        <v>KG/0001</v>
      </c>
      <c r="E51" s="32">
        <f>('[2]ESCALA DE PRODUÇÃO'!D41)</f>
        <v>0.45</v>
      </c>
      <c r="F51" s="45">
        <f t="shared" ref="F51:F56" si="14">IFERROR(C51/E51,"0")</f>
        <v>4.4444444444444446</v>
      </c>
      <c r="G51" s="30">
        <f>_xlfn.XLOOKUP(A51,'[1]ESCALA DE PRODUÇÃO'!$AL$1:$AL$1048566,'[1]ESCALA DE PRODUÇÃO'!$AM$1:$AM$1048566,"SEM PREÇO")</f>
        <v>57.9</v>
      </c>
      <c r="H51" s="33">
        <f t="shared" ref="H51:H56" si="15">IFERROR(C51*G51,"0")</f>
        <v>115.8</v>
      </c>
      <c r="I51" s="50" t="str">
        <f>_xlfn.XLOOKUP(A51,'DADOS DE VENDA'!A:A,'DADOS DE VENDA'!D:D,"SEM VENDA")</f>
        <v>SEM VENDA</v>
      </c>
      <c r="J51" s="42" t="str">
        <f t="shared" ref="J51:J56" si="16">IFERROR(I51/E51,"0")</f>
        <v>0</v>
      </c>
      <c r="K51" s="43" t="str">
        <f t="shared" ref="K51:K56" si="17">IFERROR(I51*G51,"0")</f>
        <v>0</v>
      </c>
      <c r="L51" s="51" t="str">
        <f>_xlfn.XLOOKUP(A51,'DADOS DE VENDA'!A:A,'DADOS DE VENDA'!E:E,"RUPTURA NO PERIODO")</f>
        <v>RUPTURA NO PERIODO</v>
      </c>
      <c r="M51" s="88" t="str" cm="1">
        <f t="array" ref="M51">_xlfn.IFS(C51&lt;I51,"ABAIXO",C51&gt;I51,"ACIMA",C51=I51,"OK")</f>
        <v>ABAIXO</v>
      </c>
      <c r="P51" s="87">
        <f t="shared" ref="P51:P58" si="18">A51</f>
        <v>8316</v>
      </c>
      <c r="Q51" s="29" t="str">
        <f>_xlfn.XLOOKUP(P51,'[1]ESCALA DE PRODUÇÃO'!$AL$1:$AL$1048566,'[1]ESCALA DE PRODUÇÃO'!$AJ$1:$AJ$1048566,"NÃO ENCOTRADO")</f>
        <v>008316 - ROTISSERIA ESCONDIDINHO FRANGO BENDITO KG</v>
      </c>
      <c r="R51" s="44">
        <f t="shared" ref="R51:R58" si="19">(C51)</f>
        <v>2</v>
      </c>
      <c r="S51" s="45">
        <f t="shared" ref="S51:S58" si="20">F51</f>
        <v>4.4444444444444446</v>
      </c>
    </row>
    <row r="52" spans="1:19" ht="19" thickBot="1" x14ac:dyDescent="0.5">
      <c r="A52" s="87">
        <f>('[1]ESCALA DE PRODUÇÃO'!B43)</f>
        <v>0</v>
      </c>
      <c r="B52" s="29" t="str">
        <f>_xlfn.XLOOKUP(A52,'[1]ESCALA DE PRODUÇÃO'!$AL$1:$AL$1048566,'[1]ESCALA DE PRODUÇÃO'!$AJ$1:$AJ$1048566,"NÃO ENCOTRADO")</f>
        <v>NÃO ENCOTRADO</v>
      </c>
      <c r="C52" s="44">
        <v>2</v>
      </c>
      <c r="D52" s="28" t="str">
        <f>_xlfn.XLOOKUP(A52,'[1]ESCALA DE PRODUÇÃO'!$AL$1:$AL$1048566,'[1]ESCALA DE PRODUÇÃO'!$AK$1:$AK$1048566,"0")</f>
        <v>0</v>
      </c>
      <c r="E52" s="32">
        <f>('[2]ESCALA DE PRODUÇÃO'!D42)</f>
        <v>0.45</v>
      </c>
      <c r="F52" s="45">
        <f t="shared" si="14"/>
        <v>4.4444444444444446</v>
      </c>
      <c r="G52" s="30" t="str">
        <f>_xlfn.XLOOKUP(A52,'[1]ESCALA DE PRODUÇÃO'!$AL$1:$AL$1048566,'[1]ESCALA DE PRODUÇÃO'!$AM$1:$AM$1048566,"SEM PREÇO")</f>
        <v>SEM PREÇO</v>
      </c>
      <c r="H52" s="33" t="str">
        <f t="shared" si="15"/>
        <v>0</v>
      </c>
      <c r="I52" s="50" t="str">
        <f>_xlfn.XLOOKUP(A52,'DADOS DE VENDA'!A:A,'DADOS DE VENDA'!D:D,"SEM VENDA")</f>
        <v>SEM VENDA</v>
      </c>
      <c r="J52" s="42" t="str">
        <f t="shared" si="16"/>
        <v>0</v>
      </c>
      <c r="K52" s="43" t="str">
        <f t="shared" si="17"/>
        <v>0</v>
      </c>
      <c r="L52" s="51" t="str">
        <f>_xlfn.XLOOKUP(A52,'DADOS DE VENDA'!A:A,'DADOS DE VENDA'!E:E,"RUPTURA NO PERIODO")</f>
        <v>RUPTURA NO PERIODO</v>
      </c>
      <c r="M52" s="88" t="str" cm="1">
        <f t="array" ref="M52">_xlfn.IFS(C52&lt;I52,"ABAIXO",C52&gt;I52,"ACIMA",C52=I52,"OK")</f>
        <v>ABAIXO</v>
      </c>
      <c r="P52" s="87">
        <f t="shared" si="18"/>
        <v>0</v>
      </c>
      <c r="Q52" s="29" t="str">
        <f>_xlfn.XLOOKUP(P52,'[1]ESCALA DE PRODUÇÃO'!$AL$1:$AL$1048566,'[1]ESCALA DE PRODUÇÃO'!$AJ$1:$AJ$1048566,"NÃO ENCOTRADO")</f>
        <v>NÃO ENCOTRADO</v>
      </c>
      <c r="R52" s="44">
        <f t="shared" si="19"/>
        <v>2</v>
      </c>
      <c r="S52" s="45">
        <f t="shared" si="20"/>
        <v>4.4444444444444446</v>
      </c>
    </row>
    <row r="53" spans="1:19" ht="19" thickBot="1" x14ac:dyDescent="0.5">
      <c r="A53" s="87">
        <f>('[1]ESCALA DE PRODUÇÃO'!B44)</f>
        <v>8333</v>
      </c>
      <c r="B53" s="29" t="str">
        <f>_xlfn.XLOOKUP(A53,'[1]ESCALA DE PRODUÇÃO'!$AL$1:$AL$1048566,'[1]ESCALA DE PRODUÇÃO'!$AJ$1:$AJ$1048566,"NÃO ENCOTRADO")</f>
        <v>008333 - ROTISSERIA BATATA/RECHEADA  BROCOLIS E BACON</v>
      </c>
      <c r="C53" s="44">
        <v>0</v>
      </c>
      <c r="D53" s="28" t="str">
        <f>_xlfn.XLOOKUP(A53,'[1]ESCALA DE PRODUÇÃO'!$AL$1:$AL$1048566,'[1]ESCALA DE PRODUÇÃO'!$AK$1:$AK$1048566,"0")</f>
        <v>KG/0001</v>
      </c>
      <c r="E53" s="32">
        <f>('[2]ESCALA DE PRODUÇÃO'!D43)</f>
        <v>0.38</v>
      </c>
      <c r="F53" s="45">
        <f t="shared" si="14"/>
        <v>0</v>
      </c>
      <c r="G53" s="30">
        <f>_xlfn.XLOOKUP(A53,'[1]ESCALA DE PRODUÇÃO'!$AL$1:$AL$1048566,'[1]ESCALA DE PRODUÇÃO'!$AM$1:$AM$1048566,"SEM PREÇO")</f>
        <v>49.9</v>
      </c>
      <c r="H53" s="33">
        <f t="shared" si="15"/>
        <v>0</v>
      </c>
      <c r="I53" s="50" t="str">
        <f>_xlfn.XLOOKUP(A53,'DADOS DE VENDA'!A:A,'DADOS DE VENDA'!D:D,"SEM VENDA")</f>
        <v>SEM VENDA</v>
      </c>
      <c r="J53" s="42" t="str">
        <f t="shared" si="16"/>
        <v>0</v>
      </c>
      <c r="K53" s="43" t="str">
        <f t="shared" si="17"/>
        <v>0</v>
      </c>
      <c r="L53" s="51" t="str">
        <f>_xlfn.XLOOKUP(A53,'DADOS DE VENDA'!A:A,'DADOS DE VENDA'!E:E,"RUPTURA NO PERIODO")</f>
        <v>RUPTURA NO PERIODO</v>
      </c>
      <c r="M53" s="88" t="str" cm="1">
        <f t="array" ref="M53">_xlfn.IFS(C53&lt;I53,"ABAIXO",C53&gt;I53,"ACIMA",C53=I53,"OK")</f>
        <v>ABAIXO</v>
      </c>
      <c r="P53" s="87">
        <f t="shared" si="18"/>
        <v>8333</v>
      </c>
      <c r="Q53" s="29" t="str">
        <f>_xlfn.XLOOKUP(P53,'[1]ESCALA DE PRODUÇÃO'!$AL$1:$AL$1048566,'[1]ESCALA DE PRODUÇÃO'!$AJ$1:$AJ$1048566,"NÃO ENCOTRADO")</f>
        <v>008333 - ROTISSERIA BATATA/RECHEADA  BROCOLIS E BACON</v>
      </c>
      <c r="R53" s="44">
        <f t="shared" si="19"/>
        <v>0</v>
      </c>
      <c r="S53" s="45">
        <f t="shared" si="20"/>
        <v>0</v>
      </c>
    </row>
    <row r="54" spans="1:19" ht="15" thickBot="1" x14ac:dyDescent="0.4">
      <c r="A54" s="85" t="s">
        <v>8</v>
      </c>
      <c r="B54" s="6" t="s">
        <v>182</v>
      </c>
      <c r="C54" s="3" t="s">
        <v>2</v>
      </c>
      <c r="D54" s="3" t="s">
        <v>106</v>
      </c>
      <c r="E54" s="3" t="s">
        <v>4</v>
      </c>
      <c r="F54" s="3" t="s">
        <v>6</v>
      </c>
      <c r="G54" s="4" t="s">
        <v>3</v>
      </c>
      <c r="H54" s="3" t="s">
        <v>5</v>
      </c>
      <c r="I54" s="7" t="s">
        <v>157</v>
      </c>
      <c r="J54" s="7" t="s">
        <v>152</v>
      </c>
      <c r="K54" s="7" t="s">
        <v>153</v>
      </c>
      <c r="L54" s="3" t="s">
        <v>104</v>
      </c>
      <c r="M54" s="86" t="s">
        <v>105</v>
      </c>
      <c r="P54" s="85" t="s">
        <v>8</v>
      </c>
      <c r="Q54" s="6" t="s">
        <v>182</v>
      </c>
      <c r="R54" s="3" t="s">
        <v>2</v>
      </c>
      <c r="S54" s="3" t="s">
        <v>6</v>
      </c>
    </row>
    <row r="55" spans="1:19" ht="19" thickBot="1" x14ac:dyDescent="0.5">
      <c r="A55" s="87">
        <f>('[1]ESCALA DE PRODUÇÃO'!B46)</f>
        <v>0</v>
      </c>
      <c r="B55" s="29" t="str">
        <f>_xlfn.XLOOKUP(A55,'[1]ESCALA DE PRODUÇÃO'!$AL$1:$AL$1048566,'[1]ESCALA DE PRODUÇÃO'!$AJ$1:$AJ$1048566,"NÃO ENCOTRADO")</f>
        <v>NÃO ENCOTRADO</v>
      </c>
      <c r="C55" s="44">
        <v>1.5</v>
      </c>
      <c r="D55" s="28" t="str">
        <f>_xlfn.XLOOKUP(A55,'[1]ESCALA DE PRODUÇÃO'!$AL$1:$AL$1048566,'[1]ESCALA DE PRODUÇÃO'!$AK$1:$AK$1048566,"0")</f>
        <v>0</v>
      </c>
      <c r="E55" s="32">
        <f>('[2]ESCALA DE PRODUÇÃO'!D45)</f>
        <v>0.15</v>
      </c>
      <c r="F55" s="45">
        <f t="shared" si="14"/>
        <v>10</v>
      </c>
      <c r="G55" s="30" t="str">
        <f>_xlfn.XLOOKUP(A55,'[1]ESCALA DE PRODUÇÃO'!$AL$1:$AL$1048566,'[1]ESCALA DE PRODUÇÃO'!$AM$1:$AM$1048566,"SEM PREÇO")</f>
        <v>SEM PREÇO</v>
      </c>
      <c r="H55" s="33" t="str">
        <f t="shared" si="15"/>
        <v>0</v>
      </c>
      <c r="I55" s="50" t="str">
        <f>_xlfn.XLOOKUP(A55,'DADOS DE VENDA'!A:A,'DADOS DE VENDA'!D:D,"SEM VENDA")</f>
        <v>SEM VENDA</v>
      </c>
      <c r="J55" s="42" t="str">
        <f t="shared" si="16"/>
        <v>0</v>
      </c>
      <c r="K55" s="43" t="str">
        <f t="shared" si="17"/>
        <v>0</v>
      </c>
      <c r="L55" s="51" t="str">
        <f>_xlfn.XLOOKUP(A55,'DADOS DE VENDA'!A:A,'DADOS DE VENDA'!E:E,"RUPTURA NO PERIODO")</f>
        <v>RUPTURA NO PERIODO</v>
      </c>
      <c r="M55" s="88" t="str" cm="1">
        <f t="array" ref="M55">_xlfn.IFS(C55&lt;I55,"ABAIXO",C55&gt;I55,"ACIMA",C55=I55,"OK")</f>
        <v>ABAIXO</v>
      </c>
      <c r="P55" s="87">
        <f t="shared" si="18"/>
        <v>0</v>
      </c>
      <c r="Q55" s="29" t="str">
        <f>_xlfn.XLOOKUP(P55,'[1]ESCALA DE PRODUÇÃO'!$AL$1:$AL$1048566,'[1]ESCALA DE PRODUÇÃO'!$AJ$1:$AJ$1048566,"NÃO ENCOTRADO")</f>
        <v>NÃO ENCOTRADO</v>
      </c>
      <c r="R55" s="44">
        <f t="shared" si="19"/>
        <v>1.5</v>
      </c>
      <c r="S55" s="45">
        <f t="shared" si="20"/>
        <v>10</v>
      </c>
    </row>
    <row r="56" spans="1:19" ht="19" thickBot="1" x14ac:dyDescent="0.5">
      <c r="A56" s="87">
        <f>('[1]ESCALA DE PRODUÇÃO'!B47)</f>
        <v>8386</v>
      </c>
      <c r="B56" s="29" t="str">
        <f>_xlfn.XLOOKUP(A56,'[1]ESCALA DE PRODUÇÃO'!$AL$1:$AL$1048566,'[1]ESCALA DE PRODUÇÃO'!$AJ$1:$AJ$1048566,"NÃO ENCOTRADO")</f>
        <v xml:space="preserve">008386 - ROTISSERIA GELEIA DE PIMENTA BENDITO KG </v>
      </c>
      <c r="C56" s="44">
        <v>1.5</v>
      </c>
      <c r="D56" s="28" t="str">
        <f>_xlfn.XLOOKUP(A56,'[1]ESCALA DE PRODUÇÃO'!$AL$1:$AL$1048566,'[1]ESCALA DE PRODUÇÃO'!$AK$1:$AK$1048566,"0")</f>
        <v>KG/0001</v>
      </c>
      <c r="E56" s="32">
        <f>('[2]ESCALA DE PRODUÇÃO'!D46)</f>
        <v>0.15</v>
      </c>
      <c r="F56" s="45">
        <f t="shared" si="14"/>
        <v>10</v>
      </c>
      <c r="G56" s="30">
        <f>_xlfn.XLOOKUP(A56,'[1]ESCALA DE PRODUÇÃO'!$AL$1:$AL$1048566,'[1]ESCALA DE PRODUÇÃO'!$AM$1:$AM$1048566,"SEM PREÇO")</f>
        <v>49.9</v>
      </c>
      <c r="H56" s="33">
        <f t="shared" si="15"/>
        <v>74.849999999999994</v>
      </c>
      <c r="I56" s="50">
        <f>_xlfn.XLOOKUP(A56,'DADOS DE VENDA'!A:A,'DADOS DE VENDA'!D:D,"SEM VENDA")</f>
        <v>0.17</v>
      </c>
      <c r="J56" s="42">
        <f t="shared" si="16"/>
        <v>1.1333333333333335</v>
      </c>
      <c r="K56" s="43">
        <f t="shared" si="17"/>
        <v>8.4830000000000005</v>
      </c>
      <c r="L56" s="51" t="str">
        <f>_xlfn.XLOOKUP(A56,'DADOS DE VENDA'!A:A,'DADOS DE VENDA'!E:E,"RUPTURA NO PERIODO")</f>
        <v>19/01 a20/01</v>
      </c>
      <c r="M56" s="88" t="str" cm="1">
        <f t="array" ref="M56">_xlfn.IFS(C56&lt;I56,"ABAIXO",C56&gt;I56,"ACIMA",C56=I56,"OK")</f>
        <v>ACIMA</v>
      </c>
      <c r="P56" s="87">
        <f t="shared" si="18"/>
        <v>8386</v>
      </c>
      <c r="Q56" s="29" t="str">
        <f>_xlfn.XLOOKUP(P56,'[1]ESCALA DE PRODUÇÃO'!$AL$1:$AL$1048566,'[1]ESCALA DE PRODUÇÃO'!$AJ$1:$AJ$1048566,"NÃO ENCOTRADO")</f>
        <v xml:space="preserve">008386 - ROTISSERIA GELEIA DE PIMENTA BENDITO KG </v>
      </c>
      <c r="R56" s="44">
        <f t="shared" si="19"/>
        <v>1.5</v>
      </c>
      <c r="S56" s="45">
        <f t="shared" si="20"/>
        <v>10</v>
      </c>
    </row>
    <row r="57" spans="1:19" ht="19" thickBot="1" x14ac:dyDescent="0.5">
      <c r="A57" s="87">
        <f>('[1]ESCALA DE PRODUÇÃO'!B48)</f>
        <v>8551</v>
      </c>
      <c r="B57" s="29" t="str">
        <f>_xlfn.XLOOKUP(A57,'[1]ESCALA DE PRODUÇÃO'!$AL$1:$AL$1048566,'[1]ESCALA DE PRODUÇÃO'!$AJ$1:$AJ$1048566,"NÃO ENCOTRADO")</f>
        <v>008551 - ROTISSERIA PATE ALHO BENDITO KG</v>
      </c>
      <c r="C57" s="44">
        <v>0</v>
      </c>
      <c r="D57" s="28" t="str">
        <f>_xlfn.XLOOKUP(A57,'[1]ESCALA DE PRODUÇÃO'!$AL$1:$AL$1048566,'[1]ESCALA DE PRODUÇÃO'!$AK$1:$AK$1048566,"0")</f>
        <v>KG/0001</v>
      </c>
      <c r="E57" s="32">
        <f>('[2]ESCALA DE PRODUÇÃO'!D47)</f>
        <v>0.15</v>
      </c>
      <c r="F57" s="45">
        <f>IFERROR(C57/E57,"0")</f>
        <v>0</v>
      </c>
      <c r="G57" s="30">
        <f>_xlfn.XLOOKUP(A57,'[1]ESCALA DE PRODUÇÃO'!$AL$1:$AL$1048566,'[1]ESCALA DE PRODUÇÃO'!$AM$1:$AM$1048566,"SEM PREÇO")</f>
        <v>59.9</v>
      </c>
      <c r="H57" s="33">
        <f>IFERROR(C57*G57,"0")</f>
        <v>0</v>
      </c>
      <c r="I57" s="50">
        <f>_xlfn.XLOOKUP(A57,'DADOS DE VENDA'!A:A,'DADOS DE VENDA'!D:D,"SEM VENDA")</f>
        <v>0.12</v>
      </c>
      <c r="J57" s="42">
        <f>IFERROR(I57/E57,"0")</f>
        <v>0.8</v>
      </c>
      <c r="K57" s="43">
        <f>IFERROR(I57*G57,"0")</f>
        <v>7.1879999999999997</v>
      </c>
      <c r="L57" s="51" t="str">
        <f>_xlfn.XLOOKUP(A57,'DADOS DE VENDA'!A:A,'DADOS DE VENDA'!E:E,"RUPTURA NO PERIODO")</f>
        <v>19/01 a20/01</v>
      </c>
      <c r="M57" s="88" t="str" cm="1">
        <f t="array" ref="M57">_xlfn.IFS(C57&lt;I57,"ABAIXO",C57&gt;I57,"ACIMA",C57=I57,"OK")</f>
        <v>ABAIXO</v>
      </c>
      <c r="P57" s="87">
        <f t="shared" si="18"/>
        <v>8551</v>
      </c>
      <c r="Q57" s="29" t="str">
        <f>_xlfn.XLOOKUP(P57,'[1]ESCALA DE PRODUÇÃO'!$AL$1:$AL$1048566,'[1]ESCALA DE PRODUÇÃO'!$AJ$1:$AJ$1048566,"NÃO ENCOTRADO")</f>
        <v>008551 - ROTISSERIA PATE ALHO BENDITO KG</v>
      </c>
      <c r="R57" s="44">
        <f t="shared" si="19"/>
        <v>0</v>
      </c>
      <c r="S57" s="45">
        <f t="shared" si="20"/>
        <v>0</v>
      </c>
    </row>
    <row r="58" spans="1:19" ht="19" thickBot="1" x14ac:dyDescent="0.5">
      <c r="A58" s="87">
        <f>('[1]ESCALA DE PRODUÇÃO'!B49)</f>
        <v>8498</v>
      </c>
      <c r="B58" s="29" t="str">
        <f>_xlfn.XLOOKUP(A58,'[1]ESCALA DE PRODUÇÃO'!$AL$1:$AL$1048566,'[1]ESCALA DE PRODUÇÃO'!$AJ$1:$AJ$1048566,"NÃO ENCOTRADO")</f>
        <v>008498 - ROTISSERIA MOLHO PIMENTA ARTESANAL BENDITO KG</v>
      </c>
      <c r="C58" s="44">
        <v>0</v>
      </c>
      <c r="D58" s="28" t="str">
        <f>_xlfn.XLOOKUP(A58,'[1]ESCALA DE PRODUÇÃO'!$AL$1:$AL$1048566,'[1]ESCALA DE PRODUÇÃO'!$AK$1:$AK$1048566,"0")</f>
        <v>KG/0001</v>
      </c>
      <c r="E58" s="32">
        <f>('[2]ESCALA DE PRODUÇÃO'!D48)</f>
        <v>0</v>
      </c>
      <c r="F58" s="45" t="str">
        <f>IFERROR(C58/E58,"0")</f>
        <v>0</v>
      </c>
      <c r="G58" s="30">
        <f>_xlfn.XLOOKUP(A58,'[1]ESCALA DE PRODUÇÃO'!$AL$1:$AL$1048566,'[1]ESCALA DE PRODUÇÃO'!$AM$1:$AM$1048566,"SEM PREÇO")</f>
        <v>29.9</v>
      </c>
      <c r="H58" s="33">
        <f>IFERROR(C58*G58,"0")</f>
        <v>0</v>
      </c>
      <c r="I58" s="50" t="str">
        <f>_xlfn.XLOOKUP(A58,'DADOS DE VENDA'!A:A,'DADOS DE VENDA'!D:D,"SEM VENDA")</f>
        <v>SEM VENDA</v>
      </c>
      <c r="J58" s="42" t="str">
        <f>IFERROR(I58/E58,"0")</f>
        <v>0</v>
      </c>
      <c r="K58" s="43" t="str">
        <f>IFERROR(I58*G58,"0")</f>
        <v>0</v>
      </c>
      <c r="L58" s="51" t="str">
        <f>_xlfn.XLOOKUP(A58,'DADOS DE VENDA'!A:A,'DADOS DE VENDA'!E:E,"RUPTURA NO PERIODO")</f>
        <v>RUPTURA NO PERIODO</v>
      </c>
      <c r="M58" s="88" t="str" cm="1">
        <f t="array" ref="M58">_xlfn.IFS(C58&lt;I58,"ABAIXO",C58&gt;I58,"ACIMA",C58=I58,"OK")</f>
        <v>ABAIXO</v>
      </c>
      <c r="P58" s="87">
        <f t="shared" si="18"/>
        <v>8498</v>
      </c>
      <c r="Q58" s="29" t="str">
        <f>_xlfn.XLOOKUP(P58,'[1]ESCALA DE PRODUÇÃO'!$AL$1:$AL$1048566,'[1]ESCALA DE PRODUÇÃO'!$AJ$1:$AJ$1048566,"NÃO ENCOTRADO")</f>
        <v>008498 - ROTISSERIA MOLHO PIMENTA ARTESANAL BENDITO KG</v>
      </c>
      <c r="R58" s="44">
        <f t="shared" si="19"/>
        <v>0</v>
      </c>
      <c r="S58" s="45" t="str">
        <f t="shared" si="20"/>
        <v>0</v>
      </c>
    </row>
    <row r="59" spans="1:19" ht="19" thickBot="1" x14ac:dyDescent="0.5">
      <c r="A59" s="87"/>
      <c r="B59" s="103" t="s">
        <v>176</v>
      </c>
      <c r="C59" s="103" t="s">
        <v>173</v>
      </c>
      <c r="D59" s="159"/>
      <c r="E59" s="160"/>
      <c r="F59" s="105" t="s">
        <v>174</v>
      </c>
      <c r="G59" s="161">
        <f>SUM(H50,H51,H52,H53,H55,H56,H57,H58)</f>
        <v>306.45</v>
      </c>
      <c r="H59" s="162"/>
      <c r="I59" s="105" t="s">
        <v>175</v>
      </c>
      <c r="J59" s="163" t="e">
        <f>SUM(K36+K37+K38+K40+K41+K42+K44+K45+K47+K48+K50+K51+K52+K54+K55+K57+K58)</f>
        <v>#VALUE!</v>
      </c>
      <c r="K59" s="164"/>
      <c r="L59" s="104"/>
      <c r="M59" s="107"/>
      <c r="P59" s="147" t="s">
        <v>5</v>
      </c>
      <c r="Q59" s="148"/>
      <c r="R59" s="149">
        <f>G59</f>
        <v>306.45</v>
      </c>
      <c r="S59" s="150"/>
    </row>
    <row r="61" spans="1:19" ht="15" thickBot="1" x14ac:dyDescent="0.4"/>
    <row r="62" spans="1:19" x14ac:dyDescent="0.35">
      <c r="P62" s="166" t="s">
        <v>225</v>
      </c>
      <c r="Q62" s="167"/>
      <c r="R62" s="172">
        <f>SUM(R28,R45,R59)</f>
        <v>1673.4299999999998</v>
      </c>
      <c r="S62" s="173"/>
    </row>
    <row r="63" spans="1:19" x14ac:dyDescent="0.35">
      <c r="P63" s="168"/>
      <c r="Q63" s="169"/>
      <c r="R63" s="174"/>
      <c r="S63" s="175"/>
    </row>
    <row r="64" spans="1:19" ht="15" thickBot="1" x14ac:dyDescent="0.4">
      <c r="P64" s="170"/>
      <c r="Q64" s="171"/>
      <c r="R64" s="176"/>
      <c r="S64" s="177"/>
    </row>
  </sheetData>
  <mergeCells count="41">
    <mergeCell ref="P62:Q64"/>
    <mergeCell ref="R62:S64"/>
    <mergeCell ref="I1:M1"/>
    <mergeCell ref="D28:E28"/>
    <mergeCell ref="G28:H28"/>
    <mergeCell ref="J28:K28"/>
    <mergeCell ref="D59:E59"/>
    <mergeCell ref="G59:H59"/>
    <mergeCell ref="J59:K59"/>
    <mergeCell ref="I47:M47"/>
    <mergeCell ref="R59:S59"/>
    <mergeCell ref="P1:Q1"/>
    <mergeCell ref="P31:Q31"/>
    <mergeCell ref="P2:Q2"/>
    <mergeCell ref="P32:Q32"/>
    <mergeCell ref="R2:S2"/>
    <mergeCell ref="A1:C1"/>
    <mergeCell ref="I32:M32"/>
    <mergeCell ref="D45:E45"/>
    <mergeCell ref="G45:H45"/>
    <mergeCell ref="J45:K45"/>
    <mergeCell ref="A2:B2"/>
    <mergeCell ref="I2:M2"/>
    <mergeCell ref="I31:M31"/>
    <mergeCell ref="A32:B32"/>
    <mergeCell ref="D2:H2"/>
    <mergeCell ref="A31:C31"/>
    <mergeCell ref="D32:H32"/>
    <mergeCell ref="A48:B48"/>
    <mergeCell ref="I48:M48"/>
    <mergeCell ref="A47:C47"/>
    <mergeCell ref="D48:H48"/>
    <mergeCell ref="P59:Q59"/>
    <mergeCell ref="P47:Q47"/>
    <mergeCell ref="P48:Q48"/>
    <mergeCell ref="R32:S32"/>
    <mergeCell ref="R48:S48"/>
    <mergeCell ref="P28:Q28"/>
    <mergeCell ref="R28:S28"/>
    <mergeCell ref="P45:Q45"/>
    <mergeCell ref="R45:S45"/>
  </mergeCells>
  <conditionalFormatting sqref="I4:I6 I8:I10 I12:I13 I15:I16 I18:I20 I22:I24 I26:I27 I29:I30 I34:I36 I38:I40 I42:I44 I46">
    <cfRule type="containsText" dxfId="48" priority="4" operator="containsText" text="SEM VENDA">
      <formula>NOT(ISERROR(SEARCH("SEM VENDA",I4)))</formula>
    </cfRule>
  </conditionalFormatting>
  <conditionalFormatting sqref="I50:I53 I55:I58">
    <cfRule type="containsText" dxfId="47" priority="2" operator="containsText" text="SEM VENDA">
      <formula>NOT(ISERROR(SEARCH("SEM VENDA",I50)))</formula>
    </cfRule>
  </conditionalFormatting>
  <conditionalFormatting sqref="L4:L6 L8:L10 L12:L13 L15:L16 L18:L20 L22:L24 L26:L30 L34:L36 L38:L40 L42:L46">
    <cfRule type="containsText" dxfId="46" priority="5" operator="containsText" text="RUPTURA NO PERIODO">
      <formula>NOT(ISERROR(SEARCH("RUPTURA NO PERIODO",L4)))</formula>
    </cfRule>
  </conditionalFormatting>
  <conditionalFormatting sqref="L50:L53">
    <cfRule type="containsText" dxfId="45" priority="3" operator="containsText" text="RUPTURA NO PERIODO">
      <formula>NOT(ISERROR(SEARCH("RUPTURA NO PERIODO",L50)))</formula>
    </cfRule>
  </conditionalFormatting>
  <conditionalFormatting sqref="L55:L59">
    <cfRule type="containsText" dxfId="44" priority="1" operator="containsText" text="RUPTURA NO PERIODO">
      <formula>NOT(ISERROR(SEARCH("RUPTURA NO PERIODO",L55)))</formula>
    </cfRule>
  </conditionalFormatting>
  <pageMargins left="0.25" right="0.25" top="0.75" bottom="0.75" header="0.3" footer="0.3"/>
  <pageSetup scale="31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58D9-DF8E-41A8-BBD3-286C22DD5269}">
  <sheetPr>
    <tabColor rgb="FF5DC6D7"/>
  </sheetPr>
  <dimension ref="A1:R65"/>
  <sheetViews>
    <sheetView topLeftCell="A45" zoomScale="57" zoomScaleNormal="57" workbookViewId="0">
      <selection activeCell="B63" sqref="B63"/>
    </sheetView>
  </sheetViews>
  <sheetFormatPr defaultRowHeight="14.5" x14ac:dyDescent="0.35"/>
  <cols>
    <col min="2" max="2" width="54.7265625" bestFit="1" customWidth="1"/>
    <col min="3" max="3" width="8.453125" customWidth="1"/>
    <col min="4" max="4" width="8.1796875" customWidth="1"/>
    <col min="5" max="5" width="7" customWidth="1"/>
    <col min="6" max="6" width="9.26953125" bestFit="1" customWidth="1"/>
    <col min="7" max="7" width="11.26953125" style="2" bestFit="1" customWidth="1"/>
    <col min="8" max="8" width="11.08984375" bestFit="1" customWidth="1"/>
    <col min="9" max="9" width="13.6328125" bestFit="1" customWidth="1"/>
    <col min="10" max="11" width="10.90625" customWidth="1"/>
    <col min="12" max="12" width="20.08984375" bestFit="1" customWidth="1"/>
    <col min="15" max="15" width="6.6328125" bestFit="1" customWidth="1"/>
    <col min="16" max="16" width="67.08984375" bestFit="1" customWidth="1"/>
    <col min="18" max="18" width="11.90625" bestFit="1" customWidth="1"/>
  </cols>
  <sheetData>
    <row r="1" spans="1:18" ht="21.5" thickBot="1" x14ac:dyDescent="0.55000000000000004">
      <c r="A1" s="184" t="s">
        <v>249</v>
      </c>
      <c r="B1" s="185"/>
      <c r="C1" s="185"/>
      <c r="D1" s="129"/>
      <c r="E1" s="129"/>
      <c r="F1" s="129"/>
      <c r="G1" s="129"/>
      <c r="H1" s="129"/>
      <c r="I1" s="182" t="s">
        <v>171</v>
      </c>
      <c r="J1" s="182"/>
      <c r="K1" s="182"/>
      <c r="L1" s="182"/>
      <c r="M1" s="183"/>
      <c r="O1" s="157" t="s">
        <v>193</v>
      </c>
      <c r="P1" s="158"/>
      <c r="Q1" s="132" t="s">
        <v>102</v>
      </c>
      <c r="R1" s="131">
        <v>46049</v>
      </c>
    </row>
    <row r="2" spans="1:18" ht="15" thickBot="1" x14ac:dyDescent="0.4">
      <c r="A2" s="186" t="s">
        <v>154</v>
      </c>
      <c r="B2" s="152"/>
      <c r="C2" s="119" t="s">
        <v>174</v>
      </c>
      <c r="D2" s="146" t="s">
        <v>155</v>
      </c>
      <c r="E2" s="146"/>
      <c r="F2" s="146"/>
      <c r="G2" s="146"/>
      <c r="H2" s="156"/>
      <c r="I2" s="146" t="s">
        <v>156</v>
      </c>
      <c r="J2" s="146"/>
      <c r="K2" s="146"/>
      <c r="L2" s="146"/>
      <c r="M2" s="146"/>
      <c r="N2" s="66"/>
      <c r="O2" s="151" t="s">
        <v>192</v>
      </c>
      <c r="P2" s="152"/>
      <c r="Q2" s="145" t="s">
        <v>155</v>
      </c>
      <c r="R2" s="146"/>
    </row>
    <row r="3" spans="1:18" ht="15" thickBot="1" x14ac:dyDescent="0.4">
      <c r="A3" s="5" t="s">
        <v>8</v>
      </c>
      <c r="B3" s="6" t="s">
        <v>164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O3" s="85" t="s">
        <v>8</v>
      </c>
      <c r="P3" s="6" t="s">
        <v>164</v>
      </c>
      <c r="Q3" s="3" t="s">
        <v>2</v>
      </c>
      <c r="R3" s="3" t="s">
        <v>6</v>
      </c>
    </row>
    <row r="4" spans="1:18" ht="19" thickBot="1" x14ac:dyDescent="0.5">
      <c r="A4" s="28">
        <f>('[1]ESCALA DE PRODUÇÃO'!G3)</f>
        <v>7875</v>
      </c>
      <c r="B4" s="29" t="str">
        <f>_xlfn.XLOOKUP(A4,'[1]ESCALA DE PRODUÇÃO'!$AL$1:$AL$1048566,'[1]ESCALA DE PRODUÇÃO'!$AJ$1:$AJ$1048566,"NÃO ENCOTRADO")</f>
        <v>007875 - REFEICAO STROGONOFF FRANGO BENDITO UN</v>
      </c>
      <c r="C4" s="44">
        <v>7</v>
      </c>
      <c r="D4" s="28" t="str">
        <f>_xlfn.XLOOKUP(A4,'[1]ESCALA DE PRODUÇÃO'!$AL$1:$AL$1048566,'[1]ESCALA DE PRODUÇÃO'!$AK$1:$AK$1048566,"0")</f>
        <v>UN/0001</v>
      </c>
      <c r="E4" s="32">
        <f>'[1]ESCALA DE PRODUÇÃO'!I3</f>
        <v>1</v>
      </c>
      <c r="F4" s="45">
        <f>IFERROR(C4/E4,"0")</f>
        <v>7</v>
      </c>
      <c r="G4" s="30">
        <f>_xlfn.XLOOKUP(A4,'[1]ESCALA DE PRODUÇÃO'!$AL$1:$AL$1048566,'[1]ESCALA DE PRODUÇÃO'!$AM$1:$AM$1048566,"SEM PREÇO")</f>
        <v>23.9</v>
      </c>
      <c r="H4" s="31">
        <f>IFERROR(C4*G4,"0")</f>
        <v>167.29999999999998</v>
      </c>
      <c r="I4" s="46">
        <f>_xlfn.XLOOKUP(A4,'DADOS DE VENDA'!G:G,'DADOS DE VENDA'!J:J,"SEM VENDA")</f>
        <v>7</v>
      </c>
      <c r="J4" s="47">
        <f>IFERROR(I4/E4,"0")</f>
        <v>7</v>
      </c>
      <c r="K4" s="48">
        <f>IFERROR(I4*G4,"0")</f>
        <v>167.29999999999998</v>
      </c>
      <c r="L4" s="49" t="str">
        <f>_xlfn.XLOOKUP(A4,'DADOS DE VENDA'!A:A,'DADOS DE VENDA'!E:E,"RUPTURA NO PERIODO")</f>
        <v>19/01 a20/01</v>
      </c>
      <c r="M4" s="88" t="str" cm="1">
        <f t="array" ref="M4">_xlfn.IFS(C4&lt;I4,"ABAIXO",C4&gt;I4,"ACIMA",C4=I4,"OK")</f>
        <v>OK</v>
      </c>
      <c r="O4" s="87">
        <f>A4</f>
        <v>7875</v>
      </c>
      <c r="P4" s="29" t="str">
        <f>_xlfn.XLOOKUP(O4,'[1]ESCALA DE PRODUÇÃO'!$AL$1:$AL$1048566,'[1]ESCALA DE PRODUÇÃO'!$AJ$1:$AJ$1048566,"NÃO ENCOTRADO")</f>
        <v>007875 - REFEICAO STROGONOFF FRANGO BENDITO UN</v>
      </c>
      <c r="Q4" s="44">
        <f>C4</f>
        <v>7</v>
      </c>
      <c r="R4" s="45">
        <f>(F4)</f>
        <v>7</v>
      </c>
    </row>
    <row r="5" spans="1:18" ht="19" thickBot="1" x14ac:dyDescent="0.5">
      <c r="A5" s="28">
        <f>('[1]ESCALA DE PRODUÇÃO'!G4)</f>
        <v>7877</v>
      </c>
      <c r="B5" s="29" t="str">
        <f>_xlfn.XLOOKUP(A5,'[1]ESCALA DE PRODUÇÃO'!$AL$1:$AL$1048566,'[1]ESCALA DE PRODUÇÃO'!$AJ$1:$AJ$1048566,"NÃO ENCOTRADO")</f>
        <v>007877 - REFEICAO TIRINHA CARNE CHINESA BENDITO UN</v>
      </c>
      <c r="C5" s="44">
        <v>11</v>
      </c>
      <c r="D5" s="28" t="str">
        <f>_xlfn.XLOOKUP(A5,'[1]ESCALA DE PRODUÇÃO'!$AL$1:$AL$1048566,'[1]ESCALA DE PRODUÇÃO'!$AK$1:$AK$1048566,"0")</f>
        <v>UN/0001</v>
      </c>
      <c r="E5" s="32">
        <f>'[1]ESCALA DE PRODUÇÃO'!I4</f>
        <v>1</v>
      </c>
      <c r="F5" s="45">
        <f>IFERROR(C5/E5,"0")</f>
        <v>11</v>
      </c>
      <c r="G5" s="30">
        <f>_xlfn.XLOOKUP(A5,'[1]ESCALA DE PRODUÇÃO'!$AL$1:$AL$1048566,'[1]ESCALA DE PRODUÇÃO'!$AM$1:$AM$1048566,"SEM PREÇO")</f>
        <v>24.9</v>
      </c>
      <c r="H5" s="33">
        <f>IFERROR(C5*G5,"0")</f>
        <v>273.89999999999998</v>
      </c>
      <c r="I5" s="46">
        <f>_xlfn.XLOOKUP(A5,'DADOS DE VENDA'!G:G,'DADOS DE VENDA'!J:J,"SEM VENDA")</f>
        <v>14</v>
      </c>
      <c r="J5" s="42">
        <f>IFERROR(I5/E5,"0")</f>
        <v>14</v>
      </c>
      <c r="K5" s="43">
        <f>IFERROR(I5*G5,"0")</f>
        <v>348.59999999999997</v>
      </c>
      <c r="L5" s="51" t="str">
        <f>_xlfn.XLOOKUP(A5,'DADOS DE VENDA'!A:A,'DADOS DE VENDA'!E:E,"RUPTURA NO PERIODO")</f>
        <v>19/01 a20/01</v>
      </c>
      <c r="M5" s="88" t="str" cm="1">
        <f t="array" ref="M5">_xlfn.IFS(C5&lt;I5,"ABAIXO",C5&gt;I5,"ACIMA",C5=I5,"OK")</f>
        <v>ABAIXO</v>
      </c>
      <c r="O5" s="87">
        <f t="shared" ref="O5:O27" si="0">A5</f>
        <v>7877</v>
      </c>
      <c r="P5" s="29" t="str">
        <f>_xlfn.XLOOKUP(O5,'[1]ESCALA DE PRODUÇÃO'!$AL$1:$AL$1048566,'[1]ESCALA DE PRODUÇÃO'!$AJ$1:$AJ$1048566,"NÃO ENCOTRADO")</f>
        <v>007877 - REFEICAO TIRINHA CARNE CHINESA BENDITO UN</v>
      </c>
      <c r="Q5" s="44">
        <f t="shared" ref="Q5:Q27" si="1">C5</f>
        <v>11</v>
      </c>
      <c r="R5" s="45">
        <f t="shared" ref="R5:R27" si="2">(F5)</f>
        <v>11</v>
      </c>
    </row>
    <row r="6" spans="1:18" ht="19" thickBot="1" x14ac:dyDescent="0.5">
      <c r="A6" s="28">
        <f>('[1]ESCALA DE PRODUÇÃO'!G5)</f>
        <v>7305</v>
      </c>
      <c r="B6" s="29" t="str">
        <f>_xlfn.XLOOKUP(A6,'[1]ESCALA DE PRODUÇÃO'!$AL$1:$AL$1048566,'[1]ESCALA DE PRODUÇÃO'!$AJ$1:$AJ$1048566,"NÃO ENCOTRADO")</f>
        <v>NÃO ENCOTRADO</v>
      </c>
      <c r="C6" s="44">
        <v>0</v>
      </c>
      <c r="D6" s="28" t="str">
        <f>_xlfn.XLOOKUP(A6,'[1]ESCALA DE PRODUÇÃO'!$AL$1:$AL$1048566,'[1]ESCALA DE PRODUÇÃO'!$AK$1:$AK$1048566,"0")</f>
        <v>0</v>
      </c>
      <c r="E6" s="32">
        <f>'[1]ESCALA DE PRODUÇÃO'!I5</f>
        <v>1</v>
      </c>
      <c r="F6" s="45">
        <f>IFERROR(C6/E6,"0")</f>
        <v>0</v>
      </c>
      <c r="G6" s="30" t="str">
        <f>_xlfn.XLOOKUP(A6,'[1]ESCALA DE PRODUÇÃO'!$AL$1:$AL$1048566,'[1]ESCALA DE PRODUÇÃO'!$AM$1:$AM$1048566,"SEM PREÇO")</f>
        <v>SEM PREÇO</v>
      </c>
      <c r="H6" s="33" t="str">
        <f>IFERROR(C6*G6,"0")</f>
        <v>0</v>
      </c>
      <c r="I6" s="46" t="str">
        <f>_xlfn.XLOOKUP(A6,'DADOS DE VENDA'!G:G,'DADOS DE VENDA'!J:J,"SEM VENDA")</f>
        <v>SEM VENDA</v>
      </c>
      <c r="J6" s="42" t="str">
        <f>IFERROR(I6/E6,"0")</f>
        <v>0</v>
      </c>
      <c r="K6" s="43" t="str">
        <f>IFERROR(I6*G6,"0")</f>
        <v>0</v>
      </c>
      <c r="L6" s="51" t="str">
        <f>_xlfn.XLOOKUP(A6,'DADOS DE VENDA'!A:A,'DADOS DE VENDA'!E:E,"RUPTURA NO PERIODO")</f>
        <v>RUPTURA NO PERIODO</v>
      </c>
      <c r="M6" s="88" t="str" cm="1">
        <f t="array" ref="M6">_xlfn.IFS(C6&lt;I6,"ABAIXO",C6&gt;I6,"ACIMA",C6=I6,"OK")</f>
        <v>ABAIXO</v>
      </c>
      <c r="O6" s="87">
        <f t="shared" si="0"/>
        <v>7305</v>
      </c>
      <c r="P6" s="29" t="str">
        <f>_xlfn.XLOOKUP(O6,'[1]ESCALA DE PRODUÇÃO'!$AL$1:$AL$1048566,'[1]ESCALA DE PRODUÇÃO'!$AJ$1:$AJ$1048566,"NÃO ENCOTRADO")</f>
        <v>NÃO ENCOTRADO</v>
      </c>
      <c r="Q6" s="44">
        <f t="shared" si="1"/>
        <v>0</v>
      </c>
      <c r="R6" s="45">
        <f t="shared" si="2"/>
        <v>0</v>
      </c>
    </row>
    <row r="7" spans="1:18" ht="15" thickBot="1" x14ac:dyDescent="0.4">
      <c r="A7" s="28">
        <f>('[1]ESCALA DE PRODUÇÃO'!G6)</f>
        <v>0</v>
      </c>
      <c r="B7" s="6" t="s">
        <v>165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O7" s="85" t="s">
        <v>8</v>
      </c>
      <c r="P7" s="6" t="s">
        <v>165</v>
      </c>
      <c r="Q7" s="3" t="s">
        <v>2</v>
      </c>
      <c r="R7" s="3" t="s">
        <v>6</v>
      </c>
    </row>
    <row r="8" spans="1:18" ht="19" thickBot="1" x14ac:dyDescent="0.5">
      <c r="A8" s="28">
        <f>('[1]ESCALA DE PRODUÇÃO'!G7)</f>
        <v>8480</v>
      </c>
      <c r="B8" s="29" t="str">
        <f>_xlfn.XLOOKUP(A8,'[1]ESCALA DE PRODUÇÃO'!$AL$1:$AL$1048566,'[1]ESCALA DE PRODUÇÃO'!$AJ$1:$AJ$1048566,"NÃO ENCOTRADO")</f>
        <v>008480 - ROTISSERIA MACARRONADA A BOLONHESA BENDITO KG</v>
      </c>
      <c r="C8" s="44">
        <v>1.5</v>
      </c>
      <c r="D8" s="28" t="str">
        <f>_xlfn.XLOOKUP(A8,'[1]ESCALA DE PRODUÇÃO'!$AL$1:$AL$1048566,'[1]ESCALA DE PRODUÇÃO'!$AK$1:$AK$1048566,"0")</f>
        <v>KG/0001</v>
      </c>
      <c r="E8" s="32">
        <f>'[1]ESCALA DE PRODUÇÃO'!I7</f>
        <v>0.35</v>
      </c>
      <c r="F8" s="45">
        <f>IFERROR(C8/E8,"0")</f>
        <v>4.2857142857142856</v>
      </c>
      <c r="G8" s="30">
        <f>_xlfn.XLOOKUP(A8,'[1]ESCALA DE PRODUÇÃO'!$AL$1:$AL$1048566,'[1]ESCALA DE PRODUÇÃO'!$AM$1:$AM$1048566,"SEM PREÇO")</f>
        <v>39.9</v>
      </c>
      <c r="H8" s="33">
        <f>IFERROR(C8*G8,"0")</f>
        <v>59.849999999999994</v>
      </c>
      <c r="I8" s="46">
        <f>_xlfn.XLOOKUP(A8,'DADOS DE VENDA'!G:G,'DADOS DE VENDA'!J:J,"SEM VENDA")</f>
        <v>1.74</v>
      </c>
      <c r="J8" s="42">
        <f>IFERROR(I8/E8,"0")</f>
        <v>4.9714285714285715</v>
      </c>
      <c r="K8" s="43">
        <f>IFERROR(I8*G8,"0")</f>
        <v>69.426000000000002</v>
      </c>
      <c r="L8" s="51" t="str">
        <f>_xlfn.XLOOKUP(A8,'DADOS DE VENDA'!A:A,'DADOS DE VENDA'!E:E,"RUPTURA NO PERIODO")</f>
        <v>RUPTURA NO PERIODO</v>
      </c>
      <c r="M8" s="88" t="str" cm="1">
        <f t="array" ref="M8">_xlfn.IFS(C8&lt;I8,"ABAIXO",C8&gt;I8,"ACIMA",C8=I8,"OK")</f>
        <v>ABAIXO</v>
      </c>
      <c r="O8" s="87">
        <f t="shared" si="0"/>
        <v>8480</v>
      </c>
      <c r="P8" s="29" t="str">
        <f>_xlfn.XLOOKUP(O8,'[1]ESCALA DE PRODUÇÃO'!$AL$1:$AL$1048566,'[1]ESCALA DE PRODUÇÃO'!$AJ$1:$AJ$1048566,"NÃO ENCOTRADO")</f>
        <v>008480 - ROTISSERIA MACARRONADA A BOLONHESA BENDITO KG</v>
      </c>
      <c r="Q8" s="44">
        <f t="shared" si="1"/>
        <v>1.5</v>
      </c>
      <c r="R8" s="45">
        <f t="shared" si="2"/>
        <v>4.2857142857142856</v>
      </c>
    </row>
    <row r="9" spans="1:18" ht="19" thickBot="1" x14ac:dyDescent="0.5">
      <c r="A9" s="28">
        <f>('[1]ESCALA DE PRODUÇÃO'!G8)</f>
        <v>8442</v>
      </c>
      <c r="B9" s="29" t="str">
        <f>_xlfn.XLOOKUP(A9,'[1]ESCALA DE PRODUÇÃO'!$AL$1:$AL$1048566,'[1]ESCALA DE PRODUÇÃO'!$AJ$1:$AJ$1048566,"NÃO ENCOTRADO")</f>
        <v>008442 - ROTISSERIA MACARRAO C/CALABRESA MOLHO ROSE BENDITO KG</v>
      </c>
      <c r="C9" s="44">
        <v>1.5</v>
      </c>
      <c r="D9" s="28" t="str">
        <f>_xlfn.XLOOKUP(A9,'[1]ESCALA DE PRODUÇÃO'!$AL$1:$AL$1048566,'[1]ESCALA DE PRODUÇÃO'!$AK$1:$AK$1048566,"0")</f>
        <v>KG/0001</v>
      </c>
      <c r="E9" s="32">
        <f>'[1]ESCALA DE PRODUÇÃO'!I8</f>
        <v>0.35</v>
      </c>
      <c r="F9" s="45">
        <f>IFERROR(C9/E9,"0")</f>
        <v>4.2857142857142856</v>
      </c>
      <c r="G9" s="30">
        <f>_xlfn.XLOOKUP(A9,'[1]ESCALA DE PRODUÇÃO'!$AL$1:$AL$1048566,'[1]ESCALA DE PRODUÇÃO'!$AM$1:$AM$1048566,"SEM PREÇO")</f>
        <v>38.9</v>
      </c>
      <c r="H9" s="33">
        <f>IFERROR(C9*G9,"0")</f>
        <v>58.349999999999994</v>
      </c>
      <c r="I9" s="46" t="str">
        <f>_xlfn.XLOOKUP(A9,'DADOS DE VENDA'!G:G,'DADOS DE VENDA'!J:J,"SEM VENDA")</f>
        <v>SEM VENDA</v>
      </c>
      <c r="J9" s="42" t="str">
        <f>IFERROR(I9/E9,"0")</f>
        <v>0</v>
      </c>
      <c r="K9" s="43" t="str">
        <f>IFERROR(I9*G9,"0")</f>
        <v>0</v>
      </c>
      <c r="L9" s="51" t="str">
        <f>_xlfn.XLOOKUP(A9,'DADOS DE VENDA'!A:A,'DADOS DE VENDA'!E:E,"RUPTURA NO PERIODO")</f>
        <v>19/01 a20/01</v>
      </c>
      <c r="M9" s="88" t="str" cm="1">
        <f t="array" ref="M9">_xlfn.IFS(C9&lt;I9,"ABAIXO",C9&gt;I9,"ACIMA",C9=I9,"OK")</f>
        <v>ABAIXO</v>
      </c>
      <c r="O9" s="87">
        <f t="shared" si="0"/>
        <v>8442</v>
      </c>
      <c r="P9" s="29" t="str">
        <f>_xlfn.XLOOKUP(O9,'[1]ESCALA DE PRODUÇÃO'!$AL$1:$AL$1048566,'[1]ESCALA DE PRODUÇÃO'!$AJ$1:$AJ$1048566,"NÃO ENCOTRADO")</f>
        <v>008442 - ROTISSERIA MACARRAO C/CALABRESA MOLHO ROSE BENDITO KG</v>
      </c>
      <c r="Q9" s="44">
        <f t="shared" si="1"/>
        <v>1.5</v>
      </c>
      <c r="R9" s="45">
        <f t="shared" si="2"/>
        <v>4.2857142857142856</v>
      </c>
    </row>
    <row r="10" spans="1:18" ht="19" thickBot="1" x14ac:dyDescent="0.5">
      <c r="A10" s="28">
        <f>('[1]ESCALA DE PRODUÇÃO'!G9)</f>
        <v>9019</v>
      </c>
      <c r="B10" s="29" t="str">
        <f>_xlfn.XLOOKUP(A10,'[1]ESCALA DE PRODUÇÃO'!$AL$1:$AL$1048566,'[1]ESCALA DE PRODUÇÃO'!$AJ$1:$AJ$1048566,"NÃO ENCOTRADO")</f>
        <v>NÃO ENCOTRADO</v>
      </c>
      <c r="C10" s="44">
        <v>0</v>
      </c>
      <c r="D10" s="28" t="str">
        <f>_xlfn.XLOOKUP(A10,'[1]ESCALA DE PRODUÇÃO'!$AL$1:$AL$1048566,'[1]ESCALA DE PRODUÇÃO'!$AK$1:$AK$1048566,"0")</f>
        <v>0</v>
      </c>
      <c r="E10" s="32">
        <f>'[1]ESCALA DE PRODUÇÃO'!I9</f>
        <v>0</v>
      </c>
      <c r="F10" s="45" t="str">
        <f>IFERROR(C10/E10,"0")</f>
        <v>0</v>
      </c>
      <c r="G10" s="30" t="str">
        <f>_xlfn.XLOOKUP(A10,'[1]ESCALA DE PRODUÇÃO'!$AL$1:$AL$1048566,'[1]ESCALA DE PRODUÇÃO'!$AM$1:$AM$1048566,"SEM PREÇO")</f>
        <v>SEM PREÇO</v>
      </c>
      <c r="H10" s="33" t="str">
        <f>IFERROR(C10*G10,"0")</f>
        <v>0</v>
      </c>
      <c r="I10" s="46" t="str">
        <f>_xlfn.XLOOKUP(A10,'DADOS DE VENDA'!G:G,'DADOS DE VENDA'!J:J,"SEM VENDA")</f>
        <v>SEM VENDA</v>
      </c>
      <c r="J10" s="42" t="str">
        <f>IFERROR(I10/E10,"0")</f>
        <v>0</v>
      </c>
      <c r="K10" s="43" t="str">
        <f>IFERROR(I10*G10,"0")</f>
        <v>0</v>
      </c>
      <c r="L10" s="51" t="str">
        <f>_xlfn.XLOOKUP(A10,'DADOS DE VENDA'!A:A,'DADOS DE VENDA'!E:E,"RUPTURA NO PERIODO")</f>
        <v>RUPTURA NO PERIODO</v>
      </c>
      <c r="M10" s="88" t="str" cm="1">
        <f t="array" ref="M10">_xlfn.IFS(C10&lt;I10,"ABAIXO",C10&gt;I10,"ACIMA",C10=I10,"OK")</f>
        <v>ABAIXO</v>
      </c>
      <c r="O10" s="87">
        <f t="shared" si="0"/>
        <v>9019</v>
      </c>
      <c r="P10" s="29" t="str">
        <f>_xlfn.XLOOKUP(O10,'[1]ESCALA DE PRODUÇÃO'!$AL$1:$AL$1048566,'[1]ESCALA DE PRODUÇÃO'!$AJ$1:$AJ$1048566,"NÃO ENCOTRADO")</f>
        <v>NÃO ENCOTRADO</v>
      </c>
      <c r="Q10" s="44">
        <f t="shared" si="1"/>
        <v>0</v>
      </c>
      <c r="R10" s="45" t="str">
        <f t="shared" si="2"/>
        <v>0</v>
      </c>
    </row>
    <row r="11" spans="1:18" ht="15" thickBot="1" x14ac:dyDescent="0.4">
      <c r="A11" s="28">
        <f>('[1]ESCALA DE PRODUÇÃO'!G10)</f>
        <v>0</v>
      </c>
      <c r="B11" s="6" t="s">
        <v>166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O11" s="85" t="s">
        <v>8</v>
      </c>
      <c r="P11" s="6" t="s">
        <v>166</v>
      </c>
      <c r="Q11" s="3" t="s">
        <v>2</v>
      </c>
      <c r="R11" s="3" t="s">
        <v>6</v>
      </c>
    </row>
    <row r="12" spans="1:18" ht="19" thickBot="1" x14ac:dyDescent="0.5">
      <c r="A12" s="28">
        <f>('[1]ESCALA DE PRODUÇÃO'!G11)</f>
        <v>8028</v>
      </c>
      <c r="B12" s="29" t="str">
        <f>_xlfn.XLOOKUP(A12,'[1]ESCALA DE PRODUÇÃO'!$AL$1:$AL$1048566,'[1]ESCALA DE PRODUÇÃO'!$AJ$1:$AJ$1048566,"NÃO ENCOTRADO")</f>
        <v>008028 - ROTISSERIA ARROZ BRANCO BENDITO KG</v>
      </c>
      <c r="C12" s="44">
        <v>1</v>
      </c>
      <c r="D12" s="28" t="str">
        <f>_xlfn.XLOOKUP(A12,'[1]ESCALA DE PRODUÇÃO'!$AL$1:$AL$1048566,'[1]ESCALA DE PRODUÇÃO'!$AK$1:$AK$1048566,"0")</f>
        <v>KG/0001</v>
      </c>
      <c r="E12" s="32">
        <f>'[1]ESCALA DE PRODUÇÃO'!I11</f>
        <v>0.12</v>
      </c>
      <c r="F12" s="45">
        <f>IFERROR(C12/E12,"0")</f>
        <v>8.3333333333333339</v>
      </c>
      <c r="G12" s="30">
        <f>_xlfn.XLOOKUP(A12,'[1]ESCALA DE PRODUÇÃO'!$AL$1:$AL$1048566,'[1]ESCALA DE PRODUÇÃO'!$AM$1:$AM$1048566,"SEM PREÇO")</f>
        <v>28.9</v>
      </c>
      <c r="H12" s="33">
        <f>IFERROR(C12*G12,"0")</f>
        <v>28.9</v>
      </c>
      <c r="I12" s="46">
        <f>_xlfn.XLOOKUP(A12,'DADOS DE VENDA'!G:G,'DADOS DE VENDA'!J:J,"SEM VENDA")</f>
        <v>1.28</v>
      </c>
      <c r="J12" s="42">
        <f>IFERROR(I12/E12,"0")</f>
        <v>10.666666666666668</v>
      </c>
      <c r="K12" s="43">
        <f>IFERROR(I12*G12,"0")</f>
        <v>36.991999999999997</v>
      </c>
      <c r="L12" s="51" t="str">
        <f>_xlfn.XLOOKUP(A12,'DADOS DE VENDA'!A:A,'DADOS DE VENDA'!E:E,"RUPTURA NO PERIODO")</f>
        <v>19/01 a20/01</v>
      </c>
      <c r="M12" s="88" t="str" cm="1">
        <f t="array" ref="M12">_xlfn.IFS(C12&lt;I12,"ABAIXO",C12&gt;I12,"ACIMA",C12=I12,"OK")</f>
        <v>ABAIXO</v>
      </c>
      <c r="O12" s="87">
        <f t="shared" si="0"/>
        <v>8028</v>
      </c>
      <c r="P12" s="29" t="str">
        <f>_xlfn.XLOOKUP(O12,'[1]ESCALA DE PRODUÇÃO'!$AL$1:$AL$1048566,'[1]ESCALA DE PRODUÇÃO'!$AJ$1:$AJ$1048566,"NÃO ENCOTRADO")</f>
        <v>008028 - ROTISSERIA ARROZ BRANCO BENDITO KG</v>
      </c>
      <c r="Q12" s="44">
        <f t="shared" si="1"/>
        <v>1</v>
      </c>
      <c r="R12" s="45">
        <f t="shared" si="2"/>
        <v>8.3333333333333339</v>
      </c>
    </row>
    <row r="13" spans="1:18" ht="19" thickBot="1" x14ac:dyDescent="0.5">
      <c r="A13" s="28">
        <f>('[1]ESCALA DE PRODUÇÃO'!G12)</f>
        <v>346</v>
      </c>
      <c r="B13" s="29" t="str">
        <f>_xlfn.XLOOKUP(A13,'[1]ESCALA DE PRODUÇÃO'!$AL$1:$AL$1048566,'[1]ESCALA DE PRODUÇÃO'!$AJ$1:$AJ$1048566,"NÃO ENCOTRADO")</f>
        <v>NÃO ENCOTRADO</v>
      </c>
      <c r="C13" s="44">
        <v>0</v>
      </c>
      <c r="D13" s="28" t="str">
        <f>_xlfn.XLOOKUP(A13,'[1]ESCALA DE PRODUÇÃO'!$AL$1:$AL$1048566,'[1]ESCALA DE PRODUÇÃO'!$AK$1:$AK$1048566,"0")</f>
        <v>0</v>
      </c>
      <c r="E13" s="32">
        <f>'[1]ESCALA DE PRODUÇÃO'!I12</f>
        <v>0</v>
      </c>
      <c r="F13" s="45" t="str">
        <f>IFERROR(C13/E13,"0")</f>
        <v>0</v>
      </c>
      <c r="G13" s="30" t="str">
        <f>_xlfn.XLOOKUP(A13,'[1]ESCALA DE PRODUÇÃO'!$AL$1:$AL$1048566,'[1]ESCALA DE PRODUÇÃO'!$AM$1:$AM$1048566,"SEM PREÇO")</f>
        <v>SEM PREÇO</v>
      </c>
      <c r="H13" s="33" t="str">
        <f>IFERROR(C13*G13,"0")</f>
        <v>0</v>
      </c>
      <c r="I13" s="46" t="str">
        <f>_xlfn.XLOOKUP(A13,'DADOS DE VENDA'!G:G,'DADOS DE VENDA'!J:J,"SEM VENDA")</f>
        <v>SEM VENDA</v>
      </c>
      <c r="J13" s="42" t="str">
        <f>IFERROR(I13/E13,"0")</f>
        <v>0</v>
      </c>
      <c r="K13" s="43" t="str">
        <f>IFERROR(I13*G13,"0")</f>
        <v>0</v>
      </c>
      <c r="L13" s="51" t="str">
        <f>_xlfn.XLOOKUP(A13,'DADOS DE VENDA'!A:A,'DADOS DE VENDA'!E:E,"RUPTURA NO PERIODO")</f>
        <v>RUPTURA NO PERIODO</v>
      </c>
      <c r="M13" s="88" t="str" cm="1">
        <f t="array" ref="M13">_xlfn.IFS(C13&lt;I13,"ABAIXO",C13&gt;I13,"ACIMA",C13=I13,"OK")</f>
        <v>ABAIXO</v>
      </c>
      <c r="O13" s="87">
        <f t="shared" si="0"/>
        <v>346</v>
      </c>
      <c r="P13" s="29" t="str">
        <f>_xlfn.XLOOKUP(O13,'[1]ESCALA DE PRODUÇÃO'!$AL$1:$AL$1048566,'[1]ESCALA DE PRODUÇÃO'!$AJ$1:$AJ$1048566,"NÃO ENCOTRADO")</f>
        <v>NÃO ENCOTRADO</v>
      </c>
      <c r="Q13" s="44">
        <f t="shared" si="1"/>
        <v>0</v>
      </c>
      <c r="R13" s="45" t="str">
        <f t="shared" si="2"/>
        <v>0</v>
      </c>
    </row>
    <row r="14" spans="1:18" ht="15" thickBot="1" x14ac:dyDescent="0.4">
      <c r="A14" s="28">
        <f>('[1]ESCALA DE PRODUÇÃO'!G13)</f>
        <v>0</v>
      </c>
      <c r="B14" s="6" t="s">
        <v>167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O14" s="85" t="s">
        <v>8</v>
      </c>
      <c r="P14" s="6" t="s">
        <v>167</v>
      </c>
      <c r="Q14" s="3" t="s">
        <v>2</v>
      </c>
      <c r="R14" s="3" t="s">
        <v>6</v>
      </c>
    </row>
    <row r="15" spans="1:18" ht="19" thickBot="1" x14ac:dyDescent="0.5">
      <c r="A15" s="28">
        <f>('[1]ESCALA DE PRODUÇÃO'!G14)</f>
        <v>8328</v>
      </c>
      <c r="B15" s="29" t="str">
        <f>_xlfn.XLOOKUP(A15,'[1]ESCALA DE PRODUÇÃO'!$AL$1:$AL$1048566,'[1]ESCALA DE PRODUÇÃO'!$AJ$1:$AJ$1048566,"NÃO ENCOTRADO")</f>
        <v>008328 - ROTISSERIA FEIJAO BENDITO KG</v>
      </c>
      <c r="C15" s="44">
        <v>1</v>
      </c>
      <c r="D15" s="28" t="str">
        <f>_xlfn.XLOOKUP(A15,'[1]ESCALA DE PRODUÇÃO'!$AL$1:$AL$1048566,'[1]ESCALA DE PRODUÇÃO'!$AK$1:$AK$1048566,"0")</f>
        <v>KG/0001</v>
      </c>
      <c r="E15" s="32">
        <f>'[1]ESCALA DE PRODUÇÃO'!I14</f>
        <v>0.18</v>
      </c>
      <c r="F15" s="45">
        <f>IFERROR(C15/E15,"0")</f>
        <v>5.5555555555555554</v>
      </c>
      <c r="G15" s="30">
        <f>_xlfn.XLOOKUP(A15,'[1]ESCALA DE PRODUÇÃO'!$AL$1:$AL$1048566,'[1]ESCALA DE PRODUÇÃO'!$AM$1:$AM$1048566,"SEM PREÇO")</f>
        <v>34.9</v>
      </c>
      <c r="H15" s="33">
        <f>IFERROR(C15*G15,"0")</f>
        <v>34.9</v>
      </c>
      <c r="I15" s="46">
        <f>_xlfn.XLOOKUP(A15,'DADOS DE VENDA'!G:G,'DADOS DE VENDA'!J:J,"SEM VENDA")</f>
        <v>0.75</v>
      </c>
      <c r="J15" s="42">
        <f>IFERROR(I15/E15,"0")</f>
        <v>4.166666666666667</v>
      </c>
      <c r="K15" s="43">
        <f>IFERROR(I15*G15,"0")</f>
        <v>26.174999999999997</v>
      </c>
      <c r="L15" s="51" t="str">
        <f>_xlfn.XLOOKUP(A15,'DADOS DE VENDA'!A:A,'DADOS DE VENDA'!E:E,"RUPTURA NO PERIODO")</f>
        <v>19/01 a20/01</v>
      </c>
      <c r="M15" s="88" t="str" cm="1">
        <f t="array" ref="M15">_xlfn.IFS(C15&lt;I15,"ABAIXO",C15&gt;I15,"ACIMA",C15=I15,"OK")</f>
        <v>ACIMA</v>
      </c>
      <c r="O15" s="87">
        <f t="shared" si="0"/>
        <v>8328</v>
      </c>
      <c r="P15" s="29" t="str">
        <f>_xlfn.XLOOKUP(O15,'[1]ESCALA DE PRODUÇÃO'!$AL$1:$AL$1048566,'[1]ESCALA DE PRODUÇÃO'!$AJ$1:$AJ$1048566,"NÃO ENCOTRADO")</f>
        <v>008328 - ROTISSERIA FEIJAO BENDITO KG</v>
      </c>
      <c r="Q15" s="44">
        <f t="shared" si="1"/>
        <v>1</v>
      </c>
      <c r="R15" s="45">
        <f t="shared" si="2"/>
        <v>5.5555555555555554</v>
      </c>
    </row>
    <row r="16" spans="1:18" ht="19" thickBot="1" x14ac:dyDescent="0.5">
      <c r="A16" s="28">
        <f>('[1]ESCALA DE PRODUÇÃO'!G15)</f>
        <v>0</v>
      </c>
      <c r="B16" s="29" t="str">
        <f>_xlfn.XLOOKUP(A16,'[1]ESCALA DE PRODUÇÃO'!$AL$1:$AL$1048566,'[1]ESCALA DE PRODUÇÃO'!$AJ$1:$AJ$1048566,"NÃO ENCOTRADO")</f>
        <v>NÃO ENCOTRADO</v>
      </c>
      <c r="C16" s="44">
        <v>0</v>
      </c>
      <c r="D16" s="28" t="str">
        <f>_xlfn.XLOOKUP(A16,'[1]ESCALA DE PRODUÇÃO'!$AL$1:$AL$1048566,'[1]ESCALA DE PRODUÇÃO'!$AK$1:$AK$1048566,"0")</f>
        <v>0</v>
      </c>
      <c r="E16" s="32">
        <f>'[1]ESCALA DE PRODUÇÃO'!I15</f>
        <v>0</v>
      </c>
      <c r="F16" s="45" t="str">
        <f>IFERROR(C16/E16,"0")</f>
        <v>0</v>
      </c>
      <c r="G16" s="30" t="str">
        <f>_xlfn.XLOOKUP(A16,'[1]ESCALA DE PRODUÇÃO'!$AL$1:$AL$1048566,'[1]ESCALA DE PRODUÇÃO'!$AM$1:$AM$1048566,"SEM PREÇO")</f>
        <v>SEM PREÇO</v>
      </c>
      <c r="H16" s="33" t="str">
        <f>IFERROR(C16*G16,"0")</f>
        <v>0</v>
      </c>
      <c r="I16" s="46" t="str">
        <f>_xlfn.XLOOKUP(A16,'DADOS DE VENDA'!G:G,'DADOS DE VENDA'!J:J,"SEM VENDA")</f>
        <v>SEM VENDA</v>
      </c>
      <c r="J16" s="42" t="str">
        <f>IFERROR(I16/E16,"0")</f>
        <v>0</v>
      </c>
      <c r="K16" s="43" t="str">
        <f>IFERROR(I16*G16,"0")</f>
        <v>0</v>
      </c>
      <c r="L16" s="51" t="str">
        <f>_xlfn.XLOOKUP(A16,'DADOS DE VENDA'!A:A,'DADOS DE VENDA'!E:E,"RUPTURA NO PERIODO")</f>
        <v>RUPTURA NO PERIODO</v>
      </c>
      <c r="M16" s="88" t="str" cm="1">
        <f t="array" ref="M16">_xlfn.IFS(C16&lt;I16,"ABAIXO",C16&gt;I16,"ACIMA",C16=I16,"OK")</f>
        <v>ABAIXO</v>
      </c>
      <c r="O16" s="87">
        <f t="shared" si="0"/>
        <v>0</v>
      </c>
      <c r="P16" s="29" t="str">
        <f>_xlfn.XLOOKUP(O16,'[1]ESCALA DE PRODUÇÃO'!$AL$1:$AL$1048566,'[1]ESCALA DE PRODUÇÃO'!$AJ$1:$AJ$1048566,"NÃO ENCOTRADO")</f>
        <v>NÃO ENCOTRADO</v>
      </c>
      <c r="Q16" s="44">
        <f t="shared" si="1"/>
        <v>0</v>
      </c>
      <c r="R16" s="45" t="str">
        <f t="shared" si="2"/>
        <v>0</v>
      </c>
    </row>
    <row r="17" spans="1:18" ht="15" thickBot="1" x14ac:dyDescent="0.4">
      <c r="A17" s="28">
        <f>('[1]ESCALA DE PRODUÇÃO'!G16)</f>
        <v>0</v>
      </c>
      <c r="B17" s="6" t="s">
        <v>168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O17" s="85" t="s">
        <v>8</v>
      </c>
      <c r="P17" s="6" t="s">
        <v>168</v>
      </c>
      <c r="Q17" s="3" t="s">
        <v>2</v>
      </c>
      <c r="R17" s="3" t="s">
        <v>6</v>
      </c>
    </row>
    <row r="18" spans="1:18" ht="19" thickBot="1" x14ac:dyDescent="0.5">
      <c r="A18" s="28">
        <f>('[1]ESCALA DE PRODUÇÃO'!G17)</f>
        <v>8080</v>
      </c>
      <c r="B18" s="29" t="str">
        <f>_xlfn.XLOOKUP(A18,'[1]ESCALA DE PRODUÇÃO'!$AL$1:$AL$1048566,'[1]ESCALA DE PRODUÇÃO'!$AJ$1:$AJ$1048566,"NÃO ENCOTRADO")</f>
        <v>008080 - ROTISSERIA BANANA BENDITO KG</v>
      </c>
      <c r="C18" s="44">
        <v>0.5</v>
      </c>
      <c r="D18" s="28" t="str">
        <f>_xlfn.XLOOKUP(A18,'[1]ESCALA DE PRODUÇÃO'!$AL$1:$AL$1048566,'[1]ESCALA DE PRODUÇÃO'!$AK$1:$AK$1048566,"0")</f>
        <v>KG/0001</v>
      </c>
      <c r="E18" s="32">
        <f>'[1]ESCALA DE PRODUÇÃO'!I17</f>
        <v>0.12</v>
      </c>
      <c r="F18" s="45">
        <f>IFERROR(C18/E18,"0")</f>
        <v>4.166666666666667</v>
      </c>
      <c r="G18" s="30">
        <f>_xlfn.XLOOKUP(A18,'[1]ESCALA DE PRODUÇÃO'!$AL$1:$AL$1048566,'[1]ESCALA DE PRODUÇÃO'!$AM$1:$AM$1048566,"SEM PREÇO")</f>
        <v>31.9</v>
      </c>
      <c r="H18" s="33">
        <f>IFERROR(C18*G18,"0")</f>
        <v>15.95</v>
      </c>
      <c r="I18" s="46">
        <f>_xlfn.XLOOKUP(A18,'DADOS DE VENDA'!G:G,'DADOS DE VENDA'!J:J,"SEM VENDA")</f>
        <v>0.48</v>
      </c>
      <c r="J18" s="42">
        <f>IFERROR(I18/E18,"0")</f>
        <v>4</v>
      </c>
      <c r="K18" s="43">
        <f>IFERROR(I18*G18,"0")</f>
        <v>15.311999999999999</v>
      </c>
      <c r="L18" s="51" t="str">
        <f>_xlfn.XLOOKUP(A18,'DADOS DE VENDA'!A:A,'DADOS DE VENDA'!E:E,"RUPTURA NO PERIODO")</f>
        <v>19/01 a20/01</v>
      </c>
      <c r="M18" s="88" t="str" cm="1">
        <f t="array" ref="M18">_xlfn.IFS(C18&lt;I18,"ABAIXO",C18&gt;I18,"ACIMA",C18=I18,"OK")</f>
        <v>ACIMA</v>
      </c>
      <c r="O18" s="87">
        <f t="shared" si="0"/>
        <v>8080</v>
      </c>
      <c r="P18" s="29" t="str">
        <f>_xlfn.XLOOKUP(O18,'[1]ESCALA DE PRODUÇÃO'!$AL$1:$AL$1048566,'[1]ESCALA DE PRODUÇÃO'!$AJ$1:$AJ$1048566,"NÃO ENCOTRADO")</f>
        <v>008080 - ROTISSERIA BANANA BENDITO KG</v>
      </c>
      <c r="Q18" s="44">
        <f t="shared" si="1"/>
        <v>0.5</v>
      </c>
      <c r="R18" s="45">
        <f t="shared" si="2"/>
        <v>4.166666666666667</v>
      </c>
    </row>
    <row r="19" spans="1:18" ht="19" thickBot="1" x14ac:dyDescent="0.5">
      <c r="A19" s="28">
        <f>('[1]ESCALA DE PRODUÇÃO'!G18)</f>
        <v>8089</v>
      </c>
      <c r="B19" s="29" t="str">
        <f>_xlfn.XLOOKUP(A19,'[1]ESCALA DE PRODUÇÃO'!$AL$1:$AL$1048566,'[1]ESCALA DE PRODUÇÃO'!$AJ$1:$AJ$1048566,"NÃO ENCOTRADO")</f>
        <v>008089 - ROTISSERIA BATATA ASSADA BENDITO KG</v>
      </c>
      <c r="C19" s="44">
        <v>1.2</v>
      </c>
      <c r="D19" s="28" t="str">
        <f>_xlfn.XLOOKUP(A19,'[1]ESCALA DE PRODUÇÃO'!$AL$1:$AL$1048566,'[1]ESCALA DE PRODUÇÃO'!$AK$1:$AK$1048566,"0")</f>
        <v>KG/0001</v>
      </c>
      <c r="E19" s="32">
        <f>'[1]ESCALA DE PRODUÇÃO'!I18</f>
        <v>0.12</v>
      </c>
      <c r="F19" s="45">
        <f>IFERROR(C19/E19,"0")</f>
        <v>10</v>
      </c>
      <c r="G19" s="30">
        <f>_xlfn.XLOOKUP(A19,'[1]ESCALA DE PRODUÇÃO'!$AL$1:$AL$1048566,'[1]ESCALA DE PRODUÇÃO'!$AM$1:$AM$1048566,"SEM PREÇO")</f>
        <v>49.9</v>
      </c>
      <c r="H19" s="33">
        <f>IFERROR(C19*G19,"0")</f>
        <v>59.879999999999995</v>
      </c>
      <c r="I19" s="46">
        <f>_xlfn.XLOOKUP(A19,'DADOS DE VENDA'!G:G,'DADOS DE VENDA'!J:J,"SEM VENDA")</f>
        <v>0.81</v>
      </c>
      <c r="J19" s="42">
        <f>IFERROR(I19/E19,"0")</f>
        <v>6.7500000000000009</v>
      </c>
      <c r="K19" s="43">
        <f>IFERROR(I19*G19,"0")</f>
        <v>40.419000000000004</v>
      </c>
      <c r="L19" s="51" t="str">
        <f>_xlfn.XLOOKUP(A19,'DADOS DE VENDA'!A:A,'DADOS DE VENDA'!E:E,"RUPTURA NO PERIODO")</f>
        <v>19/01 a20/01</v>
      </c>
      <c r="M19" s="88" t="str" cm="1">
        <f t="array" ref="M19">_xlfn.IFS(C19&lt;I19,"ABAIXO",C19&gt;I19,"ACIMA",C19=I19,"OK")</f>
        <v>ACIMA</v>
      </c>
      <c r="O19" s="87">
        <f t="shared" si="0"/>
        <v>8089</v>
      </c>
      <c r="P19" s="29" t="str">
        <f>_xlfn.XLOOKUP(O19,'[1]ESCALA DE PRODUÇÃO'!$AL$1:$AL$1048566,'[1]ESCALA DE PRODUÇÃO'!$AJ$1:$AJ$1048566,"NÃO ENCOTRADO")</f>
        <v>008089 - ROTISSERIA BATATA ASSADA BENDITO KG</v>
      </c>
      <c r="Q19" s="44">
        <f t="shared" si="1"/>
        <v>1.2</v>
      </c>
      <c r="R19" s="45">
        <f t="shared" si="2"/>
        <v>10</v>
      </c>
    </row>
    <row r="20" spans="1:18" ht="19" thickBot="1" x14ac:dyDescent="0.5">
      <c r="A20" s="28">
        <f>('[1]ESCALA DE PRODUÇÃO'!G19)</f>
        <v>8598</v>
      </c>
      <c r="B20" s="29" t="str">
        <f>_xlfn.XLOOKUP(A20,'[1]ESCALA DE PRODUÇÃO'!$AL$1:$AL$1048566,'[1]ESCALA DE PRODUÇÃO'!$AJ$1:$AJ$1048566,"NÃO ENCOTRADO")</f>
        <v>008598 - ROTISSERIA PURE DE BATATA BENDITO KG</v>
      </c>
      <c r="C20" s="44">
        <v>1</v>
      </c>
      <c r="D20" s="28" t="str">
        <f>_xlfn.XLOOKUP(A20,'[1]ESCALA DE PRODUÇÃO'!$AL$1:$AL$1048566,'[1]ESCALA DE PRODUÇÃO'!$AK$1:$AK$1048566,"0")</f>
        <v>KG/0001</v>
      </c>
      <c r="E20" s="32">
        <f>'[1]ESCALA DE PRODUÇÃO'!I19</f>
        <v>0.12</v>
      </c>
      <c r="F20" s="45">
        <f>IFERROR(C20/E20,"0")</f>
        <v>8.3333333333333339</v>
      </c>
      <c r="G20" s="30">
        <f>_xlfn.XLOOKUP(A20,'[1]ESCALA DE PRODUÇÃO'!$AL$1:$AL$1048566,'[1]ESCALA DE PRODUÇÃO'!$AM$1:$AM$1048566,"SEM PREÇO")</f>
        <v>48.9</v>
      </c>
      <c r="H20" s="33">
        <f>IFERROR(C20*G20,"0")</f>
        <v>48.9</v>
      </c>
      <c r="I20" s="46" t="str">
        <f>_xlfn.XLOOKUP(A20,'DADOS DE VENDA'!G:G,'DADOS DE VENDA'!J:J,"SEM VENDA")</f>
        <v>SEM VENDA</v>
      </c>
      <c r="J20" s="42" t="str">
        <f>IFERROR(I20/E20,"0")</f>
        <v>0</v>
      </c>
      <c r="K20" s="43" t="str">
        <f>IFERROR(I20*G20,"0")</f>
        <v>0</v>
      </c>
      <c r="L20" s="51" t="str">
        <f>_xlfn.XLOOKUP(A20,'DADOS DE VENDA'!A:A,'DADOS DE VENDA'!E:E,"RUPTURA NO PERIODO")</f>
        <v>RUPTURA NO PERIODO</v>
      </c>
      <c r="M20" s="88" t="str" cm="1">
        <f t="array" ref="M20">_xlfn.IFS(C20&lt;I20,"ABAIXO",C20&gt;I20,"ACIMA",C20=I20,"OK")</f>
        <v>ABAIXO</v>
      </c>
      <c r="O20" s="87">
        <f t="shared" si="0"/>
        <v>8598</v>
      </c>
      <c r="P20" s="29" t="str">
        <f>_xlfn.XLOOKUP(O20,'[1]ESCALA DE PRODUÇÃO'!$AL$1:$AL$1048566,'[1]ESCALA DE PRODUÇÃO'!$AJ$1:$AJ$1048566,"NÃO ENCOTRADO")</f>
        <v>008598 - ROTISSERIA PURE DE BATATA BENDITO KG</v>
      </c>
      <c r="Q20" s="44">
        <f t="shared" si="1"/>
        <v>1</v>
      </c>
      <c r="R20" s="45">
        <f t="shared" si="2"/>
        <v>8.3333333333333339</v>
      </c>
    </row>
    <row r="21" spans="1:18" ht="15" thickBot="1" x14ac:dyDescent="0.4">
      <c r="A21" s="28">
        <f>('[1]ESCALA DE PRODUÇÃO'!G20)</f>
        <v>0</v>
      </c>
      <c r="B21" s="6" t="s">
        <v>169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O21" s="85" t="s">
        <v>8</v>
      </c>
      <c r="P21" s="6" t="s">
        <v>169</v>
      </c>
      <c r="Q21" s="3" t="s">
        <v>2</v>
      </c>
      <c r="R21" s="3" t="s">
        <v>6</v>
      </c>
    </row>
    <row r="22" spans="1:18" ht="19" thickBot="1" x14ac:dyDescent="0.5">
      <c r="A22" s="28">
        <f>('[1]ESCALA DE PRODUÇÃO'!G21)</f>
        <v>8491</v>
      </c>
      <c r="B22" s="29" t="str">
        <f>_xlfn.XLOOKUP(A22,'[1]ESCALA DE PRODUÇÃO'!$AL$1:$AL$1048566,'[1]ESCALA DE PRODUÇÃO'!$AJ$1:$AJ$1048566,"NÃO ENCOTRADO")</f>
        <v>008491 - ROTISSERIA MEDALHAO FRANGO BENDITO KG</v>
      </c>
      <c r="C22" s="44">
        <v>1</v>
      </c>
      <c r="D22" s="28" t="str">
        <f>_xlfn.XLOOKUP(A22,'[1]ESCALA DE PRODUÇÃO'!$AL$1:$AL$1048566,'[1]ESCALA DE PRODUÇÃO'!$AK$1:$AK$1048566,"0")</f>
        <v>KG/0001</v>
      </c>
      <c r="E22" s="32">
        <f>'[1]ESCALA DE PRODUÇÃO'!I21</f>
        <v>0.15</v>
      </c>
      <c r="F22" s="45">
        <f>IFERROR(C22/E22,"0")</f>
        <v>6.666666666666667</v>
      </c>
      <c r="G22" s="30">
        <f>_xlfn.XLOOKUP(A22,'[1]ESCALA DE PRODUÇÃO'!$AL$1:$AL$1048566,'[1]ESCALA DE PRODUÇÃO'!$AM$1:$AM$1048566,"SEM PREÇO")</f>
        <v>78.900000000000006</v>
      </c>
      <c r="H22" s="33">
        <f>IFERROR(C22*G22,"0")</f>
        <v>78.900000000000006</v>
      </c>
      <c r="I22" s="46">
        <f>_xlfn.XLOOKUP(A22,'DADOS DE VENDA'!G:G,'DADOS DE VENDA'!J:J,"SEM VENDA")</f>
        <v>1.64</v>
      </c>
      <c r="J22" s="42">
        <f>IFERROR(I22/E22,"0")</f>
        <v>10.933333333333334</v>
      </c>
      <c r="K22" s="43">
        <f>IFERROR(I22*G22,"0")</f>
        <v>129.39600000000002</v>
      </c>
      <c r="L22" s="51" t="str">
        <f>_xlfn.XLOOKUP(A22,'DADOS DE VENDA'!A:A,'DADOS DE VENDA'!E:E,"RUPTURA NO PERIODO")</f>
        <v>19/01 a20/01</v>
      </c>
      <c r="M22" s="88" t="str" cm="1">
        <f t="array" ref="M22">_xlfn.IFS(C22&lt;I22,"ABAIXO",C22&gt;I22,"ACIMA",C22=I22,"OK")</f>
        <v>ABAIXO</v>
      </c>
      <c r="O22" s="87">
        <f t="shared" si="0"/>
        <v>8491</v>
      </c>
      <c r="P22" s="29" t="str">
        <f>_xlfn.XLOOKUP(O22,'[1]ESCALA DE PRODUÇÃO'!$AL$1:$AL$1048566,'[1]ESCALA DE PRODUÇÃO'!$AJ$1:$AJ$1048566,"NÃO ENCOTRADO")</f>
        <v>008491 - ROTISSERIA MEDALHAO FRANGO BENDITO KG</v>
      </c>
      <c r="Q22" s="44">
        <f t="shared" si="1"/>
        <v>1</v>
      </c>
      <c r="R22" s="45">
        <f t="shared" si="2"/>
        <v>6.666666666666667</v>
      </c>
    </row>
    <row r="23" spans="1:18" ht="19" thickBot="1" x14ac:dyDescent="0.5">
      <c r="A23" s="28">
        <f>('[1]ESCALA DE PRODUÇÃO'!G23)</f>
        <v>8231</v>
      </c>
      <c r="B23" s="29" t="str">
        <f>_xlfn.XLOOKUP(A23,'[1]ESCALA DE PRODUÇÃO'!$AL$1:$AL$1048566,'[1]ESCALA DE PRODUÇÃO'!$AJ$1:$AJ$1048566,"NÃO ENCOTRADO")</f>
        <v>008231 - ROTISSERIA CHARUTO BENDITO KG</v>
      </c>
      <c r="C23" s="44">
        <v>1</v>
      </c>
      <c r="D23" s="28" t="str">
        <f>_xlfn.XLOOKUP(A23,'[1]ESCALA DE PRODUÇÃO'!$AL$1:$AL$1048566,'[1]ESCALA DE PRODUÇÃO'!$AK$1:$AK$1048566,"0")</f>
        <v>KG/0001</v>
      </c>
      <c r="E23" s="32">
        <f>'[1]ESCALA DE PRODUÇÃO'!I23</f>
        <v>0</v>
      </c>
      <c r="F23" s="45" t="str">
        <f>IFERROR(C23/E23,"0")</f>
        <v>0</v>
      </c>
      <c r="G23" s="30">
        <f>_xlfn.XLOOKUP(A23,'[1]ESCALA DE PRODUÇÃO'!$AL$1:$AL$1048566,'[1]ESCALA DE PRODUÇÃO'!$AM$1:$AM$1048566,"SEM PREÇO")</f>
        <v>59.9</v>
      </c>
      <c r="H23" s="33">
        <f>IFERROR(C23*G23,"0")</f>
        <v>59.9</v>
      </c>
      <c r="I23" s="46" t="str">
        <f>_xlfn.XLOOKUP(A23,'DADOS DE VENDA'!G:G,'DADOS DE VENDA'!J:J,"SEM VENDA")</f>
        <v>SEM VENDA</v>
      </c>
      <c r="J23" s="42" t="str">
        <f>IFERROR(I23/E23,"0")</f>
        <v>0</v>
      </c>
      <c r="K23" s="43" t="str">
        <f>IFERROR(I23*G23,"0")</f>
        <v>0</v>
      </c>
      <c r="L23" s="51" t="str">
        <f>_xlfn.XLOOKUP(A23,'DADOS DE VENDA'!A:A,'DADOS DE VENDA'!E:E,"RUPTURA NO PERIODO")</f>
        <v>RUPTURA NO PERIODO</v>
      </c>
      <c r="M23" s="88" t="str" cm="1">
        <f t="array" ref="M23">_xlfn.IFS(C23&lt;I23,"ABAIXO",C23&gt;I23,"ACIMA",C23=I23,"OK")</f>
        <v>ABAIXO</v>
      </c>
      <c r="O23" s="87">
        <f t="shared" si="0"/>
        <v>8231</v>
      </c>
      <c r="P23" s="29" t="str">
        <f>_xlfn.XLOOKUP(O23,'[1]ESCALA DE PRODUÇÃO'!$AL$1:$AL$1048566,'[1]ESCALA DE PRODUÇÃO'!$AJ$1:$AJ$1048566,"NÃO ENCOTRADO")</f>
        <v>008231 - ROTISSERIA CHARUTO BENDITO KG</v>
      </c>
      <c r="Q23" s="44">
        <f t="shared" si="1"/>
        <v>1</v>
      </c>
      <c r="R23" s="45" t="str">
        <f t="shared" si="2"/>
        <v>0</v>
      </c>
    </row>
    <row r="24" spans="1:18" ht="19" thickBot="1" x14ac:dyDescent="0.5">
      <c r="A24" s="28">
        <f>('[1]ESCALA DE PRODUÇÃO'!G24)</f>
        <v>8837</v>
      </c>
      <c r="B24" s="29" t="str">
        <f>_xlfn.XLOOKUP(A24,'[1]ESCALA DE PRODUÇÃO'!$AL$1:$AL$1048566,'[1]ESCALA DE PRODUÇÃO'!$AJ$1:$AJ$1048566,"NÃO ENCOTRADO")</f>
        <v>008837 - ROTISSERIA STROGONOFF DE FRANGO BENDITO KG</v>
      </c>
      <c r="C24" s="44">
        <v>1.5</v>
      </c>
      <c r="D24" s="28" t="str">
        <f>_xlfn.XLOOKUP(A24,'[1]ESCALA DE PRODUÇÃO'!$AL$1:$AL$1048566,'[1]ESCALA DE PRODUÇÃO'!$AK$1:$AK$1048566,"0")</f>
        <v>KG/0001</v>
      </c>
      <c r="E24" s="32">
        <f>'[1]ESCALA DE PRODUÇÃO'!I24</f>
        <v>0.15</v>
      </c>
      <c r="F24" s="45">
        <f>IFERROR(C24/E24,"0")</f>
        <v>10</v>
      </c>
      <c r="G24" s="30">
        <f>_xlfn.XLOOKUP(A24,'[1]ESCALA DE PRODUÇÃO'!$AL$1:$AL$1048566,'[1]ESCALA DE PRODUÇÃO'!$AM$1:$AM$1048566,"SEM PREÇO")</f>
        <v>69.900000000000006</v>
      </c>
      <c r="H24" s="33">
        <f>IFERROR(C24*G24,"0")</f>
        <v>104.85000000000001</v>
      </c>
      <c r="I24" s="46">
        <f>_xlfn.XLOOKUP(A24,'DADOS DE VENDA'!G:G,'DADOS DE VENDA'!J:J,"SEM VENDA")</f>
        <v>1.59</v>
      </c>
      <c r="J24" s="42">
        <f>IFERROR(I24/E24,"0")</f>
        <v>10.600000000000001</v>
      </c>
      <c r="K24" s="43">
        <f>IFERROR(I24*G24,"0")</f>
        <v>111.14100000000002</v>
      </c>
      <c r="L24" s="51" t="str">
        <f>_xlfn.XLOOKUP(A24,'DADOS DE VENDA'!A:A,'DADOS DE VENDA'!E:E,"RUPTURA NO PERIODO")</f>
        <v>19/01 a20/01</v>
      </c>
      <c r="M24" s="88" t="str" cm="1">
        <f t="array" ref="M24">_xlfn.IFS(C24&lt;I24,"ABAIXO",C24&gt;I24,"ACIMA",C24=I24,"OK")</f>
        <v>ABAIXO</v>
      </c>
      <c r="O24" s="87">
        <f t="shared" si="0"/>
        <v>8837</v>
      </c>
      <c r="P24" s="29" t="str">
        <f>_xlfn.XLOOKUP(O24,'[1]ESCALA DE PRODUÇÃO'!$AL$1:$AL$1048566,'[1]ESCALA DE PRODUÇÃO'!$AJ$1:$AJ$1048566,"NÃO ENCOTRADO")</f>
        <v>008837 - ROTISSERIA STROGONOFF DE FRANGO BENDITO KG</v>
      </c>
      <c r="Q24" s="44">
        <f t="shared" si="1"/>
        <v>1.5</v>
      </c>
      <c r="R24" s="45">
        <f t="shared" si="2"/>
        <v>10</v>
      </c>
    </row>
    <row r="25" spans="1:18" ht="15" thickBot="1" x14ac:dyDescent="0.4">
      <c r="A25" s="28">
        <f>('[1]ESCALA DE PRODUÇÃO'!G25)</f>
        <v>0</v>
      </c>
      <c r="B25" s="6" t="s">
        <v>170</v>
      </c>
      <c r="C25" s="3" t="s">
        <v>2</v>
      </c>
      <c r="D25" s="3" t="s">
        <v>106</v>
      </c>
      <c r="E25" s="3" t="s">
        <v>4</v>
      </c>
      <c r="F25" s="3" t="s">
        <v>6</v>
      </c>
      <c r="G25" s="4" t="s">
        <v>3</v>
      </c>
      <c r="H25" s="3" t="s">
        <v>5</v>
      </c>
      <c r="I25" s="7" t="s">
        <v>157</v>
      </c>
      <c r="J25" s="7" t="s">
        <v>152</v>
      </c>
      <c r="K25" s="7" t="s">
        <v>153</v>
      </c>
      <c r="L25" s="3" t="s">
        <v>104</v>
      </c>
      <c r="M25" s="86" t="s">
        <v>105</v>
      </c>
      <c r="O25" s="85" t="s">
        <v>8</v>
      </c>
      <c r="P25" s="6" t="s">
        <v>170</v>
      </c>
      <c r="Q25" s="3" t="s">
        <v>2</v>
      </c>
      <c r="R25" s="3" t="s">
        <v>6</v>
      </c>
    </row>
    <row r="26" spans="1:18" ht="19" thickBot="1" x14ac:dyDescent="0.5">
      <c r="A26" s="28">
        <f>('[1]ESCALA DE PRODUÇÃO'!G26)</f>
        <v>8695</v>
      </c>
      <c r="B26" s="29" t="str">
        <f>_xlfn.XLOOKUP(A26,'[1]ESCALA DE PRODUÇÃO'!$AL$1:$AL$1048566,'[1]ESCALA DE PRODUÇÃO'!$AJ$1:$AJ$1048566,"NÃO ENCOTRADO")</f>
        <v>008695 - ROTISSERIA SALADA DE BETERRABA BENDITO KG</v>
      </c>
      <c r="C26" s="44">
        <v>3</v>
      </c>
      <c r="D26" s="28" t="str">
        <f>_xlfn.XLOOKUP(A26,'[1]ESCALA DE PRODUÇÃO'!$AL$1:$AL$1048566,'[1]ESCALA DE PRODUÇÃO'!$AK$1:$AK$1048566,"0")</f>
        <v>KG/0001</v>
      </c>
      <c r="E26" s="32">
        <f>'[1]ESCALA DE PRODUÇÃO'!I26</f>
        <v>0.35</v>
      </c>
      <c r="F26" s="45">
        <f>IFERROR(C26/E26,"0")</f>
        <v>8.5714285714285712</v>
      </c>
      <c r="G26" s="30">
        <f>_xlfn.XLOOKUP(A26,'[1]ESCALA DE PRODUÇÃO'!$AL$1:$AL$1048566,'[1]ESCALA DE PRODUÇÃO'!$AM$1:$AM$1048566,"SEM PREÇO")</f>
        <v>23.9</v>
      </c>
      <c r="H26" s="33">
        <f>IFERROR(C26*G26,"0")</f>
        <v>71.699999999999989</v>
      </c>
      <c r="I26" s="46">
        <f>_xlfn.XLOOKUP(A26,'DADOS DE VENDA'!G:G,'DADOS DE VENDA'!J:J,"SEM VENDA")</f>
        <v>2.7</v>
      </c>
      <c r="J26" s="42">
        <f>IFERROR(I26/E26,"0")</f>
        <v>7.7142857142857153</v>
      </c>
      <c r="K26" s="43">
        <f>IFERROR(I26*G26,"0")</f>
        <v>64.53</v>
      </c>
      <c r="L26" s="51" t="str">
        <f>_xlfn.XLOOKUP(A26,'DADOS DE VENDA'!A:A,'DADOS DE VENDA'!E:E,"RUPTURA NO PERIODO")</f>
        <v>19/01 a20/01</v>
      </c>
      <c r="M26" s="88" t="str" cm="1">
        <f t="array" ref="M26">_xlfn.IFS(C26&lt;I26,"ABAIXO",C26&gt;I26,"ACIMA",C26=I26,"OK")</f>
        <v>ACIMA</v>
      </c>
      <c r="O26" s="87">
        <f t="shared" si="0"/>
        <v>8695</v>
      </c>
      <c r="P26" s="29" t="str">
        <f>_xlfn.XLOOKUP(O26,'[1]ESCALA DE PRODUÇÃO'!$AL$1:$AL$1048566,'[1]ESCALA DE PRODUÇÃO'!$AJ$1:$AJ$1048566,"NÃO ENCOTRADO")</f>
        <v>008695 - ROTISSERIA SALADA DE BETERRABA BENDITO KG</v>
      </c>
      <c r="Q26" s="44">
        <f t="shared" si="1"/>
        <v>3</v>
      </c>
      <c r="R26" s="45">
        <f t="shared" si="2"/>
        <v>8.5714285714285712</v>
      </c>
    </row>
    <row r="27" spans="1:18" ht="19" thickBot="1" x14ac:dyDescent="0.5">
      <c r="A27" s="67">
        <v>0</v>
      </c>
      <c r="B27" s="68" t="str">
        <f>_xlfn.XLOOKUP(A27,'[1]ESCALA DE PRODUÇÃO'!$AL$1:$AL$1048566,'[1]ESCALA DE PRODUÇÃO'!$AJ$1:$AJ$1048566,"NÃO ENCOTRADO")</f>
        <v>NÃO ENCOTRADO</v>
      </c>
      <c r="C27" s="69">
        <v>0</v>
      </c>
      <c r="D27" s="67" t="str">
        <f>_xlfn.XLOOKUP(A27,'[1]ESCALA DE PRODUÇÃO'!$AL$1:$AL$1048566,'[1]ESCALA DE PRODUÇÃO'!$AK$1:$AK$1048566,"0")</f>
        <v>0</v>
      </c>
      <c r="E27" s="32">
        <f>'[1]ESCALA DE PRODUÇÃO'!I27</f>
        <v>0.35</v>
      </c>
      <c r="F27" s="71">
        <f>IFERROR(C27/E27,"0")</f>
        <v>0</v>
      </c>
      <c r="G27" s="72" t="str">
        <f>_xlfn.XLOOKUP(A27,'[1]ESCALA DE PRODUÇÃO'!$AL$1:$AL$1048566,'[1]ESCALA DE PRODUÇÃO'!$AM$1:$AM$1048566,"SEM PREÇO")</f>
        <v>SEM PREÇO</v>
      </c>
      <c r="H27" s="73" t="str">
        <f>IFERROR(C27*G27,"0")</f>
        <v>0</v>
      </c>
      <c r="I27" s="46" t="str">
        <f>_xlfn.XLOOKUP(A27,'DADOS DE VENDA'!G:G,'DADOS DE VENDA'!J:J,"SEM VENDA")</f>
        <v>SEM VENDA</v>
      </c>
      <c r="J27" s="75" t="str">
        <f>IFERROR(I27/E27,"0")</f>
        <v>0</v>
      </c>
      <c r="K27" s="76" t="str">
        <f>IFERROR(I27*G27,"0")</f>
        <v>0</v>
      </c>
      <c r="L27" s="77" t="str">
        <f>_xlfn.XLOOKUP(A27,'DADOS DE VENDA'!A:A,'DADOS DE VENDA'!E:E,"RUPTURA NO PERIODO")</f>
        <v>RUPTURA NO PERIODO</v>
      </c>
      <c r="M27" s="102" t="str" cm="1">
        <f t="array" ref="M27">_xlfn.IFS(C27&lt;I27,"ABAIXO",C27&gt;I27,"ACIMA",C27=I27,"OK")</f>
        <v>ABAIXO</v>
      </c>
      <c r="O27" s="87">
        <f t="shared" si="0"/>
        <v>0</v>
      </c>
      <c r="P27" s="90" t="str">
        <f>_xlfn.XLOOKUP(O27,'[1]ESCALA DE PRODUÇÃO'!$AL$1:$AL$1048566,'[1]ESCALA DE PRODUÇÃO'!$AJ$1:$AJ$1048566,"NÃO ENCOTRADO")</f>
        <v>NÃO ENCOTRADO</v>
      </c>
      <c r="Q27" s="69">
        <f t="shared" si="1"/>
        <v>0</v>
      </c>
      <c r="R27" s="45">
        <f t="shared" si="2"/>
        <v>0</v>
      </c>
    </row>
    <row r="28" spans="1:18" ht="19" thickBot="1" x14ac:dyDescent="0.5">
      <c r="A28" s="109" t="str">
        <f>('[1]ESCALA DE PRODUÇÃO'!G28)</f>
        <v>COD</v>
      </c>
      <c r="B28" s="110" t="s">
        <v>176</v>
      </c>
      <c r="C28" s="110" t="s">
        <v>173</v>
      </c>
      <c r="D28" s="187"/>
      <c r="E28" s="188"/>
      <c r="F28" s="111" t="s">
        <v>174</v>
      </c>
      <c r="G28" s="189">
        <f>SUM(H4+H5+H6+H8+H9+H10+H12+H13+H15+H16+H18+H19+H20+H22+H24+H26+H27)</f>
        <v>1003.3799999999999</v>
      </c>
      <c r="H28" s="190"/>
      <c r="I28" s="135"/>
      <c r="J28" s="191">
        <f>SUM(K4+K5+K6+K8+K9+K10+K12+K13+K15+K16+K18+K19+K20+K22+K24+K26+K27)</f>
        <v>1009.2909999999999</v>
      </c>
      <c r="K28" s="192"/>
      <c r="L28" s="112"/>
      <c r="M28" s="113"/>
      <c r="O28" s="147" t="s">
        <v>5</v>
      </c>
      <c r="P28" s="148"/>
      <c r="Q28" s="149">
        <f>G28</f>
        <v>1003.3799999999999</v>
      </c>
      <c r="R28" s="150"/>
    </row>
    <row r="29" spans="1:18" ht="18.5" x14ac:dyDescent="0.45">
      <c r="C29" s="78"/>
      <c r="F29" s="79"/>
      <c r="G29" s="80"/>
      <c r="H29" s="80"/>
      <c r="I29" s="81"/>
      <c r="J29" s="82"/>
      <c r="K29" s="83"/>
      <c r="M29" s="84"/>
      <c r="Q29" s="78"/>
      <c r="R29" s="79"/>
    </row>
    <row r="30" spans="1:18" ht="19" thickBot="1" x14ac:dyDescent="0.5">
      <c r="C30" s="78"/>
      <c r="F30" s="79"/>
      <c r="G30" s="80"/>
      <c r="H30" s="80"/>
      <c r="I30" s="81"/>
      <c r="J30" s="82"/>
      <c r="K30" s="83"/>
      <c r="M30" s="84"/>
      <c r="Q30" s="78"/>
      <c r="R30" s="79"/>
    </row>
    <row r="31" spans="1:18" ht="21.5" thickBot="1" x14ac:dyDescent="0.55000000000000004">
      <c r="A31" s="184" t="s">
        <v>249</v>
      </c>
      <c r="B31" s="185"/>
      <c r="C31" s="185"/>
      <c r="D31" s="130"/>
      <c r="E31" s="130"/>
      <c r="F31" s="130"/>
      <c r="G31" s="130"/>
      <c r="H31" s="130"/>
      <c r="I31" s="182" t="s">
        <v>171</v>
      </c>
      <c r="J31" s="182"/>
      <c r="K31" s="182"/>
      <c r="L31" s="182"/>
      <c r="M31" s="183"/>
      <c r="O31" s="157" t="str">
        <f>O1</f>
        <v>TERÇA FEIRA (LOJA 1 DESCONTÃO-ROTISSERIA)</v>
      </c>
      <c r="P31" s="158"/>
      <c r="Q31" s="132" t="s">
        <v>102</v>
      </c>
      <c r="R31" s="131">
        <f>R1</f>
        <v>46049</v>
      </c>
    </row>
    <row r="32" spans="1:18" ht="15" thickBot="1" x14ac:dyDescent="0.4">
      <c r="A32" s="151" t="s">
        <v>178</v>
      </c>
      <c r="B32" s="152"/>
      <c r="C32" s="119" t="s">
        <v>174</v>
      </c>
      <c r="D32" s="146" t="s">
        <v>155</v>
      </c>
      <c r="E32" s="146"/>
      <c r="F32" s="146"/>
      <c r="G32" s="146"/>
      <c r="H32" s="156"/>
      <c r="I32" s="146" t="s">
        <v>156</v>
      </c>
      <c r="J32" s="146"/>
      <c r="K32" s="146"/>
      <c r="L32" s="146"/>
      <c r="M32" s="153"/>
      <c r="O32" s="151" t="s">
        <v>178</v>
      </c>
      <c r="P32" s="152"/>
      <c r="Q32" s="145" t="s">
        <v>155</v>
      </c>
      <c r="R32" s="146"/>
    </row>
    <row r="33" spans="1:18" ht="15" thickBot="1" x14ac:dyDescent="0.4">
      <c r="A33" s="85" t="s">
        <v>8</v>
      </c>
      <c r="B33" s="6" t="s">
        <v>177</v>
      </c>
      <c r="C33" s="3" t="s">
        <v>2</v>
      </c>
      <c r="D33" s="3" t="s">
        <v>106</v>
      </c>
      <c r="E33" s="3" t="s">
        <v>4</v>
      </c>
      <c r="F33" s="3" t="s">
        <v>6</v>
      </c>
      <c r="G33" s="4" t="s">
        <v>3</v>
      </c>
      <c r="H33" s="3" t="s">
        <v>5</v>
      </c>
      <c r="I33" s="7" t="s">
        <v>157</v>
      </c>
      <c r="J33" s="7" t="s">
        <v>152</v>
      </c>
      <c r="K33" s="7" t="s">
        <v>153</v>
      </c>
      <c r="L33" s="3" t="s">
        <v>104</v>
      </c>
      <c r="M33" s="86" t="s">
        <v>105</v>
      </c>
      <c r="O33" s="85" t="s">
        <v>8</v>
      </c>
      <c r="P33" s="6" t="s">
        <v>177</v>
      </c>
      <c r="Q33" s="3" t="s">
        <v>2</v>
      </c>
      <c r="R33" s="3" t="s">
        <v>6</v>
      </c>
    </row>
    <row r="34" spans="1:18" ht="19" thickBot="1" x14ac:dyDescent="0.5">
      <c r="A34" s="87" t="str">
        <f>'[1]ESCALA DE PRODUÇÃO'!G28</f>
        <v>COD</v>
      </c>
      <c r="B34" s="29" t="str">
        <f>_xlfn.XLOOKUP(A34,'[1]ESCALA DE PRODUÇÃO'!$AL$1:$AL$1048566,'[1]ESCALA DE PRODUÇÃO'!$AJ$1:$AJ$1048566,"NÃO ENCOTRADO")</f>
        <v>NÃO ENCOTRADO</v>
      </c>
      <c r="C34" s="44">
        <v>0</v>
      </c>
      <c r="D34" s="28" t="str">
        <f>_xlfn.XLOOKUP(A34,'[1]ESCALA DE PRODUÇÃO'!$AL$1:$AL$1048566,'[1]ESCALA DE PRODUÇÃO'!$AK$1:$AK$1048566,"0")</f>
        <v>0</v>
      </c>
      <c r="E34" s="32" t="str">
        <f>'[1]ESCALA DE PRODUÇÃO'!I28</f>
        <v>PESO  P/PCT</v>
      </c>
      <c r="F34" s="45" t="str">
        <f>IFERROR(C34/E34,"0")</f>
        <v>0</v>
      </c>
      <c r="G34" s="30" t="str">
        <f>_xlfn.XLOOKUP(A34,'[1]ESCALA DE PRODUÇÃO'!$AL$1:$AL$1048566,'[1]ESCALA DE PRODUÇÃO'!$AM$1:$AM$1048566,"SEM PREÇO")</f>
        <v>SEM PREÇO</v>
      </c>
      <c r="H34" s="33" t="str">
        <f>IFERROR(C34*G34,"0")</f>
        <v>0</v>
      </c>
      <c r="I34" s="50" t="str">
        <f>_xlfn.XLOOKUP(A34,'DADOS DE VENDA'!G:G,'DADOS DE VENDA'!J:J,"SEM VENDA")</f>
        <v>SEM VENDA</v>
      </c>
      <c r="J34" s="42" t="str">
        <f>IFERROR(I34/E34,"0")</f>
        <v>0</v>
      </c>
      <c r="K34" s="43" t="str">
        <f>IFERROR(I34*G34,"0")</f>
        <v>0</v>
      </c>
      <c r="L34" s="51" t="str">
        <f>_xlfn.XLOOKUP(A34,'DADOS DE VENDA'!A:A,'DADOS DE VENDA'!E:E,"RUPTURA NO PERIODO")</f>
        <v>RUPTURA NO PERIODO</v>
      </c>
      <c r="M34" s="88" t="str" cm="1">
        <f t="array" ref="M34">_xlfn.IFS(C34&lt;I34,"ABAIXO",C34&gt;I34,"ACIMA",C34=I34,"OK")</f>
        <v>ABAIXO</v>
      </c>
      <c r="O34" s="87" t="str">
        <f>A34</f>
        <v>COD</v>
      </c>
      <c r="P34" s="29" t="str">
        <f>_xlfn.XLOOKUP(O34,'[1]ESCALA DE PRODUÇÃO'!$AL$1:$AL$1048566,'[1]ESCALA DE PRODUÇÃO'!$AJ$1:$AJ$1048566,"NÃO ENCOTRADO")</f>
        <v>NÃO ENCOTRADO</v>
      </c>
      <c r="Q34" s="44">
        <f>C34</f>
        <v>0</v>
      </c>
      <c r="R34" s="45" t="str">
        <f>F34</f>
        <v>0</v>
      </c>
    </row>
    <row r="35" spans="1:18" ht="19" thickBot="1" x14ac:dyDescent="0.5">
      <c r="A35" s="87">
        <f>'[1]ESCALA DE PRODUÇÃO'!G29</f>
        <v>8963</v>
      </c>
      <c r="B35" s="29" t="str">
        <f>_xlfn.XLOOKUP(A35,'[1]ESCALA DE PRODUÇÃO'!$AL$1:$AL$1048566,'[1]ESCALA DE PRODUÇÃO'!$AJ$1:$AJ$1048566,"NÃO ENCOTRADO")</f>
        <v>008963 - ROTISSERIA SALADA CEASER C/FRANGO BENDITO</v>
      </c>
      <c r="C35" s="44">
        <v>3</v>
      </c>
      <c r="D35" s="28" t="str">
        <f>_xlfn.XLOOKUP(A35,'[1]ESCALA DE PRODUÇÃO'!$AL$1:$AL$1048566,'[1]ESCALA DE PRODUÇÃO'!$AK$1:$AK$1048566,"0")</f>
        <v>UN/0001</v>
      </c>
      <c r="E35" s="32">
        <f>'[1]ESCALA DE PRODUÇÃO'!I29</f>
        <v>1</v>
      </c>
      <c r="F35" s="45">
        <f>IFERROR(C35/E35,"0")</f>
        <v>3</v>
      </c>
      <c r="G35" s="30">
        <f>_xlfn.XLOOKUP(A35,'[1]ESCALA DE PRODUÇÃO'!$AL$1:$AL$1048566,'[1]ESCALA DE PRODUÇÃO'!$AM$1:$AM$1048566,"SEM PREÇO")</f>
        <v>24.9</v>
      </c>
      <c r="H35" s="33">
        <f>IFERROR(C35*G35,"0")</f>
        <v>74.699999999999989</v>
      </c>
      <c r="I35" s="50">
        <f>_xlfn.XLOOKUP(A35,'DADOS DE VENDA'!G:G,'DADOS DE VENDA'!J:J,"SEM VENDA")</f>
        <v>4</v>
      </c>
      <c r="J35" s="42">
        <f>IFERROR(I35/E35,"0")</f>
        <v>4</v>
      </c>
      <c r="K35" s="43">
        <f>IFERROR(I35*G35,"0")</f>
        <v>99.6</v>
      </c>
      <c r="L35" s="51" t="str">
        <f>_xlfn.XLOOKUP(A35,'DADOS DE VENDA'!A:A,'DADOS DE VENDA'!E:E,"RUPTURA NO PERIODO")</f>
        <v>19/01 a20/01</v>
      </c>
      <c r="M35" s="88" t="str" cm="1">
        <f t="array" ref="M35">_xlfn.IFS(C35&lt;I35,"ABAIXO",C35&gt;I35,"ACIMA",C35=I35,"OK")</f>
        <v>ABAIXO</v>
      </c>
      <c r="O35" s="87">
        <f t="shared" ref="O35:O44" si="3">A35</f>
        <v>8963</v>
      </c>
      <c r="P35" s="29" t="str">
        <f>_xlfn.XLOOKUP(O35,'[1]ESCALA DE PRODUÇÃO'!$AL$1:$AL$1048566,'[1]ESCALA DE PRODUÇÃO'!$AJ$1:$AJ$1048566,"NÃO ENCOTRADO")</f>
        <v>008963 - ROTISSERIA SALADA CEASER C/FRANGO BENDITO</v>
      </c>
      <c r="Q35" s="44">
        <f t="shared" ref="Q35:Q44" si="4">C35</f>
        <v>3</v>
      </c>
      <c r="R35" s="45">
        <f t="shared" ref="R35:R44" si="5">F35</f>
        <v>3</v>
      </c>
    </row>
    <row r="36" spans="1:18" ht="19" thickBot="1" x14ac:dyDescent="0.5">
      <c r="A36" s="87">
        <f>'[1]ESCALA DE PRODUÇÃO'!G30</f>
        <v>8962</v>
      </c>
      <c r="B36" s="29" t="str">
        <f>_xlfn.XLOOKUP(A36,'[1]ESCALA DE PRODUÇÃO'!$AL$1:$AL$1048566,'[1]ESCALA DE PRODUÇÃO'!$AJ$1:$AJ$1048566,"NÃO ENCOTRADO")</f>
        <v>008962 - ROTISSERIA SALADA MIX DE FOLHA E LEGUMES C/PROTEINAS BENDITO</v>
      </c>
      <c r="C36" s="44">
        <v>2</v>
      </c>
      <c r="D36" s="28" t="str">
        <f>_xlfn.XLOOKUP(A36,'[1]ESCALA DE PRODUÇÃO'!$AL$1:$AL$1048566,'[1]ESCALA DE PRODUÇÃO'!$AK$1:$AK$1048566,"0")</f>
        <v>UN/0001</v>
      </c>
      <c r="E36" s="32">
        <f>'[1]ESCALA DE PRODUÇÃO'!I30</f>
        <v>0</v>
      </c>
      <c r="F36" s="45" t="str">
        <f>IFERROR(C36/E36,"0")</f>
        <v>0</v>
      </c>
      <c r="G36" s="30">
        <f>_xlfn.XLOOKUP(A36,'[1]ESCALA DE PRODUÇÃO'!$AL$1:$AL$1048566,'[1]ESCALA DE PRODUÇÃO'!$AM$1:$AM$1048566,"SEM PREÇO")</f>
        <v>21.9</v>
      </c>
      <c r="H36" s="33">
        <f>IFERROR(C36*G36,"0")</f>
        <v>43.8</v>
      </c>
      <c r="I36" s="50" t="str">
        <f>_xlfn.XLOOKUP(A36,'DADOS DE VENDA'!G:G,'DADOS DE VENDA'!J:J,"SEM VENDA")</f>
        <v>SEM VENDA</v>
      </c>
      <c r="J36" s="42" t="str">
        <f>IFERROR(I36/E36,"0")</f>
        <v>0</v>
      </c>
      <c r="K36" s="43" t="str">
        <f>IFERROR(I36*G36,"0")</f>
        <v>0</v>
      </c>
      <c r="L36" s="51" t="str">
        <f>_xlfn.XLOOKUP(A36,'DADOS DE VENDA'!A:A,'DADOS DE VENDA'!E:E,"RUPTURA NO PERIODO")</f>
        <v>RUPTURA NO PERIODO</v>
      </c>
      <c r="M36" s="88" t="str" cm="1">
        <f t="array" ref="M36">_xlfn.IFS(C36&lt;I36,"ABAIXO",C36&gt;I36,"ACIMA",C36=I36,"OK")</f>
        <v>ABAIXO</v>
      </c>
      <c r="O36" s="87">
        <f t="shared" si="3"/>
        <v>8962</v>
      </c>
      <c r="P36" s="29" t="str">
        <f>_xlfn.XLOOKUP(O36,'[1]ESCALA DE PRODUÇÃO'!$AL$1:$AL$1048566,'[1]ESCALA DE PRODUÇÃO'!$AJ$1:$AJ$1048566,"NÃO ENCOTRADO")</f>
        <v>008962 - ROTISSERIA SALADA MIX DE FOLHA E LEGUMES C/PROTEINAS BENDITO</v>
      </c>
      <c r="Q36" s="44">
        <f t="shared" si="4"/>
        <v>2</v>
      </c>
      <c r="R36" s="45" t="str">
        <f t="shared" si="5"/>
        <v>0</v>
      </c>
    </row>
    <row r="37" spans="1:18" ht="15" thickBot="1" x14ac:dyDescent="0.4">
      <c r="A37" s="85" t="s">
        <v>8</v>
      </c>
      <c r="B37" s="6" t="s">
        <v>179</v>
      </c>
      <c r="C37" s="3" t="s">
        <v>2</v>
      </c>
      <c r="D37" s="3" t="s">
        <v>106</v>
      </c>
      <c r="E37" s="85" t="s">
        <v>8</v>
      </c>
      <c r="F37" s="3" t="s">
        <v>6</v>
      </c>
      <c r="G37" s="4" t="s">
        <v>3</v>
      </c>
      <c r="H37" s="3" t="s">
        <v>5</v>
      </c>
      <c r="I37" s="7" t="s">
        <v>157</v>
      </c>
      <c r="J37" s="7" t="s">
        <v>152</v>
      </c>
      <c r="K37" s="7" t="s">
        <v>153</v>
      </c>
      <c r="L37" s="3" t="s">
        <v>104</v>
      </c>
      <c r="M37" s="86" t="s">
        <v>105</v>
      </c>
      <c r="O37" s="85" t="s">
        <v>8</v>
      </c>
      <c r="P37" s="6" t="s">
        <v>179</v>
      </c>
      <c r="Q37" s="3" t="s">
        <v>2</v>
      </c>
      <c r="R37" s="3" t="s">
        <v>6</v>
      </c>
    </row>
    <row r="38" spans="1:18" ht="19" thickBot="1" x14ac:dyDescent="0.5">
      <c r="A38" s="87">
        <f>'[1]ESCALA DE PRODUÇÃO'!G32</f>
        <v>0</v>
      </c>
      <c r="B38" s="29" t="str">
        <f>_xlfn.XLOOKUP(A38,'[1]ESCALA DE PRODUÇÃO'!$AL$1:$AL$1048566,'[1]ESCALA DE PRODUÇÃO'!$AJ$1:$AJ$1048566,"NÃO ENCOTRADO")</f>
        <v>NÃO ENCOTRADO</v>
      </c>
      <c r="C38" s="44">
        <v>0</v>
      </c>
      <c r="D38" s="28" t="str">
        <f>_xlfn.XLOOKUP(A38,'[1]ESCALA DE PRODUÇÃO'!$AL$1:$AL$1048566,'[1]ESCALA DE PRODUÇÃO'!$AK$1:$AK$1048566,"0")</f>
        <v>0</v>
      </c>
      <c r="E38" s="32">
        <f>'[1]ESCALA DE PRODUÇÃO'!I32</f>
        <v>0</v>
      </c>
      <c r="F38" s="45" t="str">
        <f>IFERROR(C38/E38,"0")</f>
        <v>0</v>
      </c>
      <c r="G38" s="30" t="str">
        <f>_xlfn.XLOOKUP(A38,'[1]ESCALA DE PRODUÇÃO'!$AL$1:$AL$1048566,'[1]ESCALA DE PRODUÇÃO'!$AM$1:$AM$1048566,"SEM PREÇO")</f>
        <v>SEM PREÇO</v>
      </c>
      <c r="H38" s="33" t="str">
        <f>IFERROR(C38*G38,"0")</f>
        <v>0</v>
      </c>
      <c r="I38" s="50" t="str">
        <f>_xlfn.XLOOKUP(A38,'DADOS DE VENDA'!G:G,'DADOS DE VENDA'!J:J,"SEM VENDA")</f>
        <v>SEM VENDA</v>
      </c>
      <c r="J38" s="42" t="str">
        <f>IFERROR(I38/E38,"0")</f>
        <v>0</v>
      </c>
      <c r="K38" s="43" t="str">
        <f>IFERROR(I38*G38,"0")</f>
        <v>0</v>
      </c>
      <c r="L38" s="51" t="str">
        <f>_xlfn.XLOOKUP(A38,'DADOS DE VENDA'!A:A,'DADOS DE VENDA'!E:E,"RUPTURA NO PERIODO")</f>
        <v>RUPTURA NO PERIODO</v>
      </c>
      <c r="M38" s="88" t="str" cm="1">
        <f t="array" ref="M38">_xlfn.IFS(C38&lt;I38,"ABAIXO",C38&gt;I38,"ACIMA",C38=I38,"OK")</f>
        <v>ABAIXO</v>
      </c>
      <c r="O38" s="87">
        <f t="shared" si="3"/>
        <v>0</v>
      </c>
      <c r="P38" s="29" t="str">
        <f>_xlfn.XLOOKUP(O38,'[1]ESCALA DE PRODUÇÃO'!$AL$1:$AL$1048566,'[1]ESCALA DE PRODUÇÃO'!$AJ$1:$AJ$1048566,"NÃO ENCOTRADO")</f>
        <v>NÃO ENCOTRADO</v>
      </c>
      <c r="Q38" s="44">
        <f t="shared" si="4"/>
        <v>0</v>
      </c>
      <c r="R38" s="45" t="str">
        <f t="shared" si="5"/>
        <v>0</v>
      </c>
    </row>
    <row r="39" spans="1:18" ht="19" thickBot="1" x14ac:dyDescent="0.5">
      <c r="A39" s="87">
        <f>'[1]ESCALA DE PRODUÇÃO'!G33</f>
        <v>9123</v>
      </c>
      <c r="B39" s="29" t="str">
        <f>_xlfn.XLOOKUP(A39,'[1]ESCALA DE PRODUÇÃO'!$AL$1:$AL$1048566,'[1]ESCALA DE PRODUÇÃO'!$AJ$1:$AJ$1048566,"NÃO ENCOTRADO")</f>
        <v>009123 - ROTISSERIA SUSHI KANI C/CREAM CHEESE BENDITO UN</v>
      </c>
      <c r="C39" s="44">
        <v>5</v>
      </c>
      <c r="D39" s="28" t="str">
        <f>_xlfn.XLOOKUP(A39,'[1]ESCALA DE PRODUÇÃO'!$AL$1:$AL$1048566,'[1]ESCALA DE PRODUÇÃO'!$AK$1:$AK$1048566,"0")</f>
        <v>UN/0001</v>
      </c>
      <c r="E39" s="32">
        <f>'[1]ESCALA DE PRODUÇÃO'!I33</f>
        <v>1</v>
      </c>
      <c r="F39" s="45">
        <f>IFERROR(C39/E39,"0")</f>
        <v>5</v>
      </c>
      <c r="G39" s="30">
        <f>_xlfn.XLOOKUP(A39,'[1]ESCALA DE PRODUÇÃO'!$AL$1:$AL$1048566,'[1]ESCALA DE PRODUÇÃO'!$AM$1:$AM$1048566,"SEM PREÇO")</f>
        <v>0</v>
      </c>
      <c r="H39" s="33">
        <f>IFERROR(C39*G39,"0")</f>
        <v>0</v>
      </c>
      <c r="I39" s="50">
        <f>_xlfn.XLOOKUP(A39,'DADOS DE VENDA'!G:G,'DADOS DE VENDA'!J:J,"SEM VENDA")</f>
        <v>10</v>
      </c>
      <c r="J39" s="42">
        <f>IFERROR(I39/E39,"0")</f>
        <v>10</v>
      </c>
      <c r="K39" s="43">
        <f>IFERROR(I39*G39,"0")</f>
        <v>0</v>
      </c>
      <c r="L39" s="51" t="str">
        <f>_xlfn.XLOOKUP(A39,'DADOS DE VENDA'!A:A,'DADOS DE VENDA'!E:E,"RUPTURA NO PERIODO")</f>
        <v>19/01 a20/01</v>
      </c>
      <c r="M39" s="88" t="str" cm="1">
        <f t="array" ref="M39">_xlfn.IFS(C39&lt;I39,"ABAIXO",C39&gt;I39,"ACIMA",C39=I39,"OK")</f>
        <v>ABAIXO</v>
      </c>
      <c r="O39" s="87">
        <f t="shared" si="3"/>
        <v>9123</v>
      </c>
      <c r="P39" s="29" t="str">
        <f>_xlfn.XLOOKUP(O39,'[1]ESCALA DE PRODUÇÃO'!$AL$1:$AL$1048566,'[1]ESCALA DE PRODUÇÃO'!$AJ$1:$AJ$1048566,"NÃO ENCOTRADO")</f>
        <v>009123 - ROTISSERIA SUSHI KANI C/CREAM CHEESE BENDITO UN</v>
      </c>
      <c r="Q39" s="44">
        <f t="shared" si="4"/>
        <v>5</v>
      </c>
      <c r="R39" s="45">
        <f t="shared" si="5"/>
        <v>5</v>
      </c>
    </row>
    <row r="40" spans="1:18" ht="19" thickBot="1" x14ac:dyDescent="0.5">
      <c r="A40" s="87">
        <f>'[1]ESCALA DE PRODUÇÃO'!G34</f>
        <v>0</v>
      </c>
      <c r="B40" s="29" t="str">
        <f>_xlfn.XLOOKUP(A40,'[1]ESCALA DE PRODUÇÃO'!$AL$1:$AL$1048566,'[1]ESCALA DE PRODUÇÃO'!$AJ$1:$AJ$1048566,"NÃO ENCOTRADO")</f>
        <v>NÃO ENCOTRADO</v>
      </c>
      <c r="C40" s="44">
        <v>0</v>
      </c>
      <c r="D40" s="28" t="str">
        <f>_xlfn.XLOOKUP(A40,'[1]ESCALA DE PRODUÇÃO'!$AL$1:$AL$1048566,'[1]ESCALA DE PRODUÇÃO'!$AK$1:$AK$1048566,"0")</f>
        <v>0</v>
      </c>
      <c r="E40" s="32">
        <f>'[1]ESCALA DE PRODUÇÃO'!I34</f>
        <v>0</v>
      </c>
      <c r="F40" s="45" t="str">
        <f>IFERROR(C40/E40,"0")</f>
        <v>0</v>
      </c>
      <c r="G40" s="30" t="str">
        <f>_xlfn.XLOOKUP(A40,'[1]ESCALA DE PRODUÇÃO'!$AL$1:$AL$1048566,'[1]ESCALA DE PRODUÇÃO'!$AM$1:$AM$1048566,"SEM PREÇO")</f>
        <v>SEM PREÇO</v>
      </c>
      <c r="H40" s="33" t="str">
        <f>IFERROR(C40*G40,"0")</f>
        <v>0</v>
      </c>
      <c r="I40" s="50" t="str">
        <f>_xlfn.XLOOKUP(A40,'DADOS DE VENDA'!G:G,'DADOS DE VENDA'!J:J,"SEM VENDA")</f>
        <v>SEM VENDA</v>
      </c>
      <c r="J40" s="42" t="str">
        <f>IFERROR(I40/E40,"0")</f>
        <v>0</v>
      </c>
      <c r="K40" s="43" t="str">
        <f>IFERROR(I40*G40,"0")</f>
        <v>0</v>
      </c>
      <c r="L40" s="51" t="str">
        <f>_xlfn.XLOOKUP(A40,'DADOS DE VENDA'!A:A,'DADOS DE VENDA'!E:E,"RUPTURA NO PERIODO")</f>
        <v>RUPTURA NO PERIODO</v>
      </c>
      <c r="M40" s="88" t="str" cm="1">
        <f t="array" ref="M40">_xlfn.IFS(C40&lt;I40,"ABAIXO",C40&gt;I40,"ACIMA",C40=I40,"OK")</f>
        <v>ABAIXO</v>
      </c>
      <c r="O40" s="87">
        <f t="shared" si="3"/>
        <v>0</v>
      </c>
      <c r="P40" s="29" t="str">
        <f>_xlfn.XLOOKUP(O40,'[1]ESCALA DE PRODUÇÃO'!$AL$1:$AL$1048566,'[1]ESCALA DE PRODUÇÃO'!$AJ$1:$AJ$1048566,"NÃO ENCOTRADO")</f>
        <v>NÃO ENCOTRADO</v>
      </c>
      <c r="Q40" s="44">
        <f t="shared" si="4"/>
        <v>0</v>
      </c>
      <c r="R40" s="45" t="str">
        <f t="shared" si="5"/>
        <v>0</v>
      </c>
    </row>
    <row r="41" spans="1:18" ht="15" thickBot="1" x14ac:dyDescent="0.4">
      <c r="A41" s="85" t="s">
        <v>8</v>
      </c>
      <c r="B41" s="6" t="s">
        <v>180</v>
      </c>
      <c r="C41" s="3" t="s">
        <v>2</v>
      </c>
      <c r="D41" s="3" t="s">
        <v>106</v>
      </c>
      <c r="E41" s="85" t="s">
        <v>8</v>
      </c>
      <c r="F41" s="3" t="s">
        <v>6</v>
      </c>
      <c r="G41" s="4" t="s">
        <v>3</v>
      </c>
      <c r="H41" s="3" t="s">
        <v>5</v>
      </c>
      <c r="I41" s="7" t="s">
        <v>157</v>
      </c>
      <c r="J41" s="7" t="s">
        <v>152</v>
      </c>
      <c r="K41" s="7" t="s">
        <v>153</v>
      </c>
      <c r="L41" s="3" t="s">
        <v>104</v>
      </c>
      <c r="M41" s="86" t="s">
        <v>105</v>
      </c>
      <c r="O41" s="85" t="s">
        <v>8</v>
      </c>
      <c r="P41" s="6" t="s">
        <v>180</v>
      </c>
      <c r="Q41" s="3" t="s">
        <v>2</v>
      </c>
      <c r="R41" s="3" t="s">
        <v>6</v>
      </c>
    </row>
    <row r="42" spans="1:18" ht="19" thickBot="1" x14ac:dyDescent="0.5">
      <c r="A42" s="87">
        <f>'[1]ESCALA DE PRODUÇÃO'!G36</f>
        <v>0</v>
      </c>
      <c r="B42" s="29" t="str">
        <f>_xlfn.XLOOKUP(A42,'[1]ESCALA DE PRODUÇÃO'!$AL$1:$AL$1048566,'[1]ESCALA DE PRODUÇÃO'!$AJ$1:$AJ$1048566,"NÃO ENCOTRADO")</f>
        <v>NÃO ENCOTRADO</v>
      </c>
      <c r="C42" s="44">
        <v>0</v>
      </c>
      <c r="D42" s="28" t="str">
        <f>_xlfn.XLOOKUP(A42,'[1]ESCALA DE PRODUÇÃO'!$AL$1:$AL$1048566,'[1]ESCALA DE PRODUÇÃO'!$AK$1:$AK$1048566,"0")</f>
        <v>0</v>
      </c>
      <c r="E42" s="32">
        <f>'[1]ESCALA DE PRODUÇÃO'!I36</f>
        <v>0</v>
      </c>
      <c r="F42" s="45" t="str">
        <f>IFERROR(C42/E42,"0")</f>
        <v>0</v>
      </c>
      <c r="G42" s="30" t="str">
        <f>_xlfn.XLOOKUP(A42,'[1]ESCALA DE PRODUÇÃO'!$AL$1:$AL$1048566,'[1]ESCALA DE PRODUÇÃO'!$AM$1:$AM$1048566,"SEM PREÇO")</f>
        <v>SEM PREÇO</v>
      </c>
      <c r="H42" s="33" t="str">
        <f>IFERROR(C42*G42,"0")</f>
        <v>0</v>
      </c>
      <c r="I42" s="50" t="str">
        <f>_xlfn.XLOOKUP(A42,'DADOS DE VENDA'!G:G,'DADOS DE VENDA'!J:J,"SEM VENDA")</f>
        <v>SEM VENDA</v>
      </c>
      <c r="J42" s="42" t="str">
        <f>IFERROR(I42/E42,"0")</f>
        <v>0</v>
      </c>
      <c r="K42" s="43" t="str">
        <f>IFERROR(I42*G42,"0")</f>
        <v>0</v>
      </c>
      <c r="L42" s="51" t="str">
        <f>_xlfn.XLOOKUP(A42,'DADOS DE VENDA'!A:A,'DADOS DE VENDA'!E:E,"RUPTURA NO PERIODO")</f>
        <v>RUPTURA NO PERIODO</v>
      </c>
      <c r="M42" s="88" t="str" cm="1">
        <f t="array" ref="M42">_xlfn.IFS(C42&lt;I42,"ABAIXO",C42&gt;I42,"ACIMA",C42=I42,"OK")</f>
        <v>ABAIXO</v>
      </c>
      <c r="O42" s="87">
        <f t="shared" si="3"/>
        <v>0</v>
      </c>
      <c r="P42" s="29" t="str">
        <f>_xlfn.XLOOKUP(O42,'[1]ESCALA DE PRODUÇÃO'!$AL$1:$AL$1048566,'[1]ESCALA DE PRODUÇÃO'!$AJ$1:$AJ$1048566,"NÃO ENCOTRADO")</f>
        <v>NÃO ENCOTRADO</v>
      </c>
      <c r="Q42" s="44">
        <f t="shared" si="4"/>
        <v>0</v>
      </c>
      <c r="R42" s="45" t="str">
        <f t="shared" si="5"/>
        <v>0</v>
      </c>
    </row>
    <row r="43" spans="1:18" ht="19" thickBot="1" x14ac:dyDescent="0.5">
      <c r="A43" s="87">
        <f>'[1]ESCALA DE PRODUÇÃO'!G37</f>
        <v>9289</v>
      </c>
      <c r="B43" s="29" t="str">
        <f>_xlfn.XLOOKUP(A43,'[1]ESCALA DE PRODUÇÃO'!$AL$1:$AL$1048566,'[1]ESCALA DE PRODUÇÃO'!$AJ$1:$AJ$1048566,"NÃO ENCOTRADO")</f>
        <v>009289 - ROTISSERIA TEMAKI HOT SALMAO GRELAHADO</v>
      </c>
      <c r="C43" s="44">
        <v>4</v>
      </c>
      <c r="D43" s="28" t="str">
        <f>_xlfn.XLOOKUP(A43,'[1]ESCALA DE PRODUÇÃO'!$AL$1:$AL$1048566,'[1]ESCALA DE PRODUÇÃO'!$AK$1:$AK$1048566,"0")</f>
        <v>UN/0001</v>
      </c>
      <c r="E43" s="32">
        <f>'[1]ESCALA DE PRODUÇÃO'!I37</f>
        <v>1</v>
      </c>
      <c r="F43" s="45">
        <f>IFERROR(C43/E43,"0")</f>
        <v>4</v>
      </c>
      <c r="G43" s="30">
        <f>_xlfn.XLOOKUP(A43,'[1]ESCALA DE PRODUÇÃO'!$AL$1:$AL$1048566,'[1]ESCALA DE PRODUÇÃO'!$AM$1:$AM$1048566,"SEM PREÇO")</f>
        <v>24.9</v>
      </c>
      <c r="H43" s="33">
        <f>IFERROR(C43*G43,"0")</f>
        <v>99.6</v>
      </c>
      <c r="I43" s="50" t="str">
        <f>_xlfn.XLOOKUP(A43,'DADOS DE VENDA'!G:G,'DADOS DE VENDA'!J:J,"SEM VENDA")</f>
        <v>SEM VENDA</v>
      </c>
      <c r="J43" s="42" t="str">
        <f>IFERROR(I43/E43,"0")</f>
        <v>0</v>
      </c>
      <c r="K43" s="43" t="str">
        <f>IFERROR(I43*G43,"0")</f>
        <v>0</v>
      </c>
      <c r="L43" s="51" t="str">
        <f>_xlfn.XLOOKUP(A43,'DADOS DE VENDA'!A:A,'DADOS DE VENDA'!E:E,"RUPTURA NO PERIODO")</f>
        <v>RUPTURA NO PERIODO</v>
      </c>
      <c r="M43" s="88" t="str" cm="1">
        <f t="array" ref="M43">_xlfn.IFS(C43&lt;I43,"ABAIXO",C43&gt;I43,"ACIMA",C43=I43,"OK")</f>
        <v>ABAIXO</v>
      </c>
      <c r="O43" s="87">
        <f t="shared" si="3"/>
        <v>9289</v>
      </c>
      <c r="P43" s="29" t="str">
        <f>_xlfn.XLOOKUP(O43,'[1]ESCALA DE PRODUÇÃO'!$AL$1:$AL$1048566,'[1]ESCALA DE PRODUÇÃO'!$AJ$1:$AJ$1048566,"NÃO ENCOTRADO")</f>
        <v>009289 - ROTISSERIA TEMAKI HOT SALMAO GRELAHADO</v>
      </c>
      <c r="Q43" s="44">
        <f t="shared" si="4"/>
        <v>4</v>
      </c>
      <c r="R43" s="45">
        <f t="shared" si="5"/>
        <v>4</v>
      </c>
    </row>
    <row r="44" spans="1:18" ht="19" thickBot="1" x14ac:dyDescent="0.5">
      <c r="A44" s="87">
        <f>'[1]ESCALA DE PRODUÇÃO'!G38</f>
        <v>0</v>
      </c>
      <c r="B44" s="90" t="str">
        <f>_xlfn.XLOOKUP(A44,'[1]ESCALA DE PRODUÇÃO'!$AL$1:$AL$1048566,'[1]ESCALA DE PRODUÇÃO'!$AJ$1:$AJ$1048566,"NÃO ENCOTRADO")</f>
        <v>NÃO ENCOTRADO</v>
      </c>
      <c r="C44" s="91">
        <v>0</v>
      </c>
      <c r="D44" s="92" t="str">
        <f>_xlfn.XLOOKUP(A44,'[1]ESCALA DE PRODUÇÃO'!$AL$1:$AL$1048566,'[1]ESCALA DE PRODUÇÃO'!$AK$1:$AK$1048566,"0")</f>
        <v>0</v>
      </c>
      <c r="E44" s="32">
        <f>'[1]ESCALA DE PRODUÇÃO'!I38</f>
        <v>0</v>
      </c>
      <c r="F44" s="94" t="str">
        <f>IFERROR(C44/E44,"0")</f>
        <v>0</v>
      </c>
      <c r="G44" s="95" t="str">
        <f>_xlfn.XLOOKUP(A44,'[1]ESCALA DE PRODUÇÃO'!$AL$1:$AL$1048566,'[1]ESCALA DE PRODUÇÃO'!$AM$1:$AM$1048566,"SEM PREÇO")</f>
        <v>SEM PREÇO</v>
      </c>
      <c r="H44" s="96" t="str">
        <f>IFERROR(C44*G44,"0")</f>
        <v>0</v>
      </c>
      <c r="I44" s="50" t="str">
        <f>_xlfn.XLOOKUP(A44,'DADOS DE VENDA'!G:G,'DADOS DE VENDA'!J:J,"SEM VENDA")</f>
        <v>SEM VENDA</v>
      </c>
      <c r="J44" s="98" t="str">
        <f>IFERROR(I44/E44,"0")</f>
        <v>0</v>
      </c>
      <c r="K44" s="99" t="str">
        <f>IFERROR(I44*G44,"0")</f>
        <v>0</v>
      </c>
      <c r="L44" s="100" t="str">
        <f>_xlfn.XLOOKUP(A44,'DADOS DE VENDA'!A:A,'DADOS DE VENDA'!E:E,"RUPTURA NO PERIODO")</f>
        <v>RUPTURA NO PERIODO</v>
      </c>
      <c r="M44" s="101" t="str" cm="1">
        <f t="array" ref="M44">_xlfn.IFS(C44&lt;I44,"ABAIXO",C44&gt;I44,"ACIMA",C44=I44,"OK")</f>
        <v>ABAIXO</v>
      </c>
      <c r="O44" s="87">
        <f t="shared" si="3"/>
        <v>0</v>
      </c>
      <c r="P44" s="90" t="str">
        <f>_xlfn.XLOOKUP(O44,'[1]ESCALA DE PRODUÇÃO'!$AL$1:$AL$1048566,'[1]ESCALA DE PRODUÇÃO'!$AJ$1:$AJ$1048566,"NÃO ENCOTRADO")</f>
        <v>NÃO ENCOTRADO</v>
      </c>
      <c r="Q44" s="44">
        <f t="shared" si="4"/>
        <v>0</v>
      </c>
      <c r="R44" s="45" t="str">
        <f t="shared" si="5"/>
        <v>0</v>
      </c>
    </row>
    <row r="45" spans="1:18" ht="19" thickBot="1" x14ac:dyDescent="0.5">
      <c r="A45" s="106"/>
      <c r="B45" s="103" t="s">
        <v>176</v>
      </c>
      <c r="C45" s="103" t="s">
        <v>173</v>
      </c>
      <c r="D45" s="159"/>
      <c r="E45" s="160"/>
      <c r="F45" s="105" t="s">
        <v>174</v>
      </c>
      <c r="G45" s="161">
        <f>SUM(H34,H35,H36,H38,H39,H40,H42,H43,H44)</f>
        <v>218.09999999999997</v>
      </c>
      <c r="H45" s="162"/>
      <c r="I45" s="50">
        <f>_xlfn.XLOOKUP(A45,'DADOS DE VENDA'!G:G,'DADOS DE VENDA'!J:J,"SEM VENDA")</f>
        <v>0</v>
      </c>
      <c r="J45" s="163">
        <f>SUM(K34,K35,K36,K38,K39,K40,K42,K43,K44)</f>
        <v>99.6</v>
      </c>
      <c r="K45" s="164"/>
      <c r="L45" s="104"/>
      <c r="M45" s="107"/>
      <c r="O45" s="147" t="s">
        <v>5</v>
      </c>
      <c r="P45" s="148"/>
      <c r="Q45" s="149">
        <f>G45</f>
        <v>218.09999999999997</v>
      </c>
      <c r="R45" s="150"/>
    </row>
    <row r="46" spans="1:18" ht="18.5" x14ac:dyDescent="0.45">
      <c r="O46" s="133"/>
      <c r="P46" s="133"/>
      <c r="Q46" s="134"/>
      <c r="R46" s="134"/>
    </row>
    <row r="47" spans="1:18" ht="19" thickBot="1" x14ac:dyDescent="0.5">
      <c r="Q47" s="78"/>
      <c r="R47" s="79"/>
    </row>
    <row r="48" spans="1:18" ht="21.5" thickBot="1" x14ac:dyDescent="0.55000000000000004">
      <c r="A48" s="184" t="s">
        <v>249</v>
      </c>
      <c r="B48" s="185"/>
      <c r="C48" s="185"/>
      <c r="D48" s="130"/>
      <c r="E48" s="130"/>
      <c r="F48" s="130"/>
      <c r="G48" s="130"/>
      <c r="H48" s="130"/>
      <c r="I48" s="182" t="s">
        <v>171</v>
      </c>
      <c r="J48" s="182"/>
      <c r="K48" s="182"/>
      <c r="L48" s="182"/>
      <c r="M48" s="183"/>
      <c r="O48" s="157" t="str">
        <f>O31</f>
        <v>TERÇA FEIRA (LOJA 1 DESCONTÃO-ROTISSERIA)</v>
      </c>
      <c r="P48" s="158"/>
      <c r="Q48" s="132" t="s">
        <v>102</v>
      </c>
      <c r="R48" s="131">
        <f>R31</f>
        <v>46049</v>
      </c>
    </row>
    <row r="49" spans="1:18" ht="15" thickBot="1" x14ac:dyDescent="0.4">
      <c r="A49" s="151" t="s">
        <v>181</v>
      </c>
      <c r="B49" s="152"/>
      <c r="C49" s="119" t="s">
        <v>174</v>
      </c>
      <c r="D49" s="146" t="s">
        <v>155</v>
      </c>
      <c r="E49" s="146"/>
      <c r="F49" s="146"/>
      <c r="G49" s="146"/>
      <c r="H49" s="156"/>
      <c r="I49" s="145" t="s">
        <v>156</v>
      </c>
      <c r="J49" s="146"/>
      <c r="K49" s="146"/>
      <c r="L49" s="146"/>
      <c r="M49" s="153"/>
      <c r="O49" s="180" t="s">
        <v>181</v>
      </c>
      <c r="P49" s="181"/>
      <c r="Q49" s="178" t="s">
        <v>155</v>
      </c>
      <c r="R49" s="179"/>
    </row>
    <row r="50" spans="1:18" ht="15" thickBot="1" x14ac:dyDescent="0.4">
      <c r="A50" s="85" t="s">
        <v>8</v>
      </c>
      <c r="B50" s="6" t="s">
        <v>182</v>
      </c>
      <c r="C50" s="3" t="s">
        <v>2</v>
      </c>
      <c r="D50" s="3" t="s">
        <v>106</v>
      </c>
      <c r="E50" s="3" t="s">
        <v>4</v>
      </c>
      <c r="F50" s="3" t="s">
        <v>6</v>
      </c>
      <c r="G50" s="4" t="s">
        <v>3</v>
      </c>
      <c r="H50" s="3" t="s">
        <v>5</v>
      </c>
      <c r="I50" s="7" t="s">
        <v>157</v>
      </c>
      <c r="J50" s="7" t="s">
        <v>152</v>
      </c>
      <c r="K50" s="7" t="s">
        <v>153</v>
      </c>
      <c r="L50" s="3" t="s">
        <v>104</v>
      </c>
      <c r="M50" s="86" t="s">
        <v>105</v>
      </c>
      <c r="O50" s="85" t="s">
        <v>8</v>
      </c>
      <c r="P50" s="6" t="s">
        <v>182</v>
      </c>
      <c r="Q50" s="3" t="s">
        <v>2</v>
      </c>
      <c r="R50" s="3" t="s">
        <v>6</v>
      </c>
    </row>
    <row r="51" spans="1:18" ht="19" thickBot="1" x14ac:dyDescent="0.5">
      <c r="A51" s="87" t="str">
        <f>'[1]ESCALA DE PRODUÇÃO'!G40</f>
        <v>COD</v>
      </c>
      <c r="B51" s="29" t="str">
        <f>_xlfn.XLOOKUP(A51,'[1]ESCALA DE PRODUÇÃO'!$AL$1:$AL$1048566,'[1]ESCALA DE PRODUÇÃO'!$AJ$1:$AJ$1048566,"NÃO ENCOTRADO")</f>
        <v>NÃO ENCOTRADO</v>
      </c>
      <c r="C51" s="44">
        <v>0</v>
      </c>
      <c r="D51" s="28" t="str">
        <f>_xlfn.XLOOKUP(A51,'[1]ESCALA DE PRODUÇÃO'!$AL$1:$AL$1048566,'[1]ESCALA DE PRODUÇÃO'!$AK$1:$AK$1048566,"0")</f>
        <v>0</v>
      </c>
      <c r="E51" s="32" t="str">
        <f>'[1]ESCALA DE PRODUÇÃO'!I40</f>
        <v>PESO  P/PCT</v>
      </c>
      <c r="F51" s="45" t="str">
        <f>IFERROR(C51/E51,"0")</f>
        <v>0</v>
      </c>
      <c r="G51" s="30" t="str">
        <f>_xlfn.XLOOKUP(A51,'[1]ESCALA DE PRODUÇÃO'!$AL$1:$AL$1048566,'[1]ESCALA DE PRODUÇÃO'!$AM$1:$AM$1048566,"SEM PREÇO")</f>
        <v>SEM PREÇO</v>
      </c>
      <c r="H51" s="33" t="str">
        <f>IFERROR(C51*G51,"0")</f>
        <v>0</v>
      </c>
      <c r="I51" s="50" t="str">
        <f>_xlfn.XLOOKUP(A51,'DADOS DE VENDA'!G:G,'DADOS DE VENDA'!J:J,"SEM VENDA")</f>
        <v>SEM VENDA</v>
      </c>
      <c r="J51" s="42" t="str">
        <f>IFERROR(I51/E51,"0")</f>
        <v>0</v>
      </c>
      <c r="K51" s="43" t="str">
        <f>IFERROR(I51*G51,"0")</f>
        <v>0</v>
      </c>
      <c r="L51" s="51" t="str">
        <f>_xlfn.XLOOKUP(A51,'DADOS DE VENDA'!A:A,'DADOS DE VENDA'!E:E,"RUPTURA NO PERIODO")</f>
        <v>RUPTURA NO PERIODO</v>
      </c>
      <c r="M51" s="88" t="str" cm="1">
        <f t="array" ref="M51">_xlfn.IFS(C51&lt;I51,"ABAIXO",C51&gt;I51,"ACIMA",C51=I51,"OK")</f>
        <v>ABAIXO</v>
      </c>
      <c r="O51" s="87">
        <f>('[1]ESCALA DE PRODUÇÃO'!Q41)</f>
        <v>8571</v>
      </c>
      <c r="P51" s="29" t="str">
        <f>_xlfn.XLOOKUP(O51,'[1]ESCALA DE PRODUÇÃO'!$AL$1:$AL$1048566,'[1]ESCALA DE PRODUÇÃO'!$AJ$1:$AJ$1048566,"NÃO ENCOTRADO")</f>
        <v>008571 - ROTISSERIA POLENTA AO MOLHO CARNE MOIDA BENDITO KG</v>
      </c>
      <c r="Q51" s="44">
        <f>C51</f>
        <v>0</v>
      </c>
      <c r="R51" s="45" t="str">
        <f>(F51)</f>
        <v>0</v>
      </c>
    </row>
    <row r="52" spans="1:18" ht="19" thickBot="1" x14ac:dyDescent="0.5">
      <c r="A52" s="87">
        <f>'[1]ESCALA DE PRODUÇÃO'!G41</f>
        <v>6878</v>
      </c>
      <c r="B52" s="29" t="str">
        <f>_xlfn.XLOOKUP(A52,'[1]ESCALA DE PRODUÇÃO'!$AL$1:$AL$1048566,'[1]ESCALA DE PRODUÇÃO'!$AJ$1:$AJ$1048566,"NÃO ENCOTRADO")</f>
        <v>006878 - ROT REFRIGERADO PANQUECA FRANGO C/CATUPIRY KG</v>
      </c>
      <c r="C52" s="44">
        <v>3</v>
      </c>
      <c r="D52" s="28" t="str">
        <f>_xlfn.XLOOKUP(A52,'[1]ESCALA DE PRODUÇÃO'!$AL$1:$AL$1048566,'[1]ESCALA DE PRODUÇÃO'!$AK$1:$AK$1048566,"0")</f>
        <v>KG/0001</v>
      </c>
      <c r="E52" s="32">
        <f>'[1]ESCALA DE PRODUÇÃO'!I41</f>
        <v>0.25</v>
      </c>
      <c r="F52" s="45">
        <f>IFERROR(C52/E52,"0")</f>
        <v>12</v>
      </c>
      <c r="G52" s="30">
        <f>_xlfn.XLOOKUP(A52,'[1]ESCALA DE PRODUÇÃO'!$AL$1:$AL$1048566,'[1]ESCALA DE PRODUÇÃO'!$AM$1:$AM$1048566,"SEM PREÇO")</f>
        <v>63.9</v>
      </c>
      <c r="H52" s="33">
        <f>IFERROR(C52*G52,"0")</f>
        <v>191.7</v>
      </c>
      <c r="I52" s="50" t="str">
        <f>_xlfn.XLOOKUP(A52,'DADOS DE VENDA'!G:G,'DADOS DE VENDA'!J:J,"SEM VENDA")</f>
        <v>SEM VENDA</v>
      </c>
      <c r="J52" s="42" t="str">
        <f>IFERROR(I52/E52,"0")</f>
        <v>0</v>
      </c>
      <c r="K52" s="43" t="str">
        <f>IFERROR(I52*G52,"0")</f>
        <v>0</v>
      </c>
      <c r="L52" s="51" t="str">
        <f>_xlfn.XLOOKUP(A52,'DADOS DE VENDA'!A:A,'DADOS DE VENDA'!E:E,"RUPTURA NO PERIODO")</f>
        <v>RUPTURA NO PERIODO</v>
      </c>
      <c r="M52" s="88" t="str" cm="1">
        <f t="array" ref="M52">_xlfn.IFS(C52&lt;I52,"ABAIXO",C52&gt;I52,"ACIMA",C52=I52,"OK")</f>
        <v>ABAIXO</v>
      </c>
      <c r="O52" s="87">
        <f>('[1]ESCALA DE PRODUÇÃO'!Q42)</f>
        <v>6878</v>
      </c>
      <c r="P52" s="29" t="str">
        <f>_xlfn.XLOOKUP(O52,'[1]ESCALA DE PRODUÇÃO'!$AL$1:$AL$1048566,'[1]ESCALA DE PRODUÇÃO'!$AJ$1:$AJ$1048566,"NÃO ENCOTRADO")</f>
        <v>006878 - ROT REFRIGERADO PANQUECA FRANGO C/CATUPIRY KG</v>
      </c>
      <c r="Q52" s="44">
        <f>C52</f>
        <v>3</v>
      </c>
      <c r="R52" s="45">
        <f>(F52)</f>
        <v>12</v>
      </c>
    </row>
    <row r="53" spans="1:18" ht="19" thickBot="1" x14ac:dyDescent="0.5">
      <c r="A53" s="87">
        <f>'[1]ESCALA DE PRODUÇÃO'!G42</f>
        <v>6879</v>
      </c>
      <c r="B53" s="29" t="str">
        <f>_xlfn.XLOOKUP(A53,'[1]ESCALA DE PRODUÇÃO'!$AL$1:$AL$1048566,'[1]ESCALA DE PRODUÇÃO'!$AJ$1:$AJ$1048566,"NÃO ENCOTRADO")</f>
        <v>006879 - ROT REFRIGERADO PANQUECA DE CARNE AO POMODORO</v>
      </c>
      <c r="C53" s="44">
        <v>3</v>
      </c>
      <c r="D53" s="28" t="str">
        <f>_xlfn.XLOOKUP(A53,'[1]ESCALA DE PRODUÇÃO'!$AL$1:$AL$1048566,'[1]ESCALA DE PRODUÇÃO'!$AK$1:$AK$1048566,"0")</f>
        <v>KG/0001</v>
      </c>
      <c r="E53" s="32">
        <f>'[1]ESCALA DE PRODUÇÃO'!I42</f>
        <v>0.25</v>
      </c>
      <c r="F53" s="45">
        <f>IFERROR(C53/E53,"0")</f>
        <v>12</v>
      </c>
      <c r="G53" s="30">
        <f>_xlfn.XLOOKUP(A53,'[1]ESCALA DE PRODUÇÃO'!$AL$1:$AL$1048566,'[1]ESCALA DE PRODUÇÃO'!$AM$1:$AM$1048566,"SEM PREÇO")</f>
        <v>69.900000000000006</v>
      </c>
      <c r="H53" s="33">
        <f>IFERROR(C53*G53,"0")</f>
        <v>209.70000000000002</v>
      </c>
      <c r="I53" s="50" t="str">
        <f>_xlfn.XLOOKUP(A53,'DADOS DE VENDA'!G:G,'DADOS DE VENDA'!J:J,"SEM VENDA")</f>
        <v>SEM VENDA</v>
      </c>
      <c r="J53" s="42" t="str">
        <f>IFERROR(I53/E53,"0")</f>
        <v>0</v>
      </c>
      <c r="K53" s="43" t="str">
        <f>IFERROR(I53*G53,"0")</f>
        <v>0</v>
      </c>
      <c r="L53" s="51" t="str">
        <f>_xlfn.XLOOKUP(A53,'DADOS DE VENDA'!A:A,'DADOS DE VENDA'!E:E,"RUPTURA NO PERIODO")</f>
        <v>RUPTURA NO PERIODO</v>
      </c>
      <c r="M53" s="88" t="str" cm="1">
        <f t="array" ref="M53">_xlfn.IFS(C53&lt;I53,"ABAIXO",C53&gt;I53,"ACIMA",C53=I53,"OK")</f>
        <v>ABAIXO</v>
      </c>
      <c r="O53" s="87">
        <f>('[1]ESCALA DE PRODUÇÃO'!Q43)</f>
        <v>0</v>
      </c>
      <c r="P53" s="29" t="str">
        <f>_xlfn.XLOOKUP(O53,'[1]ESCALA DE PRODUÇÃO'!$AL$1:$AL$1048566,'[1]ESCALA DE PRODUÇÃO'!$AJ$1:$AJ$1048566,"NÃO ENCOTRADO")</f>
        <v>NÃO ENCOTRADO</v>
      </c>
      <c r="Q53" s="44">
        <f>C53</f>
        <v>3</v>
      </c>
      <c r="R53" s="45">
        <f>(F53)</f>
        <v>12</v>
      </c>
    </row>
    <row r="54" spans="1:18" ht="19" thickBot="1" x14ac:dyDescent="0.5">
      <c r="A54" s="87">
        <f>'[1]ESCALA DE PRODUÇÃO'!G43</f>
        <v>0</v>
      </c>
      <c r="B54" s="29" t="str">
        <f>_xlfn.XLOOKUP(A54,'[1]ESCALA DE PRODUÇÃO'!$AL$1:$AL$1048566,'[1]ESCALA DE PRODUÇÃO'!$AJ$1:$AJ$1048566,"NÃO ENCOTRADO")</f>
        <v>NÃO ENCOTRADO</v>
      </c>
      <c r="C54" s="44">
        <v>0</v>
      </c>
      <c r="D54" s="28" t="str">
        <f>_xlfn.XLOOKUP(A54,'[1]ESCALA DE PRODUÇÃO'!$AL$1:$AL$1048566,'[1]ESCALA DE PRODUÇÃO'!$AK$1:$AK$1048566,"0")</f>
        <v>0</v>
      </c>
      <c r="E54" s="32">
        <f>'[1]ESCALA DE PRODUÇÃO'!I43</f>
        <v>0</v>
      </c>
      <c r="F54" s="45" t="str">
        <f>IFERROR(C54/E54,"0")</f>
        <v>0</v>
      </c>
      <c r="G54" s="30" t="str">
        <f>_xlfn.XLOOKUP(A54,'[1]ESCALA DE PRODUÇÃO'!$AL$1:$AL$1048566,'[1]ESCALA DE PRODUÇÃO'!$AM$1:$AM$1048566,"SEM PREÇO")</f>
        <v>SEM PREÇO</v>
      </c>
      <c r="H54" s="33" t="str">
        <f>IFERROR(C54*G54,"0")</f>
        <v>0</v>
      </c>
      <c r="I54" s="50" t="str">
        <f>_xlfn.XLOOKUP(A54,'DADOS DE VENDA'!G:G,'DADOS DE VENDA'!J:J,"SEM VENDA")</f>
        <v>SEM VENDA</v>
      </c>
      <c r="J54" s="42" t="str">
        <f>IFERROR(I54/E54,"0")</f>
        <v>0</v>
      </c>
      <c r="K54" s="43" t="str">
        <f>IFERROR(I54*G54,"0")</f>
        <v>0</v>
      </c>
      <c r="L54" s="51" t="str">
        <f>_xlfn.XLOOKUP(A54,'DADOS DE VENDA'!A:A,'DADOS DE VENDA'!E:E,"RUPTURA NO PERIODO")</f>
        <v>RUPTURA NO PERIODO</v>
      </c>
      <c r="M54" s="88" t="str" cm="1">
        <f t="array" ref="M54">_xlfn.IFS(C54&lt;I54,"ABAIXO",C54&gt;I54,"ACIMA",C54=I54,"OK")</f>
        <v>ABAIXO</v>
      </c>
      <c r="O54" s="87">
        <f>('[1]ESCALA DE PRODUÇÃO'!Q44)</f>
        <v>8333</v>
      </c>
      <c r="P54" s="29" t="str">
        <f>_xlfn.XLOOKUP(O54,'[1]ESCALA DE PRODUÇÃO'!$AL$1:$AL$1048566,'[1]ESCALA DE PRODUÇÃO'!$AJ$1:$AJ$1048566,"NÃO ENCOTRADO")</f>
        <v>008333 - ROTISSERIA BATATA/RECHEADA  BROCOLIS E BACON</v>
      </c>
      <c r="Q54" s="44">
        <f>C54</f>
        <v>0</v>
      </c>
      <c r="R54" s="45" t="str">
        <f>(F54)</f>
        <v>0</v>
      </c>
    </row>
    <row r="55" spans="1:18" ht="15" thickBot="1" x14ac:dyDescent="0.4">
      <c r="A55" s="85" t="s">
        <v>8</v>
      </c>
      <c r="B55" s="6" t="s">
        <v>182</v>
      </c>
      <c r="C55" s="3">
        <v>1.5</v>
      </c>
      <c r="D55" s="3" t="s">
        <v>106</v>
      </c>
      <c r="E55" s="3" t="s">
        <v>4</v>
      </c>
      <c r="F55" s="3" t="s">
        <v>6</v>
      </c>
      <c r="G55" s="4" t="s">
        <v>3</v>
      </c>
      <c r="H55" s="3" t="s">
        <v>5</v>
      </c>
      <c r="I55" s="7" t="s">
        <v>157</v>
      </c>
      <c r="J55" s="7" t="s">
        <v>152</v>
      </c>
      <c r="K55" s="7" t="s">
        <v>153</v>
      </c>
      <c r="L55" s="3" t="s">
        <v>104</v>
      </c>
      <c r="M55" s="86" t="s">
        <v>105</v>
      </c>
      <c r="O55" s="85" t="s">
        <v>8</v>
      </c>
      <c r="P55" s="6" t="s">
        <v>182</v>
      </c>
      <c r="Q55" s="3" t="s">
        <v>2</v>
      </c>
      <c r="R55" s="3" t="s">
        <v>6</v>
      </c>
    </row>
    <row r="56" spans="1:18" ht="19" thickBot="1" x14ac:dyDescent="0.5">
      <c r="A56" s="87">
        <f>'[1]ESCALA DE PRODUÇÃO'!G46</f>
        <v>9075</v>
      </c>
      <c r="B56" s="29" t="str">
        <f>_xlfn.XLOOKUP(A56,'[1]ESCALA DE PRODUÇÃO'!$AL$1:$AL$1048566,'[1]ESCALA DE PRODUÇÃO'!$AJ$1:$AJ$1048566,"NÃO ENCOTRADO")</f>
        <v>009075 - ROTISSERIA PANQUECA MASSA ESPINAFRE FRAN.CREAM.BENDITO KG</v>
      </c>
      <c r="C56" s="44">
        <v>3</v>
      </c>
      <c r="D56" s="28" t="str">
        <f>_xlfn.XLOOKUP(A56,'[1]ESCALA DE PRODUÇÃO'!$AL$1:$AL$1048566,'[1]ESCALA DE PRODUÇÃO'!$AK$1:$AK$1048566,"0")</f>
        <v>KG/0001</v>
      </c>
      <c r="E56" s="32">
        <f>'[1]ESCALA DE PRODUÇÃO'!$I$46</f>
        <v>0.25</v>
      </c>
      <c r="F56" s="45">
        <f>IFERROR(C56/E56,"0")</f>
        <v>12</v>
      </c>
      <c r="G56" s="30">
        <f>_xlfn.XLOOKUP(A56,'[1]ESCALA DE PRODUÇÃO'!$AL$1:$AL$1048566,'[1]ESCALA DE PRODUÇÃO'!$AM$1:$AM$1048566,"SEM PREÇO")</f>
        <v>62.9</v>
      </c>
      <c r="H56" s="33">
        <f>IFERROR(C56*G56,"0")</f>
        <v>188.7</v>
      </c>
      <c r="I56" s="50" t="str">
        <f>_xlfn.XLOOKUP(A56,'DADOS DE VENDA'!G:G,'DADOS DE VENDA'!J:J,"SEM VENDA")</f>
        <v>SEM VENDA</v>
      </c>
      <c r="J56" s="42" t="str">
        <f>IFERROR(I56/E56,"0")</f>
        <v>0</v>
      </c>
      <c r="K56" s="43" t="str">
        <f>IFERROR(I56*G56,"0")</f>
        <v>0</v>
      </c>
      <c r="L56" s="51" t="str">
        <f>_xlfn.XLOOKUP(A56,'DADOS DE VENDA'!A:A,'DADOS DE VENDA'!E:E,"RUPTURA NO PERIODO")</f>
        <v>RUPTURA NO PERIODO</v>
      </c>
      <c r="M56" s="88" t="str" cm="1">
        <f t="array" ref="M56">_xlfn.IFS(C56&lt;I56,"ABAIXO",C56&gt;I56,"ACIMA",C56=I56,"OK")</f>
        <v>ABAIXO</v>
      </c>
      <c r="O56" s="87">
        <f>('[1]ESCALA DE PRODUÇÃO'!Q46)</f>
        <v>7570</v>
      </c>
      <c r="P56" s="29" t="str">
        <f>_xlfn.XLOOKUP(O56,'[1]ESCALA DE PRODUÇÃO'!$AL$1:$AL$1048566,'[1]ESCALA DE PRODUÇÃO'!$AJ$1:$AJ$1048566,"NÃO ENCOTRADO")</f>
        <v>007570 - MOLHO PESTO BENDITO KG</v>
      </c>
      <c r="Q56" s="44">
        <v>0</v>
      </c>
      <c r="R56" s="45">
        <f>F56</f>
        <v>12</v>
      </c>
    </row>
    <row r="57" spans="1:18" ht="19" thickBot="1" x14ac:dyDescent="0.5">
      <c r="A57" s="87">
        <f>'[1]ESCALA DE PRODUÇÃO'!G47</f>
        <v>0</v>
      </c>
      <c r="B57" s="29" t="str">
        <f>_xlfn.XLOOKUP(A57,'[1]ESCALA DE PRODUÇÃO'!$AL$1:$AL$1048566,'[1]ESCALA DE PRODUÇÃO'!$AJ$1:$AJ$1048566,"NÃO ENCOTRADO")</f>
        <v>NÃO ENCOTRADO</v>
      </c>
      <c r="C57" s="44">
        <v>0</v>
      </c>
      <c r="D57" s="28" t="str">
        <f>_xlfn.XLOOKUP(A57,'[1]ESCALA DE PRODUÇÃO'!$AL$1:$AL$1048566,'[1]ESCALA DE PRODUÇÃO'!$AK$1:$AK$1048566,"0")</f>
        <v>0</v>
      </c>
      <c r="E57" s="32">
        <f>'[1]ESCALA DE PRODUÇÃO'!$I$46</f>
        <v>0.25</v>
      </c>
      <c r="F57" s="45">
        <f>IFERROR(C57/E57,"0")</f>
        <v>0</v>
      </c>
      <c r="G57" s="30" t="str">
        <f>_xlfn.XLOOKUP(A57,'[1]ESCALA DE PRODUÇÃO'!$AL$1:$AL$1048566,'[1]ESCALA DE PRODUÇÃO'!$AM$1:$AM$1048566,"SEM PREÇO")</f>
        <v>SEM PREÇO</v>
      </c>
      <c r="H57" s="33" t="str">
        <f>IFERROR(C57*G57,"0")</f>
        <v>0</v>
      </c>
      <c r="I57" s="50" t="str">
        <f>_xlfn.XLOOKUP(A57,'DADOS DE VENDA'!G:G,'DADOS DE VENDA'!J:J,"SEM VENDA")</f>
        <v>SEM VENDA</v>
      </c>
      <c r="J57" s="42" t="str">
        <f>IFERROR(I57/E57,"0")</f>
        <v>0</v>
      </c>
      <c r="K57" s="43" t="str">
        <f>IFERROR(I57*G57,"0")</f>
        <v>0</v>
      </c>
      <c r="L57" s="51" t="str">
        <f>_xlfn.XLOOKUP(A57,'DADOS DE VENDA'!A:A,'DADOS DE VENDA'!E:E,"RUPTURA NO PERIODO")</f>
        <v>RUPTURA NO PERIODO</v>
      </c>
      <c r="M57" s="88" t="str" cm="1">
        <f t="array" ref="M57">_xlfn.IFS(C57&lt;I57,"ABAIXO",C57&gt;I57,"ACIMA",C57=I57,"OK")</f>
        <v>ABAIXO</v>
      </c>
      <c r="O57" s="87">
        <f>('[1]ESCALA DE PRODUÇÃO'!Q47)</f>
        <v>0</v>
      </c>
      <c r="P57" s="29" t="str">
        <f>_xlfn.XLOOKUP(O57,'[1]ESCALA DE PRODUÇÃO'!$AL$1:$AL$1048566,'[1]ESCALA DE PRODUÇÃO'!$AJ$1:$AJ$1048566,"NÃO ENCOTRADO")</f>
        <v>NÃO ENCOTRADO</v>
      </c>
      <c r="Q57" s="44">
        <f>C57</f>
        <v>0</v>
      </c>
      <c r="R57" s="45">
        <f>F57</f>
        <v>0</v>
      </c>
    </row>
    <row r="58" spans="1:18" ht="19" thickBot="1" x14ac:dyDescent="0.5">
      <c r="A58" s="87">
        <f>'[1]ESCALA DE PRODUÇÃO'!G48</f>
        <v>0</v>
      </c>
      <c r="B58" s="29" t="str">
        <f>_xlfn.XLOOKUP(A58,'[1]ESCALA DE PRODUÇÃO'!$AL$1:$AL$1048566,'[1]ESCALA DE PRODUÇÃO'!$AJ$1:$AJ$1048566,"NÃO ENCOTRADO")</f>
        <v>NÃO ENCOTRADO</v>
      </c>
      <c r="C58" s="44">
        <v>0</v>
      </c>
      <c r="D58" s="28" t="str">
        <f>_xlfn.XLOOKUP(A58,'[1]ESCALA DE PRODUÇÃO'!$AL$1:$AL$1048566,'[1]ESCALA DE PRODUÇÃO'!$AK$1:$AK$1048566,"0")</f>
        <v>0</v>
      </c>
      <c r="E58" s="32">
        <f>'[1]ESCALA DE PRODUÇÃO'!$I$46</f>
        <v>0.25</v>
      </c>
      <c r="F58" s="45">
        <f>IFERROR(C58/E58,"0")</f>
        <v>0</v>
      </c>
      <c r="G58" s="30" t="str">
        <f>_xlfn.XLOOKUP(A58,'[1]ESCALA DE PRODUÇÃO'!$AL$1:$AL$1048566,'[1]ESCALA DE PRODUÇÃO'!$AM$1:$AM$1048566,"SEM PREÇO")</f>
        <v>SEM PREÇO</v>
      </c>
      <c r="H58" s="33" t="str">
        <f>IFERROR(C58*G58,"0")</f>
        <v>0</v>
      </c>
      <c r="I58" s="50" t="str">
        <f>_xlfn.XLOOKUP(A58,'DADOS DE VENDA'!G:G,'DADOS DE VENDA'!J:J,"SEM VENDA")</f>
        <v>SEM VENDA</v>
      </c>
      <c r="J58" s="42" t="str">
        <f>IFERROR(I58/E58,"0")</f>
        <v>0</v>
      </c>
      <c r="K58" s="43" t="str">
        <f>IFERROR(I58*G58,"0")</f>
        <v>0</v>
      </c>
      <c r="L58" s="51" t="str">
        <f>_xlfn.XLOOKUP(A58,'DADOS DE VENDA'!A:A,'DADOS DE VENDA'!E:E,"RUPTURA NO PERIODO")</f>
        <v>RUPTURA NO PERIODO</v>
      </c>
      <c r="M58" s="88" t="str" cm="1">
        <f t="array" ref="M58">_xlfn.IFS(C58&lt;I58,"ABAIXO",C58&gt;I58,"ACIMA",C58=I58,"OK")</f>
        <v>ABAIXO</v>
      </c>
      <c r="O58" s="87">
        <f>('[1]ESCALA DE PRODUÇÃO'!Q48)</f>
        <v>0</v>
      </c>
      <c r="P58" s="29" t="str">
        <f>_xlfn.XLOOKUP(O58,'[1]ESCALA DE PRODUÇÃO'!$AL$1:$AL$1048566,'[1]ESCALA DE PRODUÇÃO'!$AJ$1:$AJ$1048566,"NÃO ENCOTRADO")</f>
        <v>NÃO ENCOTRADO</v>
      </c>
      <c r="Q58" s="44">
        <f>C58</f>
        <v>0</v>
      </c>
      <c r="R58" s="45">
        <f>F58</f>
        <v>0</v>
      </c>
    </row>
    <row r="59" spans="1:18" ht="19" thickBot="1" x14ac:dyDescent="0.5">
      <c r="A59" s="87">
        <f>'[1]ESCALA DE PRODUÇÃO'!G49</f>
        <v>0</v>
      </c>
      <c r="B59" s="29" t="str">
        <f>_xlfn.XLOOKUP(A59,'[1]ESCALA DE PRODUÇÃO'!$AL$1:$AL$1048566,'[1]ESCALA DE PRODUÇÃO'!$AJ$1:$AJ$1048566,"NÃO ENCOTRADO")</f>
        <v>NÃO ENCOTRADO</v>
      </c>
      <c r="C59" s="44">
        <v>0</v>
      </c>
      <c r="D59" s="28" t="str">
        <f>_xlfn.XLOOKUP(A59,'[1]ESCALA DE PRODUÇÃO'!$AL$1:$AL$1048566,'[1]ESCALA DE PRODUÇÃO'!$AK$1:$AK$1048566,"0")</f>
        <v>0</v>
      </c>
      <c r="E59" s="32">
        <f>'[1]ESCALA DE PRODUÇÃO'!$I$46</f>
        <v>0.25</v>
      </c>
      <c r="F59" s="45">
        <f>IFERROR(C59/E59,"0")</f>
        <v>0</v>
      </c>
      <c r="G59" s="30" t="str">
        <f>_xlfn.XLOOKUP(A59,'[1]ESCALA DE PRODUÇÃO'!$AL$1:$AL$1048566,'[1]ESCALA DE PRODUÇÃO'!$AM$1:$AM$1048566,"SEM PREÇO")</f>
        <v>SEM PREÇO</v>
      </c>
      <c r="H59" s="33" t="str">
        <f>IFERROR(C59*G59,"0")</f>
        <v>0</v>
      </c>
      <c r="I59" s="50" t="str">
        <f>_xlfn.XLOOKUP(A59,'DADOS DE VENDA'!G:G,'DADOS DE VENDA'!J:J,"SEM VENDA")</f>
        <v>SEM VENDA</v>
      </c>
      <c r="J59" s="42" t="str">
        <f>IFERROR(I59/E59,"0")</f>
        <v>0</v>
      </c>
      <c r="K59" s="43" t="str">
        <f>IFERROR(I59*G59,"0")</f>
        <v>0</v>
      </c>
      <c r="L59" s="51" t="str">
        <f>_xlfn.XLOOKUP(A59,'DADOS DE VENDA'!A:A,'DADOS DE VENDA'!E:E,"RUPTURA NO PERIODO")</f>
        <v>RUPTURA NO PERIODO</v>
      </c>
      <c r="M59" s="88" t="str" cm="1">
        <f t="array" ref="M59">_xlfn.IFS(C59&lt;I59,"ABAIXO",C59&gt;I59,"ACIMA",C59=I59,"OK")</f>
        <v>ABAIXO</v>
      </c>
      <c r="O59" s="87">
        <f>('[1]ESCALA DE PRODUÇÃO'!Q49)</f>
        <v>0</v>
      </c>
      <c r="P59" s="29" t="str">
        <f>_xlfn.XLOOKUP(O59,'[1]ESCALA DE PRODUÇÃO'!$AL$1:$AL$1048566,'[1]ESCALA DE PRODUÇÃO'!$AJ$1:$AJ$1048566,"NÃO ENCOTRADO")</f>
        <v>NÃO ENCOTRADO</v>
      </c>
      <c r="Q59" s="44">
        <f>C59</f>
        <v>0</v>
      </c>
      <c r="R59" s="45">
        <f>F59</f>
        <v>0</v>
      </c>
    </row>
    <row r="60" spans="1:18" ht="19" thickBot="1" x14ac:dyDescent="0.5">
      <c r="A60" s="87"/>
      <c r="B60" s="103" t="s">
        <v>176</v>
      </c>
      <c r="C60" s="103" t="s">
        <v>173</v>
      </c>
      <c r="D60" s="159"/>
      <c r="E60" s="160"/>
      <c r="F60" s="105" t="s">
        <v>174</v>
      </c>
      <c r="G60" s="161">
        <f>SUM(H51,H52,H53,H54,H56,H57,H58,H59)</f>
        <v>590.09999999999991</v>
      </c>
      <c r="H60" s="162"/>
      <c r="I60" s="50">
        <f>_xlfn.XLOOKUP(A60,'DADOS DE VENDA'!G:G,'DADOS DE VENDA'!J:J,"SEM VENDA")</f>
        <v>0</v>
      </c>
      <c r="J60" s="163">
        <f>SUM(K51,K52,K53,K54,K56,K57,K58,K59)</f>
        <v>0</v>
      </c>
      <c r="K60" s="164"/>
      <c r="L60" s="104"/>
      <c r="M60" s="107"/>
      <c r="O60" s="147" t="s">
        <v>5</v>
      </c>
      <c r="P60" s="148"/>
      <c r="Q60" s="149">
        <f>G60</f>
        <v>590.09999999999991</v>
      </c>
      <c r="R60" s="150"/>
    </row>
    <row r="62" spans="1:18" ht="15" thickBot="1" x14ac:dyDescent="0.4"/>
    <row r="63" spans="1:18" x14ac:dyDescent="0.35">
      <c r="O63" s="166" t="s">
        <v>225</v>
      </c>
      <c r="P63" s="167"/>
      <c r="Q63" s="172">
        <f>SUM(Q28,Q45,Q60)</f>
        <v>1811.5799999999997</v>
      </c>
      <c r="R63" s="173"/>
    </row>
    <row r="64" spans="1:18" x14ac:dyDescent="0.35">
      <c r="O64" s="168"/>
      <c r="P64" s="169"/>
      <c r="Q64" s="174"/>
      <c r="R64" s="175"/>
    </row>
    <row r="65" spans="15:18" ht="15" thickBot="1" x14ac:dyDescent="0.4">
      <c r="O65" s="170"/>
      <c r="P65" s="171"/>
      <c r="Q65" s="176"/>
      <c r="R65" s="177"/>
    </row>
  </sheetData>
  <mergeCells count="41">
    <mergeCell ref="A1:C1"/>
    <mergeCell ref="D2:H2"/>
    <mergeCell ref="I31:M31"/>
    <mergeCell ref="A32:B32"/>
    <mergeCell ref="I32:M32"/>
    <mergeCell ref="A31:C31"/>
    <mergeCell ref="D32:H32"/>
    <mergeCell ref="A2:B2"/>
    <mergeCell ref="I2:M2"/>
    <mergeCell ref="D28:E28"/>
    <mergeCell ref="G28:H28"/>
    <mergeCell ref="J28:K28"/>
    <mergeCell ref="I1:M1"/>
    <mergeCell ref="D45:E45"/>
    <mergeCell ref="G45:H45"/>
    <mergeCell ref="J45:K45"/>
    <mergeCell ref="I48:M48"/>
    <mergeCell ref="A48:C48"/>
    <mergeCell ref="D60:E60"/>
    <mergeCell ref="G60:H60"/>
    <mergeCell ref="J60:K60"/>
    <mergeCell ref="A49:B49"/>
    <mergeCell ref="I49:M49"/>
    <mergeCell ref="D49:H49"/>
    <mergeCell ref="O1:P1"/>
    <mergeCell ref="O2:P2"/>
    <mergeCell ref="Q2:R2"/>
    <mergeCell ref="O28:P28"/>
    <mergeCell ref="Q28:R28"/>
    <mergeCell ref="O48:P48"/>
    <mergeCell ref="O31:P31"/>
    <mergeCell ref="O32:P32"/>
    <mergeCell ref="Q32:R32"/>
    <mergeCell ref="O45:P45"/>
    <mergeCell ref="Q45:R45"/>
    <mergeCell ref="Q60:R60"/>
    <mergeCell ref="O60:P60"/>
    <mergeCell ref="Q49:R49"/>
    <mergeCell ref="O49:P49"/>
    <mergeCell ref="O63:P65"/>
    <mergeCell ref="Q63:R65"/>
  </mergeCells>
  <conditionalFormatting sqref="I4:I6 I8:I10 I12:I13 I15:I16 I18:I20 I22:I24 I26:I28">
    <cfRule type="containsText" dxfId="43" priority="9" operator="containsText" text="SEM VENDA">
      <formula>NOT(ISERROR(SEARCH("SEM VENDA",I4)))</formula>
    </cfRule>
  </conditionalFormatting>
  <conditionalFormatting sqref="I34:I36 I38:I40 I42:I45">
    <cfRule type="containsText" dxfId="41" priority="7" operator="containsText" text="SEM VENDA">
      <formula>NOT(ISERROR(SEARCH("SEM VENDA",I34)))</formula>
    </cfRule>
  </conditionalFormatting>
  <conditionalFormatting sqref="I51:I54 I56:I60">
    <cfRule type="containsText" dxfId="40" priority="2" operator="containsText" text="SEM VENDA">
      <formula>NOT(ISERROR(SEARCH("SEM VENDA",I51)))</formula>
    </cfRule>
  </conditionalFormatting>
  <conditionalFormatting sqref="L4:L6 L8:L10 L12:L13 L15:L16 L18:L20 L22:L24 L26:L28">
    <cfRule type="containsText" dxfId="39" priority="10" operator="containsText" text="RUPTURA NO PERIODO">
      <formula>NOT(ISERROR(SEARCH("RUPTURA NO PERIODO",L4)))</formula>
    </cfRule>
  </conditionalFormatting>
  <conditionalFormatting sqref="L34:L36 L38:L40 L42:L45">
    <cfRule type="containsText" dxfId="37" priority="8" operator="containsText" text="RUPTURA NO PERIODO">
      <formula>NOT(ISERROR(SEARCH("RUPTURA NO PERIODO",L34)))</formula>
    </cfRule>
  </conditionalFormatting>
  <conditionalFormatting sqref="L51:L54">
    <cfRule type="containsText" dxfId="36" priority="3" operator="containsText" text="RUPTURA NO PERIODO">
      <formula>NOT(ISERROR(SEARCH("RUPTURA NO PERIODO",L51)))</formula>
    </cfRule>
  </conditionalFormatting>
  <conditionalFormatting sqref="L56:L60">
    <cfRule type="containsText" dxfId="35" priority="1" operator="containsText" text="RUPTURA NO PERIODO">
      <formula>NOT(ISERROR(SEARCH("RUPTURA NO PERIODO",L56)))</formula>
    </cfRule>
  </conditionalFormatting>
  <pageMargins left="0.25" right="0.25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id="{452C7565-38B4-4786-93BA-AFA466766A23}">
            <xm:f>NOT(ISERROR(SEARCH($I$4,I29)))</xm:f>
            <xm:f>$I$4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I29:I30</xm:sqref>
        </x14:conditionalFormatting>
        <x14:conditionalFormatting xmlns:xm="http://schemas.microsoft.com/office/excel/2006/main">
          <x14:cfRule type="containsText" priority="11" operator="containsText" id="{2F6BD7A6-82A5-4E3B-A1AC-293CA387840E}">
            <xm:f>NOT(ISERROR(SEARCH($L$4,L29)))</xm:f>
            <xm:f>$L$4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L29:L30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3917-2974-42D6-BFEF-D7D9B23EBACA}">
  <sheetPr>
    <tabColor theme="5" tint="0.39997558519241921"/>
    <pageSetUpPr fitToPage="1"/>
  </sheetPr>
  <dimension ref="A1:S65"/>
  <sheetViews>
    <sheetView tabSelected="1" topLeftCell="C3" zoomScale="57" zoomScaleNormal="45" workbookViewId="0">
      <selection activeCell="P3" sqref="P3:P27"/>
    </sheetView>
  </sheetViews>
  <sheetFormatPr defaultRowHeight="14.5" x14ac:dyDescent="0.35"/>
  <cols>
    <col min="2" max="2" width="67.08984375" bestFit="1" customWidth="1"/>
    <col min="3" max="3" width="8.453125" customWidth="1"/>
    <col min="4" max="4" width="8.1796875" customWidth="1"/>
    <col min="5" max="5" width="9.6328125" bestFit="1" customWidth="1"/>
    <col min="6" max="6" width="9.36328125" bestFit="1" customWidth="1"/>
    <col min="7" max="7" width="11.26953125" style="2" bestFit="1" customWidth="1"/>
    <col min="8" max="8" width="11.08984375" bestFit="1" customWidth="1"/>
    <col min="9" max="9" width="14.6328125" style="143" bestFit="1" customWidth="1"/>
    <col min="10" max="11" width="10.90625" customWidth="1"/>
    <col min="12" max="12" width="20.08984375" bestFit="1" customWidth="1"/>
    <col min="16" max="16" width="6.6328125" bestFit="1" customWidth="1"/>
    <col min="17" max="17" width="67.08984375" bestFit="1" customWidth="1"/>
    <col min="19" max="19" width="11.90625" bestFit="1" customWidth="1"/>
  </cols>
  <sheetData>
    <row r="1" spans="1:19" ht="21.5" thickBot="1" x14ac:dyDescent="0.55000000000000004">
      <c r="A1" s="193" t="s">
        <v>183</v>
      </c>
      <c r="B1" s="194"/>
      <c r="C1" s="194"/>
      <c r="D1" s="118"/>
      <c r="E1" s="118"/>
      <c r="F1" s="118"/>
      <c r="G1" s="118"/>
      <c r="H1" s="118"/>
      <c r="I1" s="196" t="s">
        <v>171</v>
      </c>
      <c r="J1" s="196"/>
      <c r="K1" s="196"/>
      <c r="L1" s="196"/>
      <c r="M1" s="197"/>
      <c r="P1" s="157" t="s">
        <v>183</v>
      </c>
      <c r="Q1" s="158"/>
      <c r="R1" s="132" t="s">
        <v>102</v>
      </c>
      <c r="S1" s="131">
        <v>46049</v>
      </c>
    </row>
    <row r="2" spans="1:19" ht="15" thickBot="1" x14ac:dyDescent="0.4">
      <c r="A2" s="186" t="s">
        <v>154</v>
      </c>
      <c r="B2" s="152"/>
      <c r="C2" s="119" t="s">
        <v>174</v>
      </c>
      <c r="D2" s="146" t="s">
        <v>155</v>
      </c>
      <c r="E2" s="146"/>
      <c r="F2" s="146"/>
      <c r="G2" s="146"/>
      <c r="H2" s="156"/>
      <c r="I2" s="146" t="s">
        <v>156</v>
      </c>
      <c r="J2" s="146"/>
      <c r="K2" s="146"/>
      <c r="L2" s="146"/>
      <c r="M2" s="146"/>
      <c r="P2" s="151" t="s">
        <v>192</v>
      </c>
      <c r="Q2" s="152"/>
      <c r="R2" s="145" t="s">
        <v>155</v>
      </c>
      <c r="S2" s="146"/>
    </row>
    <row r="3" spans="1:19" ht="15" thickBot="1" x14ac:dyDescent="0.4">
      <c r="A3" s="5" t="s">
        <v>8</v>
      </c>
      <c r="B3" s="6" t="s">
        <v>164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139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P3" s="85" t="s">
        <v>8</v>
      </c>
      <c r="Q3" s="6" t="s">
        <v>164</v>
      </c>
      <c r="R3" s="3" t="s">
        <v>2</v>
      </c>
      <c r="S3" s="3" t="s">
        <v>6</v>
      </c>
    </row>
    <row r="4" spans="1:19" ht="19" thickBot="1" x14ac:dyDescent="0.5">
      <c r="A4" s="28">
        <f>('[1]ESCALA DE PRODUÇÃO'!L3)</f>
        <v>7673</v>
      </c>
      <c r="B4" s="29" t="str">
        <f>_xlfn.XLOOKUP(A4,'[1]ESCALA DE PRODUÇÃO'!$AL$1:$AL$1048566,'[1]ESCALA DE PRODUÇÃO'!$AJ$1:$AJ$1048566,"NÃO ENCOTRADO")</f>
        <v>007673 - REFEICAO FILE FRANGO PARMEGIANA BENDITO UN</v>
      </c>
      <c r="C4" s="44">
        <v>14</v>
      </c>
      <c r="D4" s="28" t="str">
        <f>_xlfn.XLOOKUP(A4,'[1]ESCALA DE PRODUÇÃO'!$AL$1:$AL$1048566,'[1]ESCALA DE PRODUÇÃO'!$AK$1:$AK$1048566,"0")</f>
        <v>UN/0001</v>
      </c>
      <c r="E4" s="32">
        <f>('[1]ESCALA DE PRODUÇÃO'!N3)</f>
        <v>1</v>
      </c>
      <c r="F4" s="45">
        <f>IFERROR(C4/E4,"0")</f>
        <v>14</v>
      </c>
      <c r="G4" s="30">
        <f>_xlfn.XLOOKUP(A4,'[1]ESCALA DE PRODUÇÃO'!$AL$1:$AL$1048566,'[1]ESCALA DE PRODUÇÃO'!$AM$1:$AM$1048566,"SEM PREÇO")</f>
        <v>25.9</v>
      </c>
      <c r="H4" s="31">
        <f>IFERROR(C4*G4,"0")</f>
        <v>362.59999999999997</v>
      </c>
      <c r="I4" s="140">
        <f>_xlfn.XLOOKUP(A4,'DADOS DE VENDA'!M:M,'DADOS DE VENDA'!P:P,"SEM VENDA")</f>
        <v>14</v>
      </c>
      <c r="J4" s="47">
        <f>IFERROR(I4/E4,"0")</f>
        <v>14</v>
      </c>
      <c r="K4" s="48">
        <f>IFERROR(I4*G4,"0")</f>
        <v>362.59999999999997</v>
      </c>
      <c r="L4" s="49" t="str">
        <f>_xlfn.XLOOKUP(A4,'DADOS DE VENDA'!A:A,'DADOS DE VENDA'!E:E,"RUPTURA NO PERIODO")</f>
        <v>RUPTURA NO PERIODO</v>
      </c>
      <c r="M4" s="88" t="str" cm="1">
        <f t="array" ref="M4">_xlfn.IFS(C4&lt;I4,"ABAIXO",C4&gt;I4,"ACIMA",C4=I4,"OK")</f>
        <v>OK</v>
      </c>
      <c r="P4" s="87">
        <f>A4</f>
        <v>7673</v>
      </c>
      <c r="Q4" s="29" t="str">
        <f>_xlfn.XLOOKUP(P4,'[1]ESCALA DE PRODUÇÃO'!$AL$1:$AL$1048566,'[1]ESCALA DE PRODUÇÃO'!$AJ$1:$AJ$1048566,"NÃO ENCOTRADO")</f>
        <v>007673 - REFEICAO FILE FRANGO PARMEGIANA BENDITO UN</v>
      </c>
      <c r="R4" s="44">
        <f>C4</f>
        <v>14</v>
      </c>
      <c r="S4" s="45">
        <f>(F4)</f>
        <v>14</v>
      </c>
    </row>
    <row r="5" spans="1:19" ht="19" thickBot="1" x14ac:dyDescent="0.5">
      <c r="A5" s="28">
        <f>('[1]ESCALA DE PRODUÇÃO'!L4)</f>
        <v>8948</v>
      </c>
      <c r="B5" s="29" t="str">
        <f>_xlfn.XLOOKUP(A5,'[1]ESCALA DE PRODUÇÃO'!$AL$1:$AL$1048566,'[1]ESCALA DE PRODUÇÃO'!$AJ$1:$AJ$1048566,"NÃO ENCOTRADO")</f>
        <v xml:space="preserve">008948 - REF COPA LOMBO SUINA MILANESA BENDITO </v>
      </c>
      <c r="C5" s="44">
        <v>10</v>
      </c>
      <c r="D5" s="28" t="str">
        <f>_xlfn.XLOOKUP(A5,'[1]ESCALA DE PRODUÇÃO'!$AL$1:$AL$1048566,'[1]ESCALA DE PRODUÇÃO'!$AK$1:$AK$1048566,"0")</f>
        <v>UN/0001</v>
      </c>
      <c r="E5" s="32">
        <f>('[1]ESCALA DE PRODUÇÃO'!N4)</f>
        <v>1</v>
      </c>
      <c r="F5" s="45">
        <f>IFERROR(C5/E5,"0")</f>
        <v>10</v>
      </c>
      <c r="G5" s="30">
        <f>_xlfn.XLOOKUP(A5,'[1]ESCALA DE PRODUÇÃO'!$AL$1:$AL$1048566,'[1]ESCALA DE PRODUÇÃO'!$AM$1:$AM$1048566,"SEM PREÇO")</f>
        <v>23.9</v>
      </c>
      <c r="H5" s="33">
        <f>IFERROR(C5*G5,"0")</f>
        <v>239</v>
      </c>
      <c r="I5" s="140" t="str">
        <f>_xlfn.XLOOKUP(A5,'DADOS DE VENDA'!M:M,'DADOS DE VENDA'!P:P,"SEM VENDA")</f>
        <v>SEM VENDA</v>
      </c>
      <c r="J5" s="42" t="str">
        <f>IFERROR(I5/E5,"0")</f>
        <v>0</v>
      </c>
      <c r="K5" s="43" t="str">
        <f>IFERROR(I5*G5,"0")</f>
        <v>0</v>
      </c>
      <c r="L5" s="51" t="str">
        <f>_xlfn.XLOOKUP(A5,'DADOS DE VENDA'!A:A,'DADOS DE VENDA'!E:E,"RUPTURA NO PERIODO")</f>
        <v>RUPTURA NO PERIODO</v>
      </c>
      <c r="M5" s="88" t="str" cm="1">
        <f t="array" ref="M5">_xlfn.IFS(C5&lt;I5,"ABAIXO",C5&gt;I5,"ACIMA",C5=I5,"OK")</f>
        <v>ABAIXO</v>
      </c>
      <c r="P5" s="87">
        <f t="shared" ref="P5:P27" si="0">A5</f>
        <v>8948</v>
      </c>
      <c r="Q5" s="29" t="str">
        <f>_xlfn.XLOOKUP(P5,'[1]ESCALA DE PRODUÇÃO'!$AL$1:$AL$1048566,'[1]ESCALA DE PRODUÇÃO'!$AJ$1:$AJ$1048566,"NÃO ENCOTRADO")</f>
        <v xml:space="preserve">008948 - REF COPA LOMBO SUINA MILANESA BENDITO </v>
      </c>
      <c r="R5" s="44">
        <f t="shared" ref="R5:R27" si="1">C5</f>
        <v>10</v>
      </c>
      <c r="S5" s="45">
        <f t="shared" ref="S5:S27" si="2">(F5)</f>
        <v>10</v>
      </c>
    </row>
    <row r="6" spans="1:19" ht="19" thickBot="1" x14ac:dyDescent="0.5">
      <c r="A6" s="28">
        <f>('[1]ESCALA DE PRODUÇÃO'!L5)</f>
        <v>0</v>
      </c>
      <c r="B6" s="29" t="str">
        <f>_xlfn.XLOOKUP(A6,'[1]ESCALA DE PRODUÇÃO'!$AL$1:$AL$1048566,'[1]ESCALA DE PRODUÇÃO'!$AJ$1:$AJ$1048566,"NÃO ENCOTRADO")</f>
        <v>NÃO ENCOTRADO</v>
      </c>
      <c r="C6" s="44">
        <v>0</v>
      </c>
      <c r="D6" s="28" t="str">
        <f>_xlfn.XLOOKUP(A6,'[1]ESCALA DE PRODUÇÃO'!$AL$1:$AL$1048566,'[1]ESCALA DE PRODUÇÃO'!$AK$1:$AK$1048566,"0")</f>
        <v>0</v>
      </c>
      <c r="E6" s="32">
        <f>('[1]ESCALA DE PRODUÇÃO'!N5)</f>
        <v>1</v>
      </c>
      <c r="F6" s="45">
        <f>IFERROR(C6/E6,"0")</f>
        <v>0</v>
      </c>
      <c r="G6" s="30" t="str">
        <f>_xlfn.XLOOKUP(A6,'[1]ESCALA DE PRODUÇÃO'!$AL$1:$AL$1048566,'[1]ESCALA DE PRODUÇÃO'!$AM$1:$AM$1048566,"SEM PREÇO")</f>
        <v>SEM PREÇO</v>
      </c>
      <c r="H6" s="33" t="str">
        <f>IFERROR(C6*G6,"0")</f>
        <v>0</v>
      </c>
      <c r="I6" s="140" t="str">
        <f>_xlfn.XLOOKUP(A6,'DADOS DE VENDA'!M:M,'DADOS DE VENDA'!P:P,"SEM VENDA")</f>
        <v>SEM VENDA</v>
      </c>
      <c r="J6" s="42" t="str">
        <f>IFERROR(I6/E6,"0")</f>
        <v>0</v>
      </c>
      <c r="K6" s="43" t="str">
        <f>IFERROR(I6*G6,"0")</f>
        <v>0</v>
      </c>
      <c r="L6" s="51" t="str">
        <f>_xlfn.XLOOKUP(A6,'DADOS DE VENDA'!A:A,'DADOS DE VENDA'!E:E,"RUPTURA NO PERIODO")</f>
        <v>RUPTURA NO PERIODO</v>
      </c>
      <c r="M6" s="88" t="str" cm="1">
        <f t="array" ref="M6">_xlfn.IFS(C6&lt;I6,"ABAIXO",C6&gt;I6,"ACIMA",C6=I6,"OK")</f>
        <v>ABAIXO</v>
      </c>
      <c r="P6" s="87">
        <f t="shared" si="0"/>
        <v>0</v>
      </c>
      <c r="Q6" s="29" t="str">
        <f>_xlfn.XLOOKUP(P6,'[1]ESCALA DE PRODUÇÃO'!$AL$1:$AL$1048566,'[1]ESCALA DE PRODUÇÃO'!$AJ$1:$AJ$1048566,"NÃO ENCOTRADO")</f>
        <v>NÃO ENCOTRADO</v>
      </c>
      <c r="R6" s="44">
        <f t="shared" si="1"/>
        <v>0</v>
      </c>
      <c r="S6" s="45">
        <f t="shared" si="2"/>
        <v>0</v>
      </c>
    </row>
    <row r="7" spans="1:19" ht="15" thickBot="1" x14ac:dyDescent="0.4">
      <c r="A7" s="5" t="s">
        <v>8</v>
      </c>
      <c r="B7" s="6" t="s">
        <v>165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139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P7" s="85" t="s">
        <v>8</v>
      </c>
      <c r="Q7" s="6" t="s">
        <v>165</v>
      </c>
      <c r="R7" s="3" t="s">
        <v>2</v>
      </c>
      <c r="S7" s="3" t="s">
        <v>6</v>
      </c>
    </row>
    <row r="8" spans="1:19" ht="19" thickBot="1" x14ac:dyDescent="0.5">
      <c r="A8" s="28">
        <f>('[1]ESCALA DE PRODUÇÃO'!L7)</f>
        <v>8480</v>
      </c>
      <c r="B8" s="29" t="str">
        <f>_xlfn.XLOOKUP(A8,'[1]ESCALA DE PRODUÇÃO'!$AL$1:$AL$1048566,'[1]ESCALA DE PRODUÇÃO'!$AJ$1:$AJ$1048566,"NÃO ENCOTRADO")</f>
        <v>008480 - ROTISSERIA MACARRONADA A BOLONHESA BENDITO KG</v>
      </c>
      <c r="C8" s="44">
        <v>3.5</v>
      </c>
      <c r="D8" s="28" t="str">
        <f>_xlfn.XLOOKUP(A8,'[1]ESCALA DE PRODUÇÃO'!$AL$1:$AL$1048566,'[1]ESCALA DE PRODUÇÃO'!$AK$1:$AK$1048566,"0")</f>
        <v>KG/0001</v>
      </c>
      <c r="E8" s="32">
        <f>('[1]ESCALA DE PRODUÇÃO'!N7)</f>
        <v>0.35</v>
      </c>
      <c r="F8" s="45">
        <f>IFERROR(C8/E8,"0")</f>
        <v>10</v>
      </c>
      <c r="G8" s="30">
        <f>_xlfn.XLOOKUP(A8,'[1]ESCALA DE PRODUÇÃO'!$AL$1:$AL$1048566,'[1]ESCALA DE PRODUÇÃO'!$AM$1:$AM$1048566,"SEM PREÇO")</f>
        <v>39.9</v>
      </c>
      <c r="H8" s="33">
        <f>IFERROR(C8*G8,"0")</f>
        <v>139.65</v>
      </c>
      <c r="I8" s="140">
        <f>_xlfn.XLOOKUP(A8,'DADOS DE VENDA'!M:M,'DADOS DE VENDA'!P:P,"SEM VENDA")</f>
        <v>4.66</v>
      </c>
      <c r="J8" s="42">
        <f>IFERROR(I8/E8,"0")</f>
        <v>13.314285714285715</v>
      </c>
      <c r="K8" s="43">
        <f>IFERROR(I8*G8,"0")</f>
        <v>185.934</v>
      </c>
      <c r="L8" s="51" t="str">
        <f>_xlfn.XLOOKUP(A8,'DADOS DE VENDA'!A:A,'DADOS DE VENDA'!E:E,"RUPTURA NO PERIODO")</f>
        <v>RUPTURA NO PERIODO</v>
      </c>
      <c r="M8" s="88" t="str" cm="1">
        <f t="array" ref="M8">_xlfn.IFS(C8&lt;I8,"ABAIXO",C8&gt;I8,"ACIMA",C8=I8,"OK")</f>
        <v>ABAIXO</v>
      </c>
      <c r="P8" s="87">
        <f t="shared" si="0"/>
        <v>8480</v>
      </c>
      <c r="Q8" s="29" t="str">
        <f>_xlfn.XLOOKUP(P8,'[1]ESCALA DE PRODUÇÃO'!$AL$1:$AL$1048566,'[1]ESCALA DE PRODUÇÃO'!$AJ$1:$AJ$1048566,"NÃO ENCOTRADO")</f>
        <v>008480 - ROTISSERIA MACARRONADA A BOLONHESA BENDITO KG</v>
      </c>
      <c r="R8" s="44">
        <f t="shared" si="1"/>
        <v>3.5</v>
      </c>
      <c r="S8" s="45">
        <f t="shared" si="2"/>
        <v>10</v>
      </c>
    </row>
    <row r="9" spans="1:19" ht="19" thickBot="1" x14ac:dyDescent="0.5">
      <c r="A9" s="28">
        <f>('[1]ESCALA DE PRODUÇÃO'!L8)</f>
        <v>8321</v>
      </c>
      <c r="B9" s="29" t="str">
        <f>_xlfn.XLOOKUP(A9,'[1]ESCALA DE PRODUÇÃO'!$AL$1:$AL$1048566,'[1]ESCALA DE PRODUÇÃO'!$AJ$1:$AJ$1048566,"NÃO ENCOTRADO")</f>
        <v>008321 - ROT.ESPAGUETE A BOLONHESA + POLPETONE RECHEADO BENDITO</v>
      </c>
      <c r="C9" s="44">
        <v>3.5</v>
      </c>
      <c r="D9" s="28" t="str">
        <f>_xlfn.XLOOKUP(A9,'[1]ESCALA DE PRODUÇÃO'!$AL$1:$AL$1048566,'[1]ESCALA DE PRODUÇÃO'!$AK$1:$AK$1048566,"0")</f>
        <v>UN/0001</v>
      </c>
      <c r="E9" s="32">
        <f>('[1]ESCALA DE PRODUÇÃO'!N8)</f>
        <v>1</v>
      </c>
      <c r="F9" s="45">
        <f>IFERROR(C9/E9,"0")</f>
        <v>3.5</v>
      </c>
      <c r="G9" s="30">
        <f>_xlfn.XLOOKUP(A9,'[1]ESCALA DE PRODUÇÃO'!$AL$1:$AL$1048566,'[1]ESCALA DE PRODUÇÃO'!$AM$1:$AM$1048566,"SEM PREÇO")</f>
        <v>25.9</v>
      </c>
      <c r="H9" s="33">
        <f>IFERROR(C9*G9,"0")</f>
        <v>90.649999999999991</v>
      </c>
      <c r="I9" s="140">
        <f>_xlfn.XLOOKUP(A9,'DADOS DE VENDA'!M:M,'DADOS DE VENDA'!P:P,"SEM VENDA")</f>
        <v>4</v>
      </c>
      <c r="J9" s="42">
        <f>IFERROR(I9/E9,"0")</f>
        <v>4</v>
      </c>
      <c r="K9" s="43">
        <f>IFERROR(I9*G9,"0")</f>
        <v>103.6</v>
      </c>
      <c r="L9" s="51" t="str">
        <f>_xlfn.XLOOKUP(A9,'DADOS DE VENDA'!A:A,'DADOS DE VENDA'!E:E,"RUPTURA NO PERIODO")</f>
        <v>RUPTURA NO PERIODO</v>
      </c>
      <c r="M9" s="88" t="str" cm="1">
        <f t="array" ref="M9">_xlfn.IFS(C9&lt;I9,"ABAIXO",C9&gt;I9,"ACIMA",C9=I9,"OK")</f>
        <v>ABAIXO</v>
      </c>
      <c r="P9" s="87">
        <f t="shared" si="0"/>
        <v>8321</v>
      </c>
      <c r="Q9" s="29" t="str">
        <f>_xlfn.XLOOKUP(P9,'[1]ESCALA DE PRODUÇÃO'!$AL$1:$AL$1048566,'[1]ESCALA DE PRODUÇÃO'!$AJ$1:$AJ$1048566,"NÃO ENCOTRADO")</f>
        <v>008321 - ROT.ESPAGUETE A BOLONHESA + POLPETONE RECHEADO BENDITO</v>
      </c>
      <c r="R9" s="44">
        <f t="shared" si="1"/>
        <v>3.5</v>
      </c>
      <c r="S9" s="45">
        <f t="shared" si="2"/>
        <v>3.5</v>
      </c>
    </row>
    <row r="10" spans="1:19" ht="19" thickBot="1" x14ac:dyDescent="0.5">
      <c r="A10" s="28">
        <f>('[1]ESCALA DE PRODUÇÃO'!L9)</f>
        <v>9019</v>
      </c>
      <c r="B10" s="29" t="str">
        <f>_xlfn.XLOOKUP(A10,'[1]ESCALA DE PRODUÇÃO'!$AL$1:$AL$1048566,'[1]ESCALA DE PRODUÇÃO'!$AJ$1:$AJ$1048566,"NÃO ENCOTRADO")</f>
        <v>NÃO ENCOTRADO</v>
      </c>
      <c r="C10" s="44">
        <v>0</v>
      </c>
      <c r="D10" s="28" t="str">
        <f>_xlfn.XLOOKUP(A10,'[1]ESCALA DE PRODUÇÃO'!$AL$1:$AL$1048566,'[1]ESCALA DE PRODUÇÃO'!$AK$1:$AK$1048566,"0")</f>
        <v>0</v>
      </c>
      <c r="E10" s="32">
        <f>('[1]ESCALA DE PRODUÇÃO'!N9)</f>
        <v>0</v>
      </c>
      <c r="F10" s="45" t="str">
        <f>IFERROR(C10/E10,"0")</f>
        <v>0</v>
      </c>
      <c r="G10" s="30" t="str">
        <f>_xlfn.XLOOKUP(A10,'[1]ESCALA DE PRODUÇÃO'!$AL$1:$AL$1048566,'[1]ESCALA DE PRODUÇÃO'!$AM$1:$AM$1048566,"SEM PREÇO")</f>
        <v>SEM PREÇO</v>
      </c>
      <c r="H10" s="33" t="str">
        <f>IFERROR(C10*G10,"0")</f>
        <v>0</v>
      </c>
      <c r="I10" s="140" t="str">
        <f>_xlfn.XLOOKUP(A10,'DADOS DE VENDA'!M:M,'DADOS DE VENDA'!P:P,"SEM VENDA")</f>
        <v>SEM VENDA</v>
      </c>
      <c r="J10" s="42" t="str">
        <f>IFERROR(I10/E10,"0")</f>
        <v>0</v>
      </c>
      <c r="K10" s="43" t="str">
        <f>IFERROR(I10*G10,"0")</f>
        <v>0</v>
      </c>
      <c r="L10" s="51" t="str">
        <f>_xlfn.XLOOKUP(A10,'DADOS DE VENDA'!A:A,'DADOS DE VENDA'!E:E,"RUPTURA NO PERIODO")</f>
        <v>RUPTURA NO PERIODO</v>
      </c>
      <c r="M10" s="88" t="str" cm="1">
        <f t="array" ref="M10">_xlfn.IFS(C10&lt;I10,"ABAIXO",C10&gt;I10,"ACIMA",C10=I10,"OK")</f>
        <v>ABAIXO</v>
      </c>
      <c r="P10" s="87">
        <f t="shared" si="0"/>
        <v>9019</v>
      </c>
      <c r="Q10" s="29" t="str">
        <f>_xlfn.XLOOKUP(P10,'[1]ESCALA DE PRODUÇÃO'!$AL$1:$AL$1048566,'[1]ESCALA DE PRODUÇÃO'!$AJ$1:$AJ$1048566,"NÃO ENCOTRADO")</f>
        <v>NÃO ENCOTRADO</v>
      </c>
      <c r="R10" s="44">
        <f t="shared" si="1"/>
        <v>0</v>
      </c>
      <c r="S10" s="45" t="str">
        <f t="shared" si="2"/>
        <v>0</v>
      </c>
    </row>
    <row r="11" spans="1:19" ht="15" thickBot="1" x14ac:dyDescent="0.4">
      <c r="A11" s="5" t="s">
        <v>8</v>
      </c>
      <c r="B11" s="6" t="s">
        <v>166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139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P11" s="85" t="s">
        <v>8</v>
      </c>
      <c r="Q11" s="6" t="s">
        <v>166</v>
      </c>
      <c r="R11" s="3" t="s">
        <v>2</v>
      </c>
      <c r="S11" s="3" t="s">
        <v>6</v>
      </c>
    </row>
    <row r="12" spans="1:19" ht="19" thickBot="1" x14ac:dyDescent="0.5">
      <c r="A12" s="28">
        <f>('[1]ESCALA DE PRODUÇÃO'!L11)</f>
        <v>8028</v>
      </c>
      <c r="B12" s="29" t="str">
        <f>_xlfn.XLOOKUP(A12,'[1]ESCALA DE PRODUÇÃO'!$AL$1:$AL$1048566,'[1]ESCALA DE PRODUÇÃO'!$AJ$1:$AJ$1048566,"NÃO ENCOTRADO")</f>
        <v>008028 - ROTISSERIA ARROZ BRANCO BENDITO KG</v>
      </c>
      <c r="C12" s="44">
        <v>1.2</v>
      </c>
      <c r="D12" s="28" t="str">
        <f>_xlfn.XLOOKUP(A12,'[1]ESCALA DE PRODUÇÃO'!$AL$1:$AL$1048566,'[1]ESCALA DE PRODUÇÃO'!$AK$1:$AK$1048566,"0")</f>
        <v>KG/0001</v>
      </c>
      <c r="E12" s="32">
        <f>('[1]ESCALA DE PRODUÇÃO'!N11)</f>
        <v>0.12</v>
      </c>
      <c r="F12" s="45">
        <f>IFERROR(C12/E12,"0")</f>
        <v>10</v>
      </c>
      <c r="G12" s="30">
        <f>_xlfn.XLOOKUP(A12,'[1]ESCALA DE PRODUÇÃO'!$AL$1:$AL$1048566,'[1]ESCALA DE PRODUÇÃO'!$AM$1:$AM$1048566,"SEM PREÇO")</f>
        <v>28.9</v>
      </c>
      <c r="H12" s="33">
        <f>IFERROR(C12*G12,"0")</f>
        <v>34.68</v>
      </c>
      <c r="I12" s="140">
        <f>_xlfn.XLOOKUP(A12,'DADOS DE VENDA'!M:M,'DADOS DE VENDA'!P:P,"SEM VENDA")</f>
        <v>1.52</v>
      </c>
      <c r="J12" s="42">
        <f>IFERROR(I12/E12,"0")</f>
        <v>12.666666666666668</v>
      </c>
      <c r="K12" s="43">
        <f>IFERROR(I12*G12,"0")</f>
        <v>43.927999999999997</v>
      </c>
      <c r="L12" s="51" t="str">
        <f>_xlfn.XLOOKUP(A12,'DADOS DE VENDA'!A:A,'DADOS DE VENDA'!E:E,"RUPTURA NO PERIODO")</f>
        <v>19/01 a20/01</v>
      </c>
      <c r="M12" s="88" t="str" cm="1">
        <f t="array" ref="M12">_xlfn.IFS(C12&lt;I12,"ABAIXO",C12&gt;I12,"ACIMA",C12=I12,"OK")</f>
        <v>ABAIXO</v>
      </c>
      <c r="P12" s="87">
        <f t="shared" si="0"/>
        <v>8028</v>
      </c>
      <c r="Q12" s="29" t="str">
        <f>_xlfn.XLOOKUP(P12,'[1]ESCALA DE PRODUÇÃO'!$AL$1:$AL$1048566,'[1]ESCALA DE PRODUÇÃO'!$AJ$1:$AJ$1048566,"NÃO ENCOTRADO")</f>
        <v>008028 - ROTISSERIA ARROZ BRANCO BENDITO KG</v>
      </c>
      <c r="R12" s="44">
        <f t="shared" si="1"/>
        <v>1.2</v>
      </c>
      <c r="S12" s="45">
        <f t="shared" si="2"/>
        <v>10</v>
      </c>
    </row>
    <row r="13" spans="1:19" ht="19" thickBot="1" x14ac:dyDescent="0.5">
      <c r="A13" s="28">
        <f>('[1]ESCALA DE PRODUÇÃO'!L12)</f>
        <v>346</v>
      </c>
      <c r="B13" s="29" t="str">
        <f>_xlfn.XLOOKUP(A13,'[1]ESCALA DE PRODUÇÃO'!$AL$1:$AL$1048566,'[1]ESCALA DE PRODUÇÃO'!$AJ$1:$AJ$1048566,"NÃO ENCOTRADO")</f>
        <v>NÃO ENCOTRADO</v>
      </c>
      <c r="C13" s="44">
        <v>0</v>
      </c>
      <c r="D13" s="28" t="str">
        <f>_xlfn.XLOOKUP(A13,'[1]ESCALA DE PRODUÇÃO'!$AL$1:$AL$1048566,'[1]ESCALA DE PRODUÇÃO'!$AK$1:$AK$1048566,"0")</f>
        <v>0</v>
      </c>
      <c r="E13" s="32">
        <f>('[1]ESCALA DE PRODUÇÃO'!N12)</f>
        <v>0</v>
      </c>
      <c r="F13" s="45" t="str">
        <f>IFERROR(C13/E13,"0")</f>
        <v>0</v>
      </c>
      <c r="G13" s="30" t="str">
        <f>_xlfn.XLOOKUP(A13,'[1]ESCALA DE PRODUÇÃO'!$AL$1:$AL$1048566,'[1]ESCALA DE PRODUÇÃO'!$AM$1:$AM$1048566,"SEM PREÇO")</f>
        <v>SEM PREÇO</v>
      </c>
      <c r="H13" s="33" t="str">
        <f>IFERROR(C13*G13,"0")</f>
        <v>0</v>
      </c>
      <c r="I13" s="140" t="str">
        <f>_xlfn.XLOOKUP(A13,'DADOS DE VENDA'!M:M,'DADOS DE VENDA'!P:P,"SEM VENDA")</f>
        <v>SEM VENDA</v>
      </c>
      <c r="J13" s="42" t="str">
        <f>IFERROR(I13/E13,"0")</f>
        <v>0</v>
      </c>
      <c r="K13" s="43" t="str">
        <f>IFERROR(I13*G13,"0")</f>
        <v>0</v>
      </c>
      <c r="L13" s="51" t="str">
        <f>_xlfn.XLOOKUP(A13,'DADOS DE VENDA'!A:A,'DADOS DE VENDA'!E:E,"RUPTURA NO PERIODO")</f>
        <v>RUPTURA NO PERIODO</v>
      </c>
      <c r="M13" s="88" t="str" cm="1">
        <f t="array" ref="M13">_xlfn.IFS(C13&lt;I13,"ABAIXO",C13&gt;I13,"ACIMA",C13=I13,"OK")</f>
        <v>ABAIXO</v>
      </c>
      <c r="P13" s="87">
        <f t="shared" si="0"/>
        <v>346</v>
      </c>
      <c r="Q13" s="29" t="str">
        <f>_xlfn.XLOOKUP(P13,'[1]ESCALA DE PRODUÇÃO'!$AL$1:$AL$1048566,'[1]ESCALA DE PRODUÇÃO'!$AJ$1:$AJ$1048566,"NÃO ENCOTRADO")</f>
        <v>NÃO ENCOTRADO</v>
      </c>
      <c r="R13" s="44">
        <f t="shared" si="1"/>
        <v>0</v>
      </c>
      <c r="S13" s="45" t="str">
        <f t="shared" si="2"/>
        <v>0</v>
      </c>
    </row>
    <row r="14" spans="1:19" ht="15" thickBot="1" x14ac:dyDescent="0.4">
      <c r="A14" s="5" t="s">
        <v>8</v>
      </c>
      <c r="B14" s="6" t="s">
        <v>167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139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P14" s="85" t="s">
        <v>8</v>
      </c>
      <c r="Q14" s="6" t="s">
        <v>167</v>
      </c>
      <c r="R14" s="3" t="s">
        <v>2</v>
      </c>
      <c r="S14" s="3" t="s">
        <v>6</v>
      </c>
    </row>
    <row r="15" spans="1:19" ht="19" thickBot="1" x14ac:dyDescent="0.5">
      <c r="A15" s="28">
        <f>('[1]ESCALA DE PRODUÇÃO'!L14)</f>
        <v>8328</v>
      </c>
      <c r="B15" s="29" t="str">
        <f>_xlfn.XLOOKUP(A15,'[1]ESCALA DE PRODUÇÃO'!$AL$1:$AL$1048566,'[1]ESCALA DE PRODUÇÃO'!$AJ$1:$AJ$1048566,"NÃO ENCOTRADO")</f>
        <v>008328 - ROTISSERIA FEIJAO BENDITO KG</v>
      </c>
      <c r="C15" s="44">
        <v>1.5</v>
      </c>
      <c r="D15" s="28" t="str">
        <f>_xlfn.XLOOKUP(A15,'[1]ESCALA DE PRODUÇÃO'!$AL$1:$AL$1048566,'[1]ESCALA DE PRODUÇÃO'!$AK$1:$AK$1048566,"0")</f>
        <v>KG/0001</v>
      </c>
      <c r="E15" s="32">
        <f>('[1]ESCALA DE PRODUÇÃO'!N14)</f>
        <v>0.18</v>
      </c>
      <c r="F15" s="45">
        <f>IFERROR(C15/E15,"0")</f>
        <v>8.3333333333333339</v>
      </c>
      <c r="G15" s="30">
        <f>_xlfn.XLOOKUP(A15,'[1]ESCALA DE PRODUÇÃO'!$AL$1:$AL$1048566,'[1]ESCALA DE PRODUÇÃO'!$AM$1:$AM$1048566,"SEM PREÇO")</f>
        <v>34.9</v>
      </c>
      <c r="H15" s="33">
        <f>IFERROR(C15*G15,"0")</f>
        <v>52.349999999999994</v>
      </c>
      <c r="I15" s="140">
        <f>_xlfn.XLOOKUP(A15,'DADOS DE VENDA'!M:M,'DADOS DE VENDA'!P:P,"SEM VENDA")</f>
        <v>0.19</v>
      </c>
      <c r="J15" s="42">
        <f>IFERROR(I15/E15,"0")</f>
        <v>1.0555555555555556</v>
      </c>
      <c r="K15" s="43">
        <f>IFERROR(I15*G15,"0")</f>
        <v>6.6310000000000002</v>
      </c>
      <c r="L15" s="51" t="str">
        <f>_xlfn.XLOOKUP(A15,'DADOS DE VENDA'!A:A,'DADOS DE VENDA'!E:E,"RUPTURA NO PERIODO")</f>
        <v>19/01 a20/01</v>
      </c>
      <c r="M15" s="88" t="str" cm="1">
        <f t="array" ref="M15">_xlfn.IFS(C15&lt;I15,"ABAIXO",C15&gt;I15,"ACIMA",C15=I15,"OK")</f>
        <v>ACIMA</v>
      </c>
      <c r="P15" s="87">
        <f t="shared" si="0"/>
        <v>8328</v>
      </c>
      <c r="Q15" s="29" t="str">
        <f>_xlfn.XLOOKUP(P15,'[1]ESCALA DE PRODUÇÃO'!$AL$1:$AL$1048566,'[1]ESCALA DE PRODUÇÃO'!$AJ$1:$AJ$1048566,"NÃO ENCOTRADO")</f>
        <v>008328 - ROTISSERIA FEIJAO BENDITO KG</v>
      </c>
      <c r="R15" s="44">
        <f t="shared" si="1"/>
        <v>1.5</v>
      </c>
      <c r="S15" s="45">
        <f t="shared" si="2"/>
        <v>8.3333333333333339</v>
      </c>
    </row>
    <row r="16" spans="1:19" ht="19" thickBot="1" x14ac:dyDescent="0.5">
      <c r="A16" s="28">
        <f>('[1]ESCALA DE PRODUÇÃO'!L15)</f>
        <v>0</v>
      </c>
      <c r="B16" s="29" t="str">
        <f>_xlfn.XLOOKUP(A16,'[1]ESCALA DE PRODUÇÃO'!$AL$1:$AL$1048566,'[1]ESCALA DE PRODUÇÃO'!$AJ$1:$AJ$1048566,"NÃO ENCOTRADO")</f>
        <v>NÃO ENCOTRADO</v>
      </c>
      <c r="C16" s="44">
        <v>0</v>
      </c>
      <c r="D16" s="28" t="str">
        <f>_xlfn.XLOOKUP(A16,'[1]ESCALA DE PRODUÇÃO'!$AL$1:$AL$1048566,'[1]ESCALA DE PRODUÇÃO'!$AK$1:$AK$1048566,"0")</f>
        <v>0</v>
      </c>
      <c r="E16" s="32">
        <f>('[1]ESCALA DE PRODUÇÃO'!N15)</f>
        <v>0</v>
      </c>
      <c r="F16" s="45" t="str">
        <f>IFERROR(C16/E16,"0")</f>
        <v>0</v>
      </c>
      <c r="G16" s="30" t="str">
        <f>_xlfn.XLOOKUP(A16,'[1]ESCALA DE PRODUÇÃO'!$AL$1:$AL$1048566,'[1]ESCALA DE PRODUÇÃO'!$AM$1:$AM$1048566,"SEM PREÇO")</f>
        <v>SEM PREÇO</v>
      </c>
      <c r="H16" s="33" t="str">
        <f>IFERROR(C16*G16,"0")</f>
        <v>0</v>
      </c>
      <c r="I16" s="140" t="str">
        <f>_xlfn.XLOOKUP(A16,'DADOS DE VENDA'!M:M,'DADOS DE VENDA'!P:P,"SEM VENDA")</f>
        <v>SEM VENDA</v>
      </c>
      <c r="J16" s="42" t="str">
        <f>IFERROR(I16/E16,"0")</f>
        <v>0</v>
      </c>
      <c r="K16" s="43" t="str">
        <f>IFERROR(I16*G16,"0")</f>
        <v>0</v>
      </c>
      <c r="L16" s="51" t="str">
        <f>_xlfn.XLOOKUP(A16,'DADOS DE VENDA'!A:A,'DADOS DE VENDA'!E:E,"RUPTURA NO PERIODO")</f>
        <v>RUPTURA NO PERIODO</v>
      </c>
      <c r="M16" s="88" t="str" cm="1">
        <f t="array" ref="M16">_xlfn.IFS(C16&lt;I16,"ABAIXO",C16&gt;I16,"ACIMA",C16=I16,"OK")</f>
        <v>ABAIXO</v>
      </c>
      <c r="P16" s="87">
        <f t="shared" si="0"/>
        <v>0</v>
      </c>
      <c r="Q16" s="29" t="str">
        <f>_xlfn.XLOOKUP(P16,'[1]ESCALA DE PRODUÇÃO'!$AL$1:$AL$1048566,'[1]ESCALA DE PRODUÇÃO'!$AJ$1:$AJ$1048566,"NÃO ENCOTRADO")</f>
        <v>NÃO ENCOTRADO</v>
      </c>
      <c r="R16" s="44">
        <f t="shared" si="1"/>
        <v>0</v>
      </c>
      <c r="S16" s="45" t="str">
        <f t="shared" si="2"/>
        <v>0</v>
      </c>
    </row>
    <row r="17" spans="1:19" ht="15" thickBot="1" x14ac:dyDescent="0.4">
      <c r="A17" s="5" t="s">
        <v>8</v>
      </c>
      <c r="B17" s="6" t="s">
        <v>168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139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P17" s="85" t="s">
        <v>8</v>
      </c>
      <c r="Q17" s="6" t="s">
        <v>168</v>
      </c>
      <c r="R17" s="3" t="s">
        <v>2</v>
      </c>
      <c r="S17" s="3" t="s">
        <v>6</v>
      </c>
    </row>
    <row r="18" spans="1:19" ht="19" thickBot="1" x14ac:dyDescent="0.5">
      <c r="A18" s="28">
        <f>('[1]ESCALA DE PRODUÇÃO'!L17)</f>
        <v>8292</v>
      </c>
      <c r="B18" s="144" t="str">
        <f>_xlfn.XLOOKUP(A18,'[1]ESCALA DE PRODUÇÃO'!$AL$1:$AL$1048566,'[1]ESCALA DE PRODUÇÃO'!$AJ$1:$AJ$1048566,"NÃO ENCOTRADO")</f>
        <v>008292 - ROTISSERIA CREME DE MILHO BENDITO KG</v>
      </c>
      <c r="C18" s="44">
        <v>1</v>
      </c>
      <c r="D18" s="28" t="str">
        <f>_xlfn.XLOOKUP(A18,'[1]ESCALA DE PRODUÇÃO'!$AL$1:$AL$1048566,'[1]ESCALA DE PRODUÇÃO'!$AK$1:$AK$1048566,"0")</f>
        <v>KG/0001</v>
      </c>
      <c r="E18" s="32">
        <f>('[1]ESCALA DE PRODUÇÃO'!N17)</f>
        <v>0.15</v>
      </c>
      <c r="F18" s="45">
        <f>IFERROR(C18/E18,"0")</f>
        <v>6.666666666666667</v>
      </c>
      <c r="G18" s="30">
        <f>_xlfn.XLOOKUP(A18,'[1]ESCALA DE PRODUÇÃO'!$AL$1:$AL$1048566,'[1]ESCALA DE PRODUÇÃO'!$AM$1:$AM$1048566,"SEM PREÇO")</f>
        <v>41.9</v>
      </c>
      <c r="H18" s="33">
        <f>IFERROR(C18*G18,"0")</f>
        <v>41.9</v>
      </c>
      <c r="I18" s="140" t="str">
        <f>_xlfn.XLOOKUP(A18,'DADOS DE VENDA'!M:M,'DADOS DE VENDA'!P:P,"SEM VENDA")</f>
        <v>SEM VENDA</v>
      </c>
      <c r="J18" s="42" t="str">
        <f>IFERROR(I18/E18,"0")</f>
        <v>0</v>
      </c>
      <c r="K18" s="43" t="str">
        <f>IFERROR(I18*G18,"0")</f>
        <v>0</v>
      </c>
      <c r="L18" s="51" t="str">
        <f>_xlfn.XLOOKUP(A18,'DADOS DE VENDA'!A:A,'DADOS DE VENDA'!E:E,"RUPTURA NO PERIODO")</f>
        <v>19/01 a20/01</v>
      </c>
      <c r="M18" s="88" t="str" cm="1">
        <f t="array" ref="M18">_xlfn.IFS(C18&lt;I18,"ABAIXO",C18&gt;I18,"ACIMA",C18=I18,"OK")</f>
        <v>ABAIXO</v>
      </c>
      <c r="P18" s="87">
        <f t="shared" si="0"/>
        <v>8292</v>
      </c>
      <c r="Q18" s="29" t="str">
        <f>_xlfn.XLOOKUP(P18,'[1]ESCALA DE PRODUÇÃO'!$AL$1:$AL$1048566,'[1]ESCALA DE PRODUÇÃO'!$AJ$1:$AJ$1048566,"NÃO ENCOTRADO")</f>
        <v>008292 - ROTISSERIA CREME DE MILHO BENDITO KG</v>
      </c>
      <c r="R18" s="44">
        <f t="shared" si="1"/>
        <v>1</v>
      </c>
      <c r="S18" s="45">
        <f t="shared" si="2"/>
        <v>6.666666666666667</v>
      </c>
    </row>
    <row r="19" spans="1:19" ht="19" thickBot="1" x14ac:dyDescent="0.5">
      <c r="A19" s="28">
        <f>('[1]ESCALA DE PRODUÇÃO'!L18)</f>
        <v>8391</v>
      </c>
      <c r="B19" s="29" t="str">
        <f>_xlfn.XLOOKUP(A19,'[1]ESCALA DE PRODUÇÃO'!$AL$1:$AL$1048566,'[1]ESCALA DE PRODUÇÃO'!$AJ$1:$AJ$1048566,"NÃO ENCOTRADO")</f>
        <v>008391 - ROTISSERIA JILO FRITO BENDITO KG</v>
      </c>
      <c r="C19" s="44">
        <v>0.8</v>
      </c>
      <c r="D19" s="28" t="str">
        <f>_xlfn.XLOOKUP(A19,'[1]ESCALA DE PRODUÇÃO'!$AL$1:$AL$1048566,'[1]ESCALA DE PRODUÇÃO'!$AK$1:$AK$1048566,"0")</f>
        <v>KG/0001</v>
      </c>
      <c r="E19" s="32">
        <f>('[1]ESCALA DE PRODUÇÃO'!N18)</f>
        <v>0.08</v>
      </c>
      <c r="F19" s="45">
        <f>IFERROR(C19/E19,"0")</f>
        <v>10</v>
      </c>
      <c r="G19" s="30">
        <f>_xlfn.XLOOKUP(A19,'[1]ESCALA DE PRODUÇÃO'!$AL$1:$AL$1048566,'[1]ESCALA DE PRODUÇÃO'!$AM$1:$AM$1048566,"SEM PREÇO")</f>
        <v>52.9</v>
      </c>
      <c r="H19" s="33">
        <f>IFERROR(C19*G19,"0")</f>
        <v>42.32</v>
      </c>
      <c r="I19" s="140" t="str">
        <f>_xlfn.XLOOKUP(A19,'DADOS DE VENDA'!M:M,'DADOS DE VENDA'!P:P,"SEM VENDA")</f>
        <v>SEM VENDA</v>
      </c>
      <c r="J19" s="42" t="str">
        <f>IFERROR(I19/E19,"0")</f>
        <v>0</v>
      </c>
      <c r="K19" s="43" t="str">
        <f>IFERROR(I19*G19,"0")</f>
        <v>0</v>
      </c>
      <c r="L19" s="51" t="str">
        <f>_xlfn.XLOOKUP(A19,'DADOS DE VENDA'!A:A,'DADOS DE VENDA'!E:E,"RUPTURA NO PERIODO")</f>
        <v>19/01 a20/01</v>
      </c>
      <c r="M19" s="88" t="str" cm="1">
        <f t="array" ref="M19">_xlfn.IFS(C19&lt;I19,"ABAIXO",C19&gt;I19,"ACIMA",C19=I19,"OK")</f>
        <v>ABAIXO</v>
      </c>
      <c r="P19" s="87">
        <f t="shared" si="0"/>
        <v>8391</v>
      </c>
      <c r="Q19" s="29" t="str">
        <f>_xlfn.XLOOKUP(P19,'[1]ESCALA DE PRODUÇÃO'!$AL$1:$AL$1048566,'[1]ESCALA DE PRODUÇÃO'!$AJ$1:$AJ$1048566,"NÃO ENCOTRADO")</f>
        <v>008391 - ROTISSERIA JILO FRITO BENDITO KG</v>
      </c>
      <c r="R19" s="44">
        <f t="shared" si="1"/>
        <v>0.8</v>
      </c>
      <c r="S19" s="45">
        <f t="shared" si="2"/>
        <v>10</v>
      </c>
    </row>
    <row r="20" spans="1:19" ht="19" thickBot="1" x14ac:dyDescent="0.5">
      <c r="A20" s="28">
        <f>('[1]ESCALA DE PRODUÇÃO'!L19)</f>
        <v>8153</v>
      </c>
      <c r="B20" s="29" t="str">
        <f>_xlfn.XLOOKUP(A20,'[1]ESCALA DE PRODUÇÃO'!$AL$1:$AL$1048566,'[1]ESCALA DE PRODUÇÃO'!$AJ$1:$AJ$1048566,"NÃO ENCOTRADO")</f>
        <v>008153 - ROTISSERIA BERINJELA PIZZAOLA BENDITO KG</v>
      </c>
      <c r="C20" s="44">
        <v>1</v>
      </c>
      <c r="D20" s="28" t="str">
        <f>_xlfn.XLOOKUP(A20,'[1]ESCALA DE PRODUÇÃO'!$AL$1:$AL$1048566,'[1]ESCALA DE PRODUÇÃO'!$AK$1:$AK$1048566,"0")</f>
        <v>KG/0001</v>
      </c>
      <c r="E20" s="32">
        <f>('[1]ESCALA DE PRODUÇÃO'!N19)</f>
        <v>0.08</v>
      </c>
      <c r="F20" s="45">
        <f>IFERROR(C20/E20,"0")</f>
        <v>12.5</v>
      </c>
      <c r="G20" s="30">
        <f>_xlfn.XLOOKUP(A20,'[1]ESCALA DE PRODUÇÃO'!$AL$1:$AL$1048566,'[1]ESCALA DE PRODUÇÃO'!$AM$1:$AM$1048566,"SEM PREÇO")</f>
        <v>42.9</v>
      </c>
      <c r="H20" s="33">
        <f>IFERROR(C20*G20,"0")</f>
        <v>42.9</v>
      </c>
      <c r="I20" s="140" t="str">
        <f>_xlfn.XLOOKUP(A20,'DADOS DE VENDA'!M:M,'DADOS DE VENDA'!P:P,"SEM VENDA")</f>
        <v>SEM VENDA</v>
      </c>
      <c r="J20" s="42" t="str">
        <f>IFERROR(I20/E20,"0")</f>
        <v>0</v>
      </c>
      <c r="K20" s="43" t="str">
        <f>IFERROR(I20*G20,"0")</f>
        <v>0</v>
      </c>
      <c r="L20" s="51" t="str">
        <f>_xlfn.XLOOKUP(A20,'DADOS DE VENDA'!A:A,'DADOS DE VENDA'!E:E,"RUPTURA NO PERIODO")</f>
        <v>RUPTURA NO PERIODO</v>
      </c>
      <c r="M20" s="88" t="str" cm="1">
        <f t="array" ref="M20">_xlfn.IFS(C20&lt;I20,"ABAIXO",C20&gt;I20,"ACIMA",C20=I20,"OK")</f>
        <v>ABAIXO</v>
      </c>
      <c r="P20" s="87">
        <f t="shared" si="0"/>
        <v>8153</v>
      </c>
      <c r="Q20" s="29" t="str">
        <f>_xlfn.XLOOKUP(P20,'[1]ESCALA DE PRODUÇÃO'!$AL$1:$AL$1048566,'[1]ESCALA DE PRODUÇÃO'!$AJ$1:$AJ$1048566,"NÃO ENCOTRADO")</f>
        <v>008153 - ROTISSERIA BERINJELA PIZZAOLA BENDITO KG</v>
      </c>
      <c r="R20" s="44">
        <f t="shared" si="1"/>
        <v>1</v>
      </c>
      <c r="S20" s="45">
        <f t="shared" si="2"/>
        <v>12.5</v>
      </c>
    </row>
    <row r="21" spans="1:19" ht="15" thickBot="1" x14ac:dyDescent="0.4">
      <c r="A21" s="5" t="s">
        <v>8</v>
      </c>
      <c r="B21" s="6" t="s">
        <v>169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139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P21" s="85" t="s">
        <v>8</v>
      </c>
      <c r="Q21" s="6" t="s">
        <v>169</v>
      </c>
      <c r="R21" s="3" t="s">
        <v>2</v>
      </c>
      <c r="S21" s="3" t="s">
        <v>6</v>
      </c>
    </row>
    <row r="22" spans="1:19" ht="19" thickBot="1" x14ac:dyDescent="0.5">
      <c r="A22" s="28">
        <f>('[1]ESCALA DE PRODUÇÃO'!L21)</f>
        <v>8349</v>
      </c>
      <c r="B22" s="29" t="str">
        <f>_xlfn.XLOOKUP(A22,'[1]ESCALA DE PRODUÇÃO'!$AL$1:$AL$1048566,'[1]ESCALA DE PRODUÇÃO'!$AJ$1:$AJ$1048566,"NÃO ENCOTRADO")</f>
        <v>008349 - ROTISSERIA FILE FRANGO PARMEGIANA BENDITO KG</v>
      </c>
      <c r="C22" s="44">
        <v>2</v>
      </c>
      <c r="D22" s="28" t="str">
        <f>_xlfn.XLOOKUP(A22,'[1]ESCALA DE PRODUÇÃO'!$AL$1:$AL$1048566,'[1]ESCALA DE PRODUÇÃO'!$AK$1:$AK$1048566,"0")</f>
        <v>KG/0001</v>
      </c>
      <c r="E22" s="32">
        <f>('[1]ESCALA DE PRODUÇÃO'!N21)</f>
        <v>0.15</v>
      </c>
      <c r="F22" s="45">
        <f>IFERROR(C22/E22,"0")</f>
        <v>13.333333333333334</v>
      </c>
      <c r="G22" s="30">
        <f>_xlfn.XLOOKUP(A22,'[1]ESCALA DE PRODUÇÃO'!$AL$1:$AL$1048566,'[1]ESCALA DE PRODUÇÃO'!$AM$1:$AM$1048566,"SEM PREÇO")</f>
        <v>68.900000000000006</v>
      </c>
      <c r="H22" s="33">
        <f>IFERROR(C22*G22,"0")</f>
        <v>137.80000000000001</v>
      </c>
      <c r="I22" s="140">
        <f>_xlfn.XLOOKUP(A22,'DADOS DE VENDA'!M:M,'DADOS DE VENDA'!P:P,"SEM VENDA")</f>
        <v>0.81</v>
      </c>
      <c r="J22" s="42">
        <f>IFERROR(I22/E22,"0")</f>
        <v>5.4</v>
      </c>
      <c r="K22" s="43">
        <f>IFERROR(I22*G22,"0")</f>
        <v>55.809000000000012</v>
      </c>
      <c r="L22" s="51" t="str">
        <f>_xlfn.XLOOKUP(A22,'DADOS DE VENDA'!A:A,'DADOS DE VENDA'!E:E,"RUPTURA NO PERIODO")</f>
        <v>RUPTURA NO PERIODO</v>
      </c>
      <c r="M22" s="88" t="str" cm="1">
        <f t="array" ref="M22">_xlfn.IFS(C22&lt;I22,"ABAIXO",C22&gt;I22,"ACIMA",C22=I22,"OK")</f>
        <v>ACIMA</v>
      </c>
      <c r="P22" s="87">
        <f t="shared" si="0"/>
        <v>8349</v>
      </c>
      <c r="Q22" s="29" t="str">
        <f>_xlfn.XLOOKUP(P22,'[1]ESCALA DE PRODUÇÃO'!$AL$1:$AL$1048566,'[1]ESCALA DE PRODUÇÃO'!$AJ$1:$AJ$1048566,"NÃO ENCOTRADO")</f>
        <v>008349 - ROTISSERIA FILE FRANGO PARMEGIANA BENDITO KG</v>
      </c>
      <c r="R22" s="44">
        <f t="shared" si="1"/>
        <v>2</v>
      </c>
      <c r="S22" s="45">
        <f t="shared" si="2"/>
        <v>13.333333333333334</v>
      </c>
    </row>
    <row r="23" spans="1:19" ht="19" thickBot="1" x14ac:dyDescent="0.5">
      <c r="A23" s="28">
        <f>('[1]ESCALA DE PRODUÇÃO'!L23)</f>
        <v>0</v>
      </c>
      <c r="B23" s="29" t="str">
        <f>_xlfn.XLOOKUP(A23,'[1]ESCALA DE PRODUÇÃO'!$AL$1:$AL$1048566,'[1]ESCALA DE PRODUÇÃO'!$AJ$1:$AJ$1048566,"NÃO ENCOTRADO")</f>
        <v>NÃO ENCOTRADO</v>
      </c>
      <c r="C23" s="44">
        <v>2</v>
      </c>
      <c r="D23" s="28" t="str">
        <f>_xlfn.XLOOKUP(A23,'[1]ESCALA DE PRODUÇÃO'!$AL$1:$AL$1048566,'[1]ESCALA DE PRODUÇÃO'!$AK$1:$AK$1048566,"0")</f>
        <v>0</v>
      </c>
      <c r="E23" s="32">
        <f>('[1]ESCALA DE PRODUÇÃO'!N23)</f>
        <v>0</v>
      </c>
      <c r="F23" s="45" t="str">
        <f>IFERROR(C23/E23,"0")</f>
        <v>0</v>
      </c>
      <c r="G23" s="30" t="str">
        <f>_xlfn.XLOOKUP(A23,'[1]ESCALA DE PRODUÇÃO'!$AL$1:$AL$1048566,'[1]ESCALA DE PRODUÇÃO'!$AM$1:$AM$1048566,"SEM PREÇO")</f>
        <v>SEM PREÇO</v>
      </c>
      <c r="H23" s="33" t="str">
        <f>IFERROR(C23*G23,"0")</f>
        <v>0</v>
      </c>
      <c r="I23" s="140" t="str">
        <f>_xlfn.XLOOKUP(A23,'DADOS DE VENDA'!M:M,'DADOS DE VENDA'!P:P,"SEM VENDA")</f>
        <v>SEM VENDA</v>
      </c>
      <c r="J23" s="42" t="str">
        <f>IFERROR(I23/E23,"0")</f>
        <v>0</v>
      </c>
      <c r="K23" s="43" t="str">
        <f>IFERROR(I23*G23,"0")</f>
        <v>0</v>
      </c>
      <c r="L23" s="51" t="str">
        <f>_xlfn.XLOOKUP(A23,'DADOS DE VENDA'!A:A,'DADOS DE VENDA'!E:E,"RUPTURA NO PERIODO")</f>
        <v>RUPTURA NO PERIODO</v>
      </c>
      <c r="M23" s="88" t="str" cm="1">
        <f t="array" ref="M23">_xlfn.IFS(C23&lt;I23,"ABAIXO",C23&gt;I23,"ACIMA",C23=I23,"OK")</f>
        <v>ABAIXO</v>
      </c>
      <c r="P23" s="87">
        <f t="shared" si="0"/>
        <v>0</v>
      </c>
      <c r="Q23" s="29" t="str">
        <f>_xlfn.XLOOKUP(P23,'[1]ESCALA DE PRODUÇÃO'!$AL$1:$AL$1048566,'[1]ESCALA DE PRODUÇÃO'!$AJ$1:$AJ$1048566,"NÃO ENCOTRADO")</f>
        <v>NÃO ENCOTRADO</v>
      </c>
      <c r="R23" s="44">
        <f t="shared" si="1"/>
        <v>2</v>
      </c>
      <c r="S23" s="45" t="str">
        <f t="shared" si="2"/>
        <v>0</v>
      </c>
    </row>
    <row r="24" spans="1:19" ht="19" thickBot="1" x14ac:dyDescent="0.5">
      <c r="A24" s="28">
        <f>('[1]ESCALA DE PRODUÇÃO'!L24)</f>
        <v>8284</v>
      </c>
      <c r="B24" s="29" t="str">
        <f>_xlfn.XLOOKUP(A24,'[1]ESCALA DE PRODUÇÃO'!$AL$1:$AL$1048566,'[1]ESCALA DE PRODUÇÃO'!$AJ$1:$AJ$1048566,"NÃO ENCOTRADO")</f>
        <v>008284 - ROTISSERIA COXA SOBRECOXA ASSADA BENDITO KG</v>
      </c>
      <c r="C24" s="44">
        <v>3</v>
      </c>
      <c r="D24" s="28" t="str">
        <f>_xlfn.XLOOKUP(A24,'[1]ESCALA DE PRODUÇÃO'!$AL$1:$AL$1048566,'[1]ESCALA DE PRODUÇÃO'!$AK$1:$AK$1048566,"0")</f>
        <v>KG/0001</v>
      </c>
      <c r="E24" s="32">
        <f>('[1]ESCALA DE PRODUÇÃO'!N24)</f>
        <v>0.15</v>
      </c>
      <c r="F24" s="45">
        <f>IFERROR(C24/E24,"0")</f>
        <v>20</v>
      </c>
      <c r="G24" s="30">
        <f>_xlfn.XLOOKUP(A24,'[1]ESCALA DE PRODUÇÃO'!$AL$1:$AL$1048566,'[1]ESCALA DE PRODUÇÃO'!$AM$1:$AM$1048566,"SEM PREÇO")</f>
        <v>61.9</v>
      </c>
      <c r="H24" s="33">
        <f>IFERROR(C24*G24,"0")</f>
        <v>185.7</v>
      </c>
      <c r="I24" s="140" t="str">
        <f>_xlfn.XLOOKUP(A24,'DADOS DE VENDA'!M:M,'DADOS DE VENDA'!P:P,"SEM VENDA")</f>
        <v>SEM VENDA</v>
      </c>
      <c r="J24" s="42" t="str">
        <f>IFERROR(I24/E24,"0")</f>
        <v>0</v>
      </c>
      <c r="K24" s="43" t="str">
        <f>IFERROR(I24*G24,"0")</f>
        <v>0</v>
      </c>
      <c r="L24" s="51" t="str">
        <f>_xlfn.XLOOKUP(A24,'DADOS DE VENDA'!A:A,'DADOS DE VENDA'!E:E,"RUPTURA NO PERIODO")</f>
        <v>RUPTURA NO PERIODO</v>
      </c>
      <c r="M24" s="88" t="str" cm="1">
        <f t="array" ref="M24">_xlfn.IFS(C24&lt;I24,"ABAIXO",C24&gt;I24,"ACIMA",C24=I24,"OK")</f>
        <v>ABAIXO</v>
      </c>
      <c r="P24" s="87">
        <f t="shared" si="0"/>
        <v>8284</v>
      </c>
      <c r="Q24" s="29" t="str">
        <f>_xlfn.XLOOKUP(P24,'[1]ESCALA DE PRODUÇÃO'!$AL$1:$AL$1048566,'[1]ESCALA DE PRODUÇÃO'!$AJ$1:$AJ$1048566,"NÃO ENCOTRADO")</f>
        <v>008284 - ROTISSERIA COXA SOBRECOXA ASSADA BENDITO KG</v>
      </c>
      <c r="R24" s="44">
        <f t="shared" si="1"/>
        <v>3</v>
      </c>
      <c r="S24" s="45">
        <f t="shared" si="2"/>
        <v>20</v>
      </c>
    </row>
    <row r="25" spans="1:19" ht="15" thickBot="1" x14ac:dyDescent="0.4">
      <c r="A25" s="5" t="s">
        <v>8</v>
      </c>
      <c r="B25" s="6" t="s">
        <v>170</v>
      </c>
      <c r="C25" s="3" t="s">
        <v>2</v>
      </c>
      <c r="D25" s="3" t="s">
        <v>106</v>
      </c>
      <c r="E25" s="3" t="s">
        <v>4</v>
      </c>
      <c r="F25" s="3" t="s">
        <v>6</v>
      </c>
      <c r="G25" s="4" t="s">
        <v>3</v>
      </c>
      <c r="H25" s="3" t="s">
        <v>5</v>
      </c>
      <c r="I25" s="139" t="s">
        <v>157</v>
      </c>
      <c r="J25" s="7" t="s">
        <v>152</v>
      </c>
      <c r="K25" s="7" t="s">
        <v>153</v>
      </c>
      <c r="L25" s="3" t="s">
        <v>104</v>
      </c>
      <c r="M25" s="86" t="s">
        <v>105</v>
      </c>
      <c r="P25" s="85" t="s">
        <v>8</v>
      </c>
      <c r="Q25" s="6" t="s">
        <v>170</v>
      </c>
      <c r="R25" s="3" t="s">
        <v>2</v>
      </c>
      <c r="S25" s="3" t="s">
        <v>6</v>
      </c>
    </row>
    <row r="26" spans="1:19" ht="19" thickBot="1" x14ac:dyDescent="0.5">
      <c r="A26" s="28">
        <f>('[1]ESCALA DE PRODUÇÃO'!L26)</f>
        <v>8690</v>
      </c>
      <c r="B26" s="29" t="str">
        <f>_xlfn.XLOOKUP(A26,'[1]ESCALA DE PRODUÇÃO'!$AL$1:$AL$1048566,'[1]ESCALA DE PRODUÇÃO'!$AJ$1:$AJ$1048566,"NÃO ENCOTRADO")</f>
        <v>008690 - ROTISSERIA SALADA DE BATATA CURTINHA BENDITO KG</v>
      </c>
      <c r="C26" s="44">
        <v>2</v>
      </c>
      <c r="D26" s="28" t="str">
        <f>_xlfn.XLOOKUP(A26,'[1]ESCALA DE PRODUÇÃO'!$AL$1:$AL$1048566,'[1]ESCALA DE PRODUÇÃO'!$AK$1:$AK$1048566,"0")</f>
        <v>KG/0001</v>
      </c>
      <c r="E26" s="32">
        <f>('[1]ESCALA DE PRODUÇÃO'!N26)</f>
        <v>0.35</v>
      </c>
      <c r="F26" s="45">
        <f>IFERROR(C26/E26,"0")</f>
        <v>5.7142857142857144</v>
      </c>
      <c r="G26" s="30">
        <f>_xlfn.XLOOKUP(A26,'[1]ESCALA DE PRODUÇÃO'!$AL$1:$AL$1048566,'[1]ESCALA DE PRODUÇÃO'!$AM$1:$AM$1048566,"SEM PREÇO")</f>
        <v>34.9</v>
      </c>
      <c r="H26" s="33">
        <f>IFERROR(C26*G26,"0")</f>
        <v>69.8</v>
      </c>
      <c r="I26" s="140">
        <f>_xlfn.XLOOKUP(A26,'DADOS DE VENDA'!M:M,'DADOS DE VENDA'!P:P,"SEM VENDA")</f>
        <v>1.62</v>
      </c>
      <c r="J26" s="42">
        <f>IFERROR(I26/E26,"0")</f>
        <v>4.628571428571429</v>
      </c>
      <c r="K26" s="43">
        <f>IFERROR(I26*G26,"0")</f>
        <v>56.538000000000004</v>
      </c>
      <c r="L26" s="51" t="str">
        <f>_xlfn.XLOOKUP(A26,'DADOS DE VENDA'!A:A,'DADOS DE VENDA'!E:E,"RUPTURA NO PERIODO")</f>
        <v>RUPTURA NO PERIODO</v>
      </c>
      <c r="M26" s="88" t="str" cm="1">
        <f t="array" ref="M26">_xlfn.IFS(C26&lt;I26,"ABAIXO",C26&gt;I26,"ACIMA",C26=I26,"OK")</f>
        <v>ACIMA</v>
      </c>
      <c r="P26" s="87">
        <f t="shared" si="0"/>
        <v>8690</v>
      </c>
      <c r="Q26" s="29" t="str">
        <f>_xlfn.XLOOKUP(P26,'[1]ESCALA DE PRODUÇÃO'!$AL$1:$AL$1048566,'[1]ESCALA DE PRODUÇÃO'!$AJ$1:$AJ$1048566,"NÃO ENCOTRADO")</f>
        <v>008690 - ROTISSERIA SALADA DE BATATA CURTINHA BENDITO KG</v>
      </c>
      <c r="R26" s="44">
        <f t="shared" si="1"/>
        <v>2</v>
      </c>
      <c r="S26" s="45">
        <f t="shared" si="2"/>
        <v>5.7142857142857144</v>
      </c>
    </row>
    <row r="27" spans="1:19" ht="19" thickBot="1" x14ac:dyDescent="0.5">
      <c r="A27" s="67">
        <v>0</v>
      </c>
      <c r="B27" s="68" t="str">
        <f>_xlfn.XLOOKUP(A27,'[1]ESCALA DE PRODUÇÃO'!$AL$1:$AL$1048566,'[1]ESCALA DE PRODUÇÃO'!$AJ$1:$AJ$1048566,"NÃO ENCOTRADO")</f>
        <v>NÃO ENCOTRADO</v>
      </c>
      <c r="C27" s="69">
        <v>0</v>
      </c>
      <c r="D27" s="67" t="str">
        <f>_xlfn.XLOOKUP(A27,'[1]ESCALA DE PRODUÇÃO'!$AL$1:$AL$1048566,'[1]ESCALA DE PRODUÇÃO'!$AK$1:$AK$1048566,"0")</f>
        <v>0</v>
      </c>
      <c r="E27" s="32">
        <f>('[1]ESCALA DE PRODUÇÃO'!N27)</f>
        <v>0.35</v>
      </c>
      <c r="F27" s="71">
        <f>IFERROR(C27/E27,"0")</f>
        <v>0</v>
      </c>
      <c r="G27" s="72" t="str">
        <f>_xlfn.XLOOKUP(A27,'[1]ESCALA DE PRODUÇÃO'!$AL$1:$AL$1048566,'[1]ESCALA DE PRODUÇÃO'!$AM$1:$AM$1048566,"SEM PREÇO")</f>
        <v>SEM PREÇO</v>
      </c>
      <c r="H27" s="73" t="str">
        <f>IFERROR(C27*G27,"0")</f>
        <v>0</v>
      </c>
      <c r="I27" s="140" t="str">
        <f>_xlfn.XLOOKUP(A27,'DADOS DE VENDA'!M:M,'DADOS DE VENDA'!P:P,"SEM VENDA")</f>
        <v>SEM VENDA</v>
      </c>
      <c r="J27" s="75" t="str">
        <f>IFERROR(I27/E27,"0")</f>
        <v>0</v>
      </c>
      <c r="K27" s="76" t="str">
        <f>IFERROR(I27*G27,"0")</f>
        <v>0</v>
      </c>
      <c r="L27" s="77" t="str">
        <f>_xlfn.XLOOKUP(A27,'DADOS DE VENDA'!A:A,'DADOS DE VENDA'!E:E,"RUPTURA NO PERIODO")</f>
        <v>RUPTURA NO PERIODO</v>
      </c>
      <c r="M27" s="102" t="str" cm="1">
        <f t="array" ref="M27">_xlfn.IFS(C27&lt;I27,"ABAIXO",C27&gt;I27,"ACIMA",C27=I27,"OK")</f>
        <v>ABAIXO</v>
      </c>
      <c r="P27" s="87">
        <f t="shared" si="0"/>
        <v>0</v>
      </c>
      <c r="Q27" s="90" t="str">
        <f>_xlfn.XLOOKUP(P27,'[1]ESCALA DE PRODUÇÃO'!$AL$1:$AL$1048566,'[1]ESCALA DE PRODUÇÃO'!$AJ$1:$AJ$1048566,"NÃO ENCOTRADO")</f>
        <v>NÃO ENCOTRADO</v>
      </c>
      <c r="R27" s="69">
        <f t="shared" si="1"/>
        <v>0</v>
      </c>
      <c r="S27" s="45">
        <f t="shared" si="2"/>
        <v>0</v>
      </c>
    </row>
    <row r="28" spans="1:19" ht="19" thickBot="1" x14ac:dyDescent="0.5">
      <c r="A28" s="109"/>
      <c r="B28" s="110" t="s">
        <v>176</v>
      </c>
      <c r="C28" s="110" t="s">
        <v>173</v>
      </c>
      <c r="D28" s="187"/>
      <c r="E28" s="188"/>
      <c r="F28" s="111" t="s">
        <v>174</v>
      </c>
      <c r="G28" s="189">
        <f>SUM(H4+H5+H6+H8+H9+H10+H12+H13+H15+H16+H18+H19+H20+H22+H24+H26+H27)</f>
        <v>1439.35</v>
      </c>
      <c r="H28" s="190"/>
      <c r="I28" s="140">
        <f>_xlfn.XLOOKUP(A28,'DADOS DE VENDA'!M:M,'DADOS DE VENDA'!P:P,"SEM VENDA")</f>
        <v>0</v>
      </c>
      <c r="J28" s="191">
        <f>SUM(K4+K5+K6+K8+K9+K10+K12+K13+K15+K16+K18+K19+K20+K22+K24+K26+K27)</f>
        <v>815.04</v>
      </c>
      <c r="K28" s="192"/>
      <c r="L28" s="112"/>
      <c r="M28" s="113"/>
      <c r="P28" s="147" t="s">
        <v>5</v>
      </c>
      <c r="Q28" s="148"/>
      <c r="R28" s="149">
        <f>G28</f>
        <v>1439.35</v>
      </c>
      <c r="S28" s="150"/>
    </row>
    <row r="29" spans="1:19" ht="18.5" x14ac:dyDescent="0.45">
      <c r="C29" s="78"/>
      <c r="F29" s="79"/>
      <c r="G29" s="80"/>
      <c r="H29" s="80"/>
      <c r="I29" s="141"/>
      <c r="J29" s="82"/>
      <c r="K29" s="83"/>
      <c r="M29" s="84"/>
      <c r="R29" s="78"/>
      <c r="S29" s="79"/>
    </row>
    <row r="30" spans="1:19" ht="19" thickBot="1" x14ac:dyDescent="0.5">
      <c r="C30" s="78"/>
      <c r="F30" s="79"/>
      <c r="G30" s="80"/>
      <c r="H30" s="80"/>
      <c r="I30" s="141"/>
      <c r="J30" s="82"/>
      <c r="K30" s="83"/>
      <c r="M30" s="84"/>
      <c r="R30" s="78"/>
      <c r="S30" s="79"/>
    </row>
    <row r="31" spans="1:19" ht="21.5" thickBot="1" x14ac:dyDescent="0.55000000000000004">
      <c r="A31" s="195" t="s">
        <v>183</v>
      </c>
      <c r="B31" s="196"/>
      <c r="C31" s="196"/>
      <c r="D31" s="120"/>
      <c r="E31" s="120"/>
      <c r="F31" s="120"/>
      <c r="G31" s="120"/>
      <c r="H31" s="120"/>
      <c r="I31" s="196" t="s">
        <v>171</v>
      </c>
      <c r="J31" s="196"/>
      <c r="K31" s="196"/>
      <c r="L31" s="196"/>
      <c r="M31" s="197"/>
      <c r="P31" s="157" t="str">
        <f>P1</f>
        <v>QUARTA (LOJA 1 DESCONTÃO-ROTISSERIA)</v>
      </c>
      <c r="Q31" s="158"/>
      <c r="R31" s="132" t="s">
        <v>102</v>
      </c>
      <c r="S31" s="131">
        <f>S1</f>
        <v>46049</v>
      </c>
    </row>
    <row r="32" spans="1:19" ht="15" thickBot="1" x14ac:dyDescent="0.4">
      <c r="A32" s="151" t="s">
        <v>178</v>
      </c>
      <c r="B32" s="152"/>
      <c r="C32" s="119" t="s">
        <v>174</v>
      </c>
      <c r="D32" s="146" t="s">
        <v>155</v>
      </c>
      <c r="E32" s="146"/>
      <c r="F32" s="146"/>
      <c r="G32" s="146"/>
      <c r="H32" s="156"/>
      <c r="I32" s="146" t="s">
        <v>156</v>
      </c>
      <c r="J32" s="146"/>
      <c r="K32" s="146"/>
      <c r="L32" s="146"/>
      <c r="M32" s="153"/>
      <c r="P32" s="151" t="s">
        <v>178</v>
      </c>
      <c r="Q32" s="152"/>
      <c r="R32" s="145" t="s">
        <v>155</v>
      </c>
      <c r="S32" s="146"/>
    </row>
    <row r="33" spans="1:19" ht="15" thickBot="1" x14ac:dyDescent="0.4">
      <c r="A33" s="85" t="s">
        <v>8</v>
      </c>
      <c r="B33" s="6" t="s">
        <v>177</v>
      </c>
      <c r="C33" s="3" t="s">
        <v>2</v>
      </c>
      <c r="D33" s="3" t="s">
        <v>106</v>
      </c>
      <c r="E33" s="3" t="s">
        <v>4</v>
      </c>
      <c r="F33" s="3" t="s">
        <v>6</v>
      </c>
      <c r="G33" s="4" t="s">
        <v>3</v>
      </c>
      <c r="H33" s="3" t="s">
        <v>5</v>
      </c>
      <c r="I33" s="139" t="s">
        <v>157</v>
      </c>
      <c r="J33" s="7" t="s">
        <v>152</v>
      </c>
      <c r="K33" s="7" t="s">
        <v>153</v>
      </c>
      <c r="L33" s="3" t="s">
        <v>104</v>
      </c>
      <c r="M33" s="86" t="s">
        <v>105</v>
      </c>
      <c r="P33" s="85" t="s">
        <v>8</v>
      </c>
      <c r="Q33" s="6" t="s">
        <v>177</v>
      </c>
      <c r="R33" s="3" t="s">
        <v>2</v>
      </c>
      <c r="S33" s="3" t="s">
        <v>6</v>
      </c>
    </row>
    <row r="34" spans="1:19" ht="19" thickBot="1" x14ac:dyDescent="0.5">
      <c r="A34" s="67">
        <f>('[1]ESCALA DE PRODUÇÃO'!L29)</f>
        <v>8963</v>
      </c>
      <c r="B34" s="29" t="str">
        <f>_xlfn.XLOOKUP(A34,'[1]ESCALA DE PRODUÇÃO'!$AL$1:$AL$1048566,'[1]ESCALA DE PRODUÇÃO'!$AJ$1:$AJ$1048566,"NÃO ENCOTRADO")</f>
        <v>008963 - ROTISSERIA SALADA CEASER C/FRANGO BENDITO</v>
      </c>
      <c r="C34" s="44">
        <v>4</v>
      </c>
      <c r="D34" s="28" t="str">
        <f>_xlfn.XLOOKUP(A34,'[1]ESCALA DE PRODUÇÃO'!$AL$1:$AL$1048566,'[1]ESCALA DE PRODUÇÃO'!$AK$1:$AK$1048566,"0")</f>
        <v>UN/0001</v>
      </c>
      <c r="E34" s="32">
        <f>('[1]ESCALA DE PRODUÇÃO'!N29)</f>
        <v>1</v>
      </c>
      <c r="F34" s="45">
        <f>IFERROR(C34/E34,"0")</f>
        <v>4</v>
      </c>
      <c r="G34" s="30">
        <f>_xlfn.XLOOKUP(A34,'[1]ESCALA DE PRODUÇÃO'!$AL$1:$AL$1048566,'[1]ESCALA DE PRODUÇÃO'!$AM$1:$AM$1048566,"SEM PREÇO")</f>
        <v>24.9</v>
      </c>
      <c r="H34" s="33">
        <f>IFERROR(C34*G34,"0")</f>
        <v>99.6</v>
      </c>
      <c r="I34" s="142">
        <f>_xlfn.XLOOKUP(A34,'DADOS DE VENDA'!M:M,'DADOS DE VENDA'!P:P,"SEM VENDA")</f>
        <v>5</v>
      </c>
      <c r="J34" s="42">
        <f>IFERROR(I34/E34,"0")</f>
        <v>5</v>
      </c>
      <c r="K34" s="43">
        <f>IFERROR(I34*G34,"0")</f>
        <v>124.5</v>
      </c>
      <c r="L34" s="51" t="str">
        <f>_xlfn.XLOOKUP(A34,'DADOS DE VENDA'!A:A,'DADOS DE VENDA'!E:E,"RUPTURA NO PERIODO")</f>
        <v>19/01 a20/01</v>
      </c>
      <c r="M34" s="88" t="str" cm="1">
        <f t="array" ref="M34">_xlfn.IFS(C34&lt;I34,"ABAIXO",C34&gt;I34,"ACIMA",C34=I34,"OK")</f>
        <v>ABAIXO</v>
      </c>
      <c r="P34" s="87">
        <f>('[1]ESCALA DE PRODUÇÃO'!Q29)</f>
        <v>8963</v>
      </c>
      <c r="Q34" s="29" t="str">
        <f>_xlfn.XLOOKUP(P34,'[1]ESCALA DE PRODUÇÃO'!$AL$1:$AL$1048566,'[1]ESCALA DE PRODUÇÃO'!$AJ$1:$AJ$1048566,"NÃO ENCOTRADO")</f>
        <v>008963 - ROTISSERIA SALADA CEASER C/FRANGO BENDITO</v>
      </c>
      <c r="R34" s="44">
        <f>C34</f>
        <v>4</v>
      </c>
      <c r="S34" s="45">
        <f>F34</f>
        <v>4</v>
      </c>
    </row>
    <row r="35" spans="1:19" ht="19" thickBot="1" x14ac:dyDescent="0.5">
      <c r="A35" s="67">
        <f>('[1]ESCALA DE PRODUÇÃO'!L30)</f>
        <v>8962</v>
      </c>
      <c r="B35" s="29" t="str">
        <f>_xlfn.XLOOKUP(A35,'[1]ESCALA DE PRODUÇÃO'!$AL$1:$AL$1048566,'[1]ESCALA DE PRODUÇÃO'!$AJ$1:$AJ$1048566,"NÃO ENCOTRADO")</f>
        <v>008962 - ROTISSERIA SALADA MIX DE FOLHA E LEGUMES C/PROTEINAS BENDITO</v>
      </c>
      <c r="C35" s="44">
        <v>2</v>
      </c>
      <c r="D35" s="28" t="str">
        <f>_xlfn.XLOOKUP(A35,'[1]ESCALA DE PRODUÇÃO'!$AL$1:$AL$1048566,'[1]ESCALA DE PRODUÇÃO'!$AK$1:$AK$1048566,"0")</f>
        <v>UN/0001</v>
      </c>
      <c r="E35" s="32">
        <f>('[1]ESCALA DE PRODUÇÃO'!N30)</f>
        <v>1</v>
      </c>
      <c r="F35" s="45">
        <f>IFERROR(C35/E35,"0")</f>
        <v>2</v>
      </c>
      <c r="G35" s="30">
        <f>_xlfn.XLOOKUP(A35,'[1]ESCALA DE PRODUÇÃO'!$AL$1:$AL$1048566,'[1]ESCALA DE PRODUÇÃO'!$AM$1:$AM$1048566,"SEM PREÇO")</f>
        <v>21.9</v>
      </c>
      <c r="H35" s="33">
        <f>IFERROR(C35*G35,"0")</f>
        <v>43.8</v>
      </c>
      <c r="I35" s="142" t="str">
        <f>_xlfn.XLOOKUP(A35,'DADOS DE VENDA'!M:M,'DADOS DE VENDA'!P:P,"SEM VENDA")</f>
        <v>SEM VENDA</v>
      </c>
      <c r="J35" s="42" t="str">
        <f>IFERROR(I35/E35,"0")</f>
        <v>0</v>
      </c>
      <c r="K35" s="43" t="str">
        <f>IFERROR(I35*G35,"0")</f>
        <v>0</v>
      </c>
      <c r="L35" s="51" t="str">
        <f>_xlfn.XLOOKUP(A35,'DADOS DE VENDA'!A:A,'DADOS DE VENDA'!E:E,"RUPTURA NO PERIODO")</f>
        <v>RUPTURA NO PERIODO</v>
      </c>
      <c r="M35" s="88" t="str" cm="1">
        <f t="array" ref="M35">_xlfn.IFS(C35&lt;I35,"ABAIXO",C35&gt;I35,"ACIMA",C35=I35,"OK")</f>
        <v>ABAIXO</v>
      </c>
      <c r="P35" s="87">
        <f>('[1]ESCALA DE PRODUÇÃO'!Q30)</f>
        <v>0</v>
      </c>
      <c r="Q35" s="29" t="str">
        <f>_xlfn.XLOOKUP(P35,'[1]ESCALA DE PRODUÇÃO'!$AL$1:$AL$1048566,'[1]ESCALA DE PRODUÇÃO'!$AJ$1:$AJ$1048566,"NÃO ENCOTRADO")</f>
        <v>NÃO ENCOTRADO</v>
      </c>
      <c r="R35" s="44">
        <f t="shared" ref="R35:R44" si="3">C35</f>
        <v>2</v>
      </c>
      <c r="S35" s="45">
        <f t="shared" ref="S35:S44" si="4">F35</f>
        <v>2</v>
      </c>
    </row>
    <row r="36" spans="1:19" ht="19" thickBot="1" x14ac:dyDescent="0.5">
      <c r="A36" s="67">
        <f>('[1]ESCALA DE PRODUÇÃO'!L31)</f>
        <v>0</v>
      </c>
      <c r="B36" s="29" t="str">
        <f>_xlfn.XLOOKUP(A36,'[1]ESCALA DE PRODUÇÃO'!$AL$1:$AL$1048566,'[1]ESCALA DE PRODUÇÃO'!$AJ$1:$AJ$1048566,"NÃO ENCOTRADO")</f>
        <v>NÃO ENCOTRADO</v>
      </c>
      <c r="C36" s="44">
        <v>0</v>
      </c>
      <c r="D36" s="28" t="str">
        <f>_xlfn.XLOOKUP(A36,'[1]ESCALA DE PRODUÇÃO'!$AL$1:$AL$1048566,'[1]ESCALA DE PRODUÇÃO'!$AK$1:$AK$1048566,"0")</f>
        <v>0</v>
      </c>
      <c r="E36" s="32">
        <f>('[1]ESCALA DE PRODUÇÃO'!N31)</f>
        <v>0</v>
      </c>
      <c r="F36" s="45" t="str">
        <f>IFERROR(C36/E36,"0")</f>
        <v>0</v>
      </c>
      <c r="G36" s="30" t="str">
        <f>_xlfn.XLOOKUP(A36,'[1]ESCALA DE PRODUÇÃO'!$AL$1:$AL$1048566,'[1]ESCALA DE PRODUÇÃO'!$AM$1:$AM$1048566,"SEM PREÇO")</f>
        <v>SEM PREÇO</v>
      </c>
      <c r="H36" s="33" t="str">
        <f>IFERROR(C36*G36,"0")</f>
        <v>0</v>
      </c>
      <c r="I36" s="142" t="str">
        <f>_xlfn.XLOOKUP(A36,'DADOS DE VENDA'!M:M,'DADOS DE VENDA'!P:P,"SEM VENDA")</f>
        <v>SEM VENDA</v>
      </c>
      <c r="J36" s="42" t="str">
        <f>IFERROR(I36/E36,"0")</f>
        <v>0</v>
      </c>
      <c r="K36" s="43" t="str">
        <f>IFERROR(I36*G36,"0")</f>
        <v>0</v>
      </c>
      <c r="L36" s="51" t="str">
        <f>_xlfn.XLOOKUP(A36,'DADOS DE VENDA'!A:A,'DADOS DE VENDA'!E:E,"RUPTURA NO PERIODO")</f>
        <v>RUPTURA NO PERIODO</v>
      </c>
      <c r="M36" s="88" t="str" cm="1">
        <f t="array" ref="M36">_xlfn.IFS(C36&lt;I36,"ABAIXO",C36&gt;I36,"ACIMA",C36=I36,"OK")</f>
        <v>ABAIXO</v>
      </c>
      <c r="P36" s="87">
        <f>('[1]ESCALA DE PRODUÇÃO'!Q31)</f>
        <v>0</v>
      </c>
      <c r="Q36" s="29" t="str">
        <f>_xlfn.XLOOKUP(P36,'[1]ESCALA DE PRODUÇÃO'!$AL$1:$AL$1048566,'[1]ESCALA DE PRODUÇÃO'!$AJ$1:$AJ$1048566,"NÃO ENCOTRADO")</f>
        <v>NÃO ENCOTRADO</v>
      </c>
      <c r="R36" s="44">
        <f t="shared" si="3"/>
        <v>0</v>
      </c>
      <c r="S36" s="45" t="str">
        <f t="shared" si="4"/>
        <v>0</v>
      </c>
    </row>
    <row r="37" spans="1:19" ht="15" thickBot="1" x14ac:dyDescent="0.4">
      <c r="A37" s="85" t="s">
        <v>8</v>
      </c>
      <c r="B37" s="6" t="s">
        <v>179</v>
      </c>
      <c r="C37" s="3" t="s">
        <v>2</v>
      </c>
      <c r="D37" s="3" t="s">
        <v>106</v>
      </c>
      <c r="E37" s="3" t="s">
        <v>4</v>
      </c>
      <c r="F37" s="3" t="s">
        <v>6</v>
      </c>
      <c r="G37" s="4" t="s">
        <v>3</v>
      </c>
      <c r="H37" s="3" t="s">
        <v>5</v>
      </c>
      <c r="I37" s="139" t="s">
        <v>157</v>
      </c>
      <c r="J37" s="7" t="s">
        <v>152</v>
      </c>
      <c r="K37" s="7" t="s">
        <v>153</v>
      </c>
      <c r="L37" s="3" t="s">
        <v>104</v>
      </c>
      <c r="M37" s="86" t="s">
        <v>105</v>
      </c>
      <c r="P37" s="85" t="s">
        <v>8</v>
      </c>
      <c r="Q37" s="6" t="s">
        <v>179</v>
      </c>
      <c r="R37" s="3" t="s">
        <v>2</v>
      </c>
      <c r="S37" s="3" t="s">
        <v>6</v>
      </c>
    </row>
    <row r="38" spans="1:19" ht="19" thickBot="1" x14ac:dyDescent="0.5">
      <c r="A38" s="67">
        <f>('[1]ESCALA DE PRODUÇÃO'!L33)</f>
        <v>9124</v>
      </c>
      <c r="B38" s="29" t="str">
        <f>_xlfn.XLOOKUP(A38,'[1]ESCALA DE PRODUÇÃO'!$AL$1:$AL$1048566,'[1]ESCALA DE PRODUÇÃO'!$AJ$1:$AJ$1048566,"NÃO ENCOTRADO")</f>
        <v>009124 - ROTISSERIA HOT HOLL BENDITO UN</v>
      </c>
      <c r="C38" s="44">
        <v>6</v>
      </c>
      <c r="D38" s="28" t="str">
        <f>_xlfn.XLOOKUP(A38,'[1]ESCALA DE PRODUÇÃO'!$AL$1:$AL$1048566,'[1]ESCALA DE PRODUÇÃO'!$AK$1:$AK$1048566,"0")</f>
        <v>UN/0001</v>
      </c>
      <c r="E38" s="32">
        <f>('[1]ESCALA DE PRODUÇÃO'!N33)</f>
        <v>1</v>
      </c>
      <c r="F38" s="45">
        <f>IFERROR(C38/E38,"0")</f>
        <v>6</v>
      </c>
      <c r="G38" s="30">
        <f>_xlfn.XLOOKUP(A38,'[1]ESCALA DE PRODUÇÃO'!$AL$1:$AL$1048566,'[1]ESCALA DE PRODUÇÃO'!$AM$1:$AM$1048566,"SEM PREÇO")</f>
        <v>25.9</v>
      </c>
      <c r="H38" s="33">
        <f>IFERROR(C38*G38,"0")</f>
        <v>155.39999999999998</v>
      </c>
      <c r="I38" s="142">
        <f>_xlfn.XLOOKUP(A38,'DADOS DE VENDA'!M:M,'DADOS DE VENDA'!P:P,"SEM VENDA")</f>
        <v>2</v>
      </c>
      <c r="J38" s="42">
        <f>IFERROR(I38/E38,"0")</f>
        <v>2</v>
      </c>
      <c r="K38" s="43">
        <f>IFERROR(I38*G38,"0")</f>
        <v>51.8</v>
      </c>
      <c r="L38" s="51" t="str">
        <f>_xlfn.XLOOKUP(A38,'DADOS DE VENDA'!A:A,'DADOS DE VENDA'!E:E,"RUPTURA NO PERIODO")</f>
        <v>19/01 a20/01</v>
      </c>
      <c r="M38" s="88" t="str" cm="1">
        <f t="array" ref="M38">_xlfn.IFS(C38&lt;I38,"ABAIXO",C38&gt;I38,"ACIMA",C38=I38,"OK")</f>
        <v>ACIMA</v>
      </c>
      <c r="P38" s="87">
        <f>('[1]ESCALA DE PRODUÇÃO'!Q33)</f>
        <v>9123</v>
      </c>
      <c r="Q38" s="29" t="str">
        <f>_xlfn.XLOOKUP(P38,'[1]ESCALA DE PRODUÇÃO'!$AL$1:$AL$1048566,'[1]ESCALA DE PRODUÇÃO'!$AJ$1:$AJ$1048566,"NÃO ENCOTRADO")</f>
        <v>009123 - ROTISSERIA SUSHI KANI C/CREAM CHEESE BENDITO UN</v>
      </c>
      <c r="R38" s="44">
        <f t="shared" si="3"/>
        <v>6</v>
      </c>
      <c r="S38" s="45">
        <f t="shared" si="4"/>
        <v>6</v>
      </c>
    </row>
    <row r="39" spans="1:19" ht="19" thickBot="1" x14ac:dyDescent="0.5">
      <c r="A39" s="67">
        <f>('[1]ESCALA DE PRODUÇÃO'!L34)</f>
        <v>9119</v>
      </c>
      <c r="B39" s="29" t="str">
        <f>_xlfn.XLOOKUP(A39,'[1]ESCALA DE PRODUÇÃO'!$AL$1:$AL$1048566,'[1]ESCALA DE PRODUÇÃO'!$AJ$1:$AJ$1048566,"NÃO ENCOTRADO")</f>
        <v xml:space="preserve">009119 - ROTISSERIA CALIFORNIA BENDITO UN </v>
      </c>
      <c r="C39" s="44">
        <v>3</v>
      </c>
      <c r="D39" s="28" t="str">
        <f>_xlfn.XLOOKUP(A39,'[1]ESCALA DE PRODUÇÃO'!$AL$1:$AL$1048566,'[1]ESCALA DE PRODUÇÃO'!$AK$1:$AK$1048566,"0")</f>
        <v>UN/0001</v>
      </c>
      <c r="E39" s="32">
        <f>('[1]ESCALA DE PRODUÇÃO'!N34)</f>
        <v>1</v>
      </c>
      <c r="F39" s="45">
        <f>IFERROR(C39/E39,"0")</f>
        <v>3</v>
      </c>
      <c r="G39" s="30">
        <f>_xlfn.XLOOKUP(A39,'[1]ESCALA DE PRODUÇÃO'!$AL$1:$AL$1048566,'[1]ESCALA DE PRODUÇÃO'!$AM$1:$AM$1048566,"SEM PREÇO")</f>
        <v>19.899999999999999</v>
      </c>
      <c r="H39" s="33">
        <f>IFERROR(C39*G39,"0")</f>
        <v>59.699999999999996</v>
      </c>
      <c r="I39" s="142" t="str">
        <f>_xlfn.XLOOKUP(A39,'DADOS DE VENDA'!M:M,'DADOS DE VENDA'!P:P,"SEM VENDA")</f>
        <v>SEM VENDA</v>
      </c>
      <c r="J39" s="42" t="str">
        <f>IFERROR(I39/E39,"0")</f>
        <v>0</v>
      </c>
      <c r="K39" s="43" t="str">
        <f>IFERROR(I39*G39,"0")</f>
        <v>0</v>
      </c>
      <c r="L39" s="51" t="str">
        <f>_xlfn.XLOOKUP(A39,'DADOS DE VENDA'!A:A,'DADOS DE VENDA'!E:E,"RUPTURA NO PERIODO")</f>
        <v>RUPTURA NO PERIODO</v>
      </c>
      <c r="M39" s="88" t="str" cm="1">
        <f t="array" ref="M39">_xlfn.IFS(C39&lt;I39,"ABAIXO",C39&gt;I39,"ACIMA",C39=I39,"OK")</f>
        <v>ABAIXO</v>
      </c>
      <c r="P39" s="87">
        <f>('[1]ESCALA DE PRODUÇÃO'!Q34)</f>
        <v>0</v>
      </c>
      <c r="Q39" s="29" t="str">
        <f>_xlfn.XLOOKUP(P39,'[1]ESCALA DE PRODUÇÃO'!$AL$1:$AL$1048566,'[1]ESCALA DE PRODUÇÃO'!$AJ$1:$AJ$1048566,"NÃO ENCOTRADO")</f>
        <v>NÃO ENCOTRADO</v>
      </c>
      <c r="R39" s="44">
        <f t="shared" si="3"/>
        <v>3</v>
      </c>
      <c r="S39" s="45">
        <f t="shared" si="4"/>
        <v>3</v>
      </c>
    </row>
    <row r="40" spans="1:19" ht="19" thickBot="1" x14ac:dyDescent="0.5">
      <c r="A40" s="67">
        <f>('[1]ESCALA DE PRODUÇÃO'!L35)</f>
        <v>0</v>
      </c>
      <c r="B40" s="29" t="str">
        <f>_xlfn.XLOOKUP(A40,'[1]ESCALA DE PRODUÇÃO'!$AL$1:$AL$1048566,'[1]ESCALA DE PRODUÇÃO'!$AJ$1:$AJ$1048566,"NÃO ENCOTRADO")</f>
        <v>NÃO ENCOTRADO</v>
      </c>
      <c r="C40" s="44">
        <v>0</v>
      </c>
      <c r="D40" s="28" t="str">
        <f>_xlfn.XLOOKUP(A40,'[1]ESCALA DE PRODUÇÃO'!$AL$1:$AL$1048566,'[1]ESCALA DE PRODUÇÃO'!$AK$1:$AK$1048566,"0")</f>
        <v>0</v>
      </c>
      <c r="E40" s="32">
        <f>('[1]ESCALA DE PRODUÇÃO'!N35)</f>
        <v>0</v>
      </c>
      <c r="F40" s="45" t="str">
        <f>IFERROR(C40/E40,"0")</f>
        <v>0</v>
      </c>
      <c r="G40" s="30" t="str">
        <f>_xlfn.XLOOKUP(A40,'[1]ESCALA DE PRODUÇÃO'!$AL$1:$AL$1048566,'[1]ESCALA DE PRODUÇÃO'!$AM$1:$AM$1048566,"SEM PREÇO")</f>
        <v>SEM PREÇO</v>
      </c>
      <c r="H40" s="33" t="str">
        <f>IFERROR(C40*G40,"0")</f>
        <v>0</v>
      </c>
      <c r="I40" s="142" t="str">
        <f>_xlfn.XLOOKUP(A40,'DADOS DE VENDA'!M:M,'DADOS DE VENDA'!P:P,"SEM VENDA")</f>
        <v>SEM VENDA</v>
      </c>
      <c r="J40" s="42" t="str">
        <f>IFERROR(I40/E40,"0")</f>
        <v>0</v>
      </c>
      <c r="K40" s="43" t="str">
        <f>IFERROR(I40*G40,"0")</f>
        <v>0</v>
      </c>
      <c r="L40" s="51" t="str">
        <f>_xlfn.XLOOKUP(A40,'DADOS DE VENDA'!A:A,'DADOS DE VENDA'!E:E,"RUPTURA NO PERIODO")</f>
        <v>RUPTURA NO PERIODO</v>
      </c>
      <c r="M40" s="88" t="str" cm="1">
        <f t="array" ref="M40">_xlfn.IFS(C40&lt;I40,"ABAIXO",C40&gt;I40,"ACIMA",C40=I40,"OK")</f>
        <v>ABAIXO</v>
      </c>
      <c r="P40" s="87">
        <f>('[1]ESCALA DE PRODUÇÃO'!Q35)</f>
        <v>0</v>
      </c>
      <c r="Q40" s="29" t="str">
        <f>_xlfn.XLOOKUP(P40,'[1]ESCALA DE PRODUÇÃO'!$AL$1:$AL$1048566,'[1]ESCALA DE PRODUÇÃO'!$AJ$1:$AJ$1048566,"NÃO ENCOTRADO")</f>
        <v>NÃO ENCOTRADO</v>
      </c>
      <c r="R40" s="44">
        <f t="shared" si="3"/>
        <v>0</v>
      </c>
      <c r="S40" s="45" t="str">
        <f t="shared" si="4"/>
        <v>0</v>
      </c>
    </row>
    <row r="41" spans="1:19" ht="15" thickBot="1" x14ac:dyDescent="0.4">
      <c r="A41" s="85" t="s">
        <v>8</v>
      </c>
      <c r="B41" s="6" t="s">
        <v>180</v>
      </c>
      <c r="C41" s="3" t="s">
        <v>2</v>
      </c>
      <c r="D41" s="3" t="s">
        <v>106</v>
      </c>
      <c r="E41" s="3" t="s">
        <v>4</v>
      </c>
      <c r="F41" s="3" t="s">
        <v>6</v>
      </c>
      <c r="G41" s="4" t="s">
        <v>3</v>
      </c>
      <c r="H41" s="3" t="s">
        <v>5</v>
      </c>
      <c r="I41" s="139" t="s">
        <v>157</v>
      </c>
      <c r="J41" s="7" t="s">
        <v>152</v>
      </c>
      <c r="K41" s="7" t="s">
        <v>153</v>
      </c>
      <c r="L41" s="3" t="s">
        <v>104</v>
      </c>
      <c r="M41" s="86" t="s">
        <v>105</v>
      </c>
      <c r="P41" s="85" t="s">
        <v>8</v>
      </c>
      <c r="Q41" s="6" t="s">
        <v>180</v>
      </c>
      <c r="R41" s="3" t="s">
        <v>2</v>
      </c>
      <c r="S41" s="3" t="s">
        <v>6</v>
      </c>
    </row>
    <row r="42" spans="1:19" ht="19" thickBot="1" x14ac:dyDescent="0.5">
      <c r="A42" s="67">
        <f>('[1]ESCALA DE PRODUÇÃO'!L37)</f>
        <v>0</v>
      </c>
      <c r="B42" s="29" t="str">
        <f>_xlfn.XLOOKUP(A42,'[1]ESCALA DE PRODUÇÃO'!$AL$1:$AL$1048566,'[1]ESCALA DE PRODUÇÃO'!$AJ$1:$AJ$1048566,"NÃO ENCOTRADO")</f>
        <v>NÃO ENCOTRADO</v>
      </c>
      <c r="C42" s="44">
        <v>0</v>
      </c>
      <c r="D42" s="28" t="str">
        <f>_xlfn.XLOOKUP(A42,'[1]ESCALA DE PRODUÇÃO'!$AL$1:$AL$1048566,'[1]ESCALA DE PRODUÇÃO'!$AK$1:$AK$1048566,"0")</f>
        <v>0</v>
      </c>
      <c r="E42" s="32">
        <f>('[1]ESCALA DE PRODUÇÃO'!N37)</f>
        <v>0</v>
      </c>
      <c r="F42" s="45" t="str">
        <f>IFERROR(C42/E42,"0")</f>
        <v>0</v>
      </c>
      <c r="G42" s="30" t="str">
        <f>_xlfn.XLOOKUP(A42,'[1]ESCALA DE PRODUÇÃO'!$AL$1:$AL$1048566,'[1]ESCALA DE PRODUÇÃO'!$AM$1:$AM$1048566,"SEM PREÇO")</f>
        <v>SEM PREÇO</v>
      </c>
      <c r="H42" s="33" t="str">
        <f>IFERROR(C42*G42,"0")</f>
        <v>0</v>
      </c>
      <c r="I42" s="142" t="str">
        <f>_xlfn.XLOOKUP(A42,'DADOS DE VENDA'!M:M,'DADOS DE VENDA'!P:P,"SEM VENDA")</f>
        <v>SEM VENDA</v>
      </c>
      <c r="J42" s="42" t="str">
        <f>IFERROR(I42/E42,"0")</f>
        <v>0</v>
      </c>
      <c r="K42" s="43" t="str">
        <f>IFERROR(I42*G42,"0")</f>
        <v>0</v>
      </c>
      <c r="L42" s="51" t="str">
        <f>_xlfn.XLOOKUP(A42,'DADOS DE VENDA'!A:A,'DADOS DE VENDA'!E:E,"RUPTURA NO PERIODO")</f>
        <v>RUPTURA NO PERIODO</v>
      </c>
      <c r="M42" s="88" t="str" cm="1">
        <f t="array" ref="M42">_xlfn.IFS(C42&lt;I42,"ABAIXO",C42&gt;I42,"ACIMA",C42=I42,"OK")</f>
        <v>ABAIXO</v>
      </c>
      <c r="P42" s="87">
        <f>('[1]ESCALA DE PRODUÇÃO'!Q37)</f>
        <v>9289</v>
      </c>
      <c r="Q42" s="29" t="str">
        <f>_xlfn.XLOOKUP(P42,'[1]ESCALA DE PRODUÇÃO'!$AL$1:$AL$1048566,'[1]ESCALA DE PRODUÇÃO'!$AJ$1:$AJ$1048566,"NÃO ENCOTRADO")</f>
        <v>009289 - ROTISSERIA TEMAKI HOT SALMAO GRELAHADO</v>
      </c>
      <c r="R42" s="44">
        <f t="shared" si="3"/>
        <v>0</v>
      </c>
      <c r="S42" s="45" t="str">
        <f t="shared" si="4"/>
        <v>0</v>
      </c>
    </row>
    <row r="43" spans="1:19" ht="19" thickBot="1" x14ac:dyDescent="0.5">
      <c r="A43" s="67">
        <f>('[1]ESCALA DE PRODUÇÃO'!L38)</f>
        <v>0</v>
      </c>
      <c r="B43" s="29" t="str">
        <f>_xlfn.XLOOKUP(A43,'[1]ESCALA DE PRODUÇÃO'!$AL$1:$AL$1048566,'[1]ESCALA DE PRODUÇÃO'!$AJ$1:$AJ$1048566,"NÃO ENCOTRADO")</f>
        <v>NÃO ENCOTRADO</v>
      </c>
      <c r="C43" s="44">
        <v>0</v>
      </c>
      <c r="D43" s="28" t="str">
        <f>_xlfn.XLOOKUP(A43,'[1]ESCALA DE PRODUÇÃO'!$AL$1:$AL$1048566,'[1]ESCALA DE PRODUÇÃO'!$AK$1:$AK$1048566,"0")</f>
        <v>0</v>
      </c>
      <c r="E43" s="32">
        <f>('[1]ESCALA DE PRODUÇÃO'!N38)</f>
        <v>0</v>
      </c>
      <c r="F43" s="45" t="str">
        <f>IFERROR(C43/E43,"0")</f>
        <v>0</v>
      </c>
      <c r="G43" s="30" t="str">
        <f>_xlfn.XLOOKUP(A43,'[1]ESCALA DE PRODUÇÃO'!$AL$1:$AL$1048566,'[1]ESCALA DE PRODUÇÃO'!$AM$1:$AM$1048566,"SEM PREÇO")</f>
        <v>SEM PREÇO</v>
      </c>
      <c r="H43" s="33" t="str">
        <f>IFERROR(C43*G43,"0")</f>
        <v>0</v>
      </c>
      <c r="I43" s="142" t="str">
        <f>_xlfn.XLOOKUP(A43,'DADOS DE VENDA'!M:M,'DADOS DE VENDA'!P:P,"SEM VENDA")</f>
        <v>SEM VENDA</v>
      </c>
      <c r="J43" s="42" t="str">
        <f>IFERROR(I43/E43,"0")</f>
        <v>0</v>
      </c>
      <c r="K43" s="43" t="str">
        <f>IFERROR(I43*G43,"0")</f>
        <v>0</v>
      </c>
      <c r="L43" s="51" t="str">
        <f>_xlfn.XLOOKUP(A43,'DADOS DE VENDA'!A:A,'DADOS DE VENDA'!E:E,"RUPTURA NO PERIODO")</f>
        <v>RUPTURA NO PERIODO</v>
      </c>
      <c r="M43" s="88" t="str" cm="1">
        <f t="array" ref="M43">_xlfn.IFS(C43&lt;I43,"ABAIXO",C43&gt;I43,"ACIMA",C43=I43,"OK")</f>
        <v>ABAIXO</v>
      </c>
      <c r="P43" s="87">
        <f>('[1]ESCALA DE PRODUÇÃO'!Q38)</f>
        <v>0</v>
      </c>
      <c r="Q43" s="29" t="str">
        <f>_xlfn.XLOOKUP(P43,'[1]ESCALA DE PRODUÇÃO'!$AL$1:$AL$1048566,'[1]ESCALA DE PRODUÇÃO'!$AJ$1:$AJ$1048566,"NÃO ENCOTRADO")</f>
        <v>NÃO ENCOTRADO</v>
      </c>
      <c r="R43" s="44">
        <f t="shared" si="3"/>
        <v>0</v>
      </c>
      <c r="S43" s="45" t="str">
        <f t="shared" si="4"/>
        <v>0</v>
      </c>
    </row>
    <row r="44" spans="1:19" ht="19" thickBot="1" x14ac:dyDescent="0.5">
      <c r="A44" s="67">
        <f>('[1]ESCALA DE PRODUÇÃO'!L39)</f>
        <v>0</v>
      </c>
      <c r="B44" s="90" t="str">
        <f>_xlfn.XLOOKUP(A44,'[1]ESCALA DE PRODUÇÃO'!$AL$1:$AL$1048566,'[1]ESCALA DE PRODUÇÃO'!$AJ$1:$AJ$1048566,"NÃO ENCOTRADO")</f>
        <v>NÃO ENCOTRADO</v>
      </c>
      <c r="C44" s="91">
        <v>7</v>
      </c>
      <c r="D44" s="92" t="str">
        <f>_xlfn.XLOOKUP(A44,'[1]ESCALA DE PRODUÇÃO'!$AL$1:$AL$1048566,'[1]ESCALA DE PRODUÇÃO'!$AK$1:$AK$1048566,"0")</f>
        <v>0</v>
      </c>
      <c r="E44" s="32">
        <f>('[1]ESCALA DE PRODUÇÃO'!N39)</f>
        <v>0</v>
      </c>
      <c r="F44" s="94" t="str">
        <f>IFERROR(C44/E44,"0")</f>
        <v>0</v>
      </c>
      <c r="G44" s="95" t="str">
        <f>_xlfn.XLOOKUP(A44,'[1]ESCALA DE PRODUÇÃO'!$AL$1:$AL$1048566,'[1]ESCALA DE PRODUÇÃO'!$AM$1:$AM$1048566,"SEM PREÇO")</f>
        <v>SEM PREÇO</v>
      </c>
      <c r="H44" s="96" t="str">
        <f>IFERROR(C44*G44,"0")</f>
        <v>0</v>
      </c>
      <c r="I44" s="142" t="str">
        <f>_xlfn.XLOOKUP(A44,'DADOS DE VENDA'!M:M,'DADOS DE VENDA'!P:P,"SEM VENDA")</f>
        <v>SEM VENDA</v>
      </c>
      <c r="J44" s="98" t="str">
        <f>IFERROR(I44/E44,"0")</f>
        <v>0</v>
      </c>
      <c r="K44" s="99" t="str">
        <f>IFERROR(I44*G44,"0")</f>
        <v>0</v>
      </c>
      <c r="L44" s="100" t="str">
        <f>_xlfn.XLOOKUP(A44,'DADOS DE VENDA'!A:A,'DADOS DE VENDA'!E:E,"RUPTURA NO PERIODO")</f>
        <v>RUPTURA NO PERIODO</v>
      </c>
      <c r="M44" s="101" t="str" cm="1">
        <f t="array" ref="M44">_xlfn.IFS(C44&lt;I44,"ABAIXO",C44&gt;I44,"ACIMA",C44=I44,"OK")</f>
        <v>ABAIXO</v>
      </c>
      <c r="P44" s="89">
        <f>('[1]ESCALA DE PRODUÇÃO'!Q39)</f>
        <v>0</v>
      </c>
      <c r="Q44" s="90" t="str">
        <f>_xlfn.XLOOKUP(P44,'[1]ESCALA DE PRODUÇÃO'!$AL$1:$AL$1048566,'[1]ESCALA DE PRODUÇÃO'!$AJ$1:$AJ$1048566,"NÃO ENCOTRADO")</f>
        <v>NÃO ENCOTRADO</v>
      </c>
      <c r="R44" s="44">
        <f t="shared" si="3"/>
        <v>7</v>
      </c>
      <c r="S44" s="45" t="str">
        <f t="shared" si="4"/>
        <v>0</v>
      </c>
    </row>
    <row r="45" spans="1:19" ht="19" thickBot="1" x14ac:dyDescent="0.5">
      <c r="A45" s="106"/>
      <c r="B45" s="103" t="s">
        <v>176</v>
      </c>
      <c r="C45" s="103" t="s">
        <v>173</v>
      </c>
      <c r="D45" s="159"/>
      <c r="E45" s="160"/>
      <c r="F45" s="105" t="s">
        <v>174</v>
      </c>
      <c r="G45" s="161">
        <f>SUM(H34,H35,H36,H38,H39,H40,H42,H43,H44)</f>
        <v>358.49999999999994</v>
      </c>
      <c r="H45" s="162"/>
      <c r="I45" s="142">
        <f>_xlfn.XLOOKUP(A45,'DADOS DE VENDA'!M:M,'DADOS DE VENDA'!P:P,"SEM VENDA")</f>
        <v>0</v>
      </c>
      <c r="J45" s="163">
        <f>SUM(K34,K35,K36,K38,K39,K40,K42,K43,K44)</f>
        <v>176.3</v>
      </c>
      <c r="K45" s="164"/>
      <c r="L45" s="104"/>
      <c r="M45" s="107"/>
      <c r="P45" s="147" t="s">
        <v>5</v>
      </c>
      <c r="Q45" s="148"/>
      <c r="R45" s="149">
        <f>G45</f>
        <v>358.49999999999994</v>
      </c>
      <c r="S45" s="150"/>
    </row>
    <row r="46" spans="1:19" ht="18.5" x14ac:dyDescent="0.45">
      <c r="R46" s="78"/>
      <c r="S46" s="79"/>
    </row>
    <row r="47" spans="1:19" ht="15" thickBot="1" x14ac:dyDescent="0.4"/>
    <row r="48" spans="1:19" ht="21.5" thickBot="1" x14ac:dyDescent="0.55000000000000004">
      <c r="A48" s="195" t="s">
        <v>183</v>
      </c>
      <c r="B48" s="196"/>
      <c r="C48" s="196"/>
      <c r="D48" s="120"/>
      <c r="E48" s="120"/>
      <c r="F48" s="120"/>
      <c r="G48" s="120"/>
      <c r="H48" s="120"/>
      <c r="I48" s="196" t="s">
        <v>171</v>
      </c>
      <c r="J48" s="196"/>
      <c r="K48" s="196"/>
      <c r="L48" s="196"/>
      <c r="M48" s="197"/>
      <c r="P48" s="157" t="str">
        <f>P31</f>
        <v>QUARTA (LOJA 1 DESCONTÃO-ROTISSERIA)</v>
      </c>
      <c r="Q48" s="158"/>
      <c r="R48" s="132" t="s">
        <v>102</v>
      </c>
      <c r="S48" s="131">
        <f>S31</f>
        <v>46049</v>
      </c>
    </row>
    <row r="49" spans="1:19" ht="15" thickBot="1" x14ac:dyDescent="0.4">
      <c r="A49" s="151" t="s">
        <v>181</v>
      </c>
      <c r="B49" s="152"/>
      <c r="C49" s="119" t="s">
        <v>174</v>
      </c>
      <c r="D49" s="146" t="s">
        <v>155</v>
      </c>
      <c r="E49" s="146"/>
      <c r="F49" s="146"/>
      <c r="G49" s="146"/>
      <c r="H49" s="156"/>
      <c r="I49" s="146" t="s">
        <v>156</v>
      </c>
      <c r="J49" s="146"/>
      <c r="K49" s="146"/>
      <c r="L49" s="146"/>
      <c r="M49" s="153"/>
      <c r="P49" s="180" t="s">
        <v>181</v>
      </c>
      <c r="Q49" s="181"/>
      <c r="R49" s="178" t="s">
        <v>155</v>
      </c>
      <c r="S49" s="179"/>
    </row>
    <row r="50" spans="1:19" ht="15" thickBot="1" x14ac:dyDescent="0.4">
      <c r="A50" s="85" t="s">
        <v>8</v>
      </c>
      <c r="B50" s="6" t="s">
        <v>182</v>
      </c>
      <c r="C50" s="3" t="s">
        <v>2</v>
      </c>
      <c r="D50" s="3" t="s">
        <v>106</v>
      </c>
      <c r="E50" s="3" t="s">
        <v>4</v>
      </c>
      <c r="F50" s="3" t="s">
        <v>6</v>
      </c>
      <c r="G50" s="4" t="s">
        <v>3</v>
      </c>
      <c r="H50" s="3" t="s">
        <v>5</v>
      </c>
      <c r="I50" s="139" t="s">
        <v>157</v>
      </c>
      <c r="J50" s="7" t="s">
        <v>152</v>
      </c>
      <c r="K50" s="7" t="s">
        <v>153</v>
      </c>
      <c r="L50" s="3" t="s">
        <v>104</v>
      </c>
      <c r="M50" s="86" t="s">
        <v>105</v>
      </c>
      <c r="P50" s="85" t="s">
        <v>8</v>
      </c>
      <c r="Q50" s="6" t="s">
        <v>182</v>
      </c>
      <c r="R50" s="3" t="s">
        <v>2</v>
      </c>
      <c r="S50" s="3" t="s">
        <v>6</v>
      </c>
    </row>
    <row r="51" spans="1:19" ht="19" thickBot="1" x14ac:dyDescent="0.5">
      <c r="A51" s="87">
        <f>('[1]ESCALA DE PRODUÇÃO'!L41)</f>
        <v>8400</v>
      </c>
      <c r="B51" s="29" t="str">
        <f>_xlfn.XLOOKUP(A51,'[1]ESCALA DE PRODUÇÃO'!$AL$1:$AL$1048566,'[1]ESCALA DE PRODUÇÃO'!$AJ$1:$AJ$1048566,"NÃO ENCOTRADO")</f>
        <v>008400 - ROTISSERIA LASANHA A BOLONHESA BENDITO  KG</v>
      </c>
      <c r="C51" s="44">
        <v>1</v>
      </c>
      <c r="D51" s="28" t="str">
        <f>_xlfn.XLOOKUP(A51,'[1]ESCALA DE PRODUÇÃO'!$AL$1:$AL$1048566,'[1]ESCALA DE PRODUÇÃO'!$AK$1:$AK$1048566,"0")</f>
        <v>KG/0001</v>
      </c>
      <c r="E51" s="32">
        <f>('[1]ESCALA DE PRODUÇÃO'!N41)</f>
        <v>0.4</v>
      </c>
      <c r="F51" s="45">
        <f>IFERROR(C51/E51,"0")</f>
        <v>2.5</v>
      </c>
      <c r="G51" s="30">
        <f>_xlfn.XLOOKUP(A51,'[1]ESCALA DE PRODUÇÃO'!$AL$1:$AL$1048566,'[1]ESCALA DE PRODUÇÃO'!$AM$1:$AM$1048566,"SEM PREÇO")</f>
        <v>56.9</v>
      </c>
      <c r="H51" s="33">
        <f>IFERROR(C51*G51,"0")</f>
        <v>56.9</v>
      </c>
      <c r="I51" s="142">
        <f>_xlfn.XLOOKUP(A51,'DADOS DE VENDA'!M:M,'DADOS DE VENDA'!P:P,"SEM VENDA")</f>
        <v>2.5499999999999998</v>
      </c>
      <c r="J51" s="42">
        <f>IFERROR(I51/E51,"0")</f>
        <v>6.3749999999999991</v>
      </c>
      <c r="K51" s="43">
        <f>IFERROR(I51*G51,"0")</f>
        <v>145.095</v>
      </c>
      <c r="L51" s="51" t="str">
        <f>_xlfn.XLOOKUP(A51,'DADOS DE VENDA'!A:A,'DADOS DE VENDA'!E:E,"RUPTURA NO PERIODO")</f>
        <v>RUPTURA NO PERIODO</v>
      </c>
      <c r="M51" s="88" t="str" cm="1">
        <f t="array" ref="M51">_xlfn.IFS(C51&lt;I51,"ABAIXO",C51&gt;I51,"ACIMA",C51=I51,"OK")</f>
        <v>ABAIXO</v>
      </c>
      <c r="P51" s="87">
        <f>('[1]ESCALA DE PRODUÇÃO'!Q41)</f>
        <v>8571</v>
      </c>
      <c r="Q51" s="29" t="str">
        <f>_xlfn.XLOOKUP(P51,'[1]ESCALA DE PRODUÇÃO'!$AL$1:$AL$1048566,'[1]ESCALA DE PRODUÇÃO'!$AJ$1:$AJ$1048566,"NÃO ENCOTRADO")</f>
        <v>008571 - ROTISSERIA POLENTA AO MOLHO CARNE MOIDA BENDITO KG</v>
      </c>
      <c r="R51" s="44">
        <f>C51</f>
        <v>1</v>
      </c>
      <c r="S51" s="45">
        <f>(F51)</f>
        <v>2.5</v>
      </c>
    </row>
    <row r="52" spans="1:19" ht="19" thickBot="1" x14ac:dyDescent="0.5">
      <c r="A52" s="87">
        <f>('[1]ESCALA DE PRODUÇÃO'!L42)</f>
        <v>8316</v>
      </c>
      <c r="B52" s="29" t="str">
        <f>_xlfn.XLOOKUP(A52,'[1]ESCALA DE PRODUÇÃO'!$AL$1:$AL$1048566,'[1]ESCALA DE PRODUÇÃO'!$AJ$1:$AJ$1048566,"NÃO ENCOTRADO")</f>
        <v>008316 - ROTISSERIA ESCONDIDINHO FRANGO BENDITO KG</v>
      </c>
      <c r="C52" s="44">
        <v>1.5</v>
      </c>
      <c r="D52" s="28" t="str">
        <f>_xlfn.XLOOKUP(A52,'[1]ESCALA DE PRODUÇÃO'!$AL$1:$AL$1048566,'[1]ESCALA DE PRODUÇÃO'!$AK$1:$AK$1048566,"0")</f>
        <v>KG/0001</v>
      </c>
      <c r="E52" s="32">
        <f>('[1]ESCALA DE PRODUÇÃO'!N42)</f>
        <v>0.4</v>
      </c>
      <c r="F52" s="45">
        <f>IFERROR(C52/E52,"0")</f>
        <v>3.75</v>
      </c>
      <c r="G52" s="30">
        <f>_xlfn.XLOOKUP(A52,'[1]ESCALA DE PRODUÇÃO'!$AL$1:$AL$1048566,'[1]ESCALA DE PRODUÇÃO'!$AM$1:$AM$1048566,"SEM PREÇO")</f>
        <v>57.9</v>
      </c>
      <c r="H52" s="33">
        <f>IFERROR(C52*G52,"0")</f>
        <v>86.85</v>
      </c>
      <c r="I52" s="142" t="str">
        <f>_xlfn.XLOOKUP(A52,'DADOS DE VENDA'!M:M,'DADOS DE VENDA'!P:P,"SEM VENDA")</f>
        <v>SEM VENDA</v>
      </c>
      <c r="J52" s="42" t="str">
        <f>IFERROR(I52/E52,"0")</f>
        <v>0</v>
      </c>
      <c r="K52" s="43" t="str">
        <f>IFERROR(I52*G52,"0")</f>
        <v>0</v>
      </c>
      <c r="L52" s="51" t="str">
        <f>_xlfn.XLOOKUP(A52,'DADOS DE VENDA'!A:A,'DADOS DE VENDA'!E:E,"RUPTURA NO PERIODO")</f>
        <v>RUPTURA NO PERIODO</v>
      </c>
      <c r="M52" s="88" t="str" cm="1">
        <f t="array" ref="M52">_xlfn.IFS(C52&lt;I52,"ABAIXO",C52&gt;I52,"ACIMA",C52=I52,"OK")</f>
        <v>ABAIXO</v>
      </c>
      <c r="P52" s="87">
        <f>('[1]ESCALA DE PRODUÇÃO'!Q42)</f>
        <v>6878</v>
      </c>
      <c r="Q52" s="29" t="str">
        <f>_xlfn.XLOOKUP(P52,'[1]ESCALA DE PRODUÇÃO'!$AL$1:$AL$1048566,'[1]ESCALA DE PRODUÇÃO'!$AJ$1:$AJ$1048566,"NÃO ENCOTRADO")</f>
        <v>006878 - ROT REFRIGERADO PANQUECA FRANGO C/CATUPIRY KG</v>
      </c>
      <c r="R52" s="44">
        <f>C52</f>
        <v>1.5</v>
      </c>
      <c r="S52" s="45">
        <f>(F52)</f>
        <v>3.75</v>
      </c>
    </row>
    <row r="53" spans="1:19" ht="19" thickBot="1" x14ac:dyDescent="0.5">
      <c r="A53" s="87">
        <f>('[1]ESCALA DE PRODUÇÃO'!L43)</f>
        <v>0</v>
      </c>
      <c r="B53" s="29" t="str">
        <f>_xlfn.XLOOKUP(A53,'[1]ESCALA DE PRODUÇÃO'!$AL$1:$AL$1048566,'[1]ESCALA DE PRODUÇÃO'!$AJ$1:$AJ$1048566,"NÃO ENCOTRADO")</f>
        <v>NÃO ENCOTRADO</v>
      </c>
      <c r="C53" s="44">
        <v>0</v>
      </c>
      <c r="D53" s="28" t="str">
        <f>_xlfn.XLOOKUP(A53,'[1]ESCALA DE PRODUÇÃO'!$AL$1:$AL$1048566,'[1]ESCALA DE PRODUÇÃO'!$AK$1:$AK$1048566,"0")</f>
        <v>0</v>
      </c>
      <c r="E53" s="32">
        <f>('[1]ESCALA DE PRODUÇÃO'!N43)</f>
        <v>0</v>
      </c>
      <c r="F53" s="45" t="str">
        <f>IFERROR(C53/E53,"0")</f>
        <v>0</v>
      </c>
      <c r="G53" s="30" t="str">
        <f>_xlfn.XLOOKUP(A53,'[1]ESCALA DE PRODUÇÃO'!$AL$1:$AL$1048566,'[1]ESCALA DE PRODUÇÃO'!$AM$1:$AM$1048566,"SEM PREÇO")</f>
        <v>SEM PREÇO</v>
      </c>
      <c r="H53" s="33" t="str">
        <f>IFERROR(C53*G53,"0")</f>
        <v>0</v>
      </c>
      <c r="I53" s="142" t="str">
        <f>_xlfn.XLOOKUP(A53,'DADOS DE VENDA'!M:M,'DADOS DE VENDA'!P:P,"SEM VENDA")</f>
        <v>SEM VENDA</v>
      </c>
      <c r="J53" s="42" t="str">
        <f>IFERROR(I53/E53,"0")</f>
        <v>0</v>
      </c>
      <c r="K53" s="43" t="str">
        <f>IFERROR(I53*G53,"0")</f>
        <v>0</v>
      </c>
      <c r="L53" s="51" t="str">
        <f>_xlfn.XLOOKUP(A53,'DADOS DE VENDA'!A:A,'DADOS DE VENDA'!E:E,"RUPTURA NO PERIODO")</f>
        <v>RUPTURA NO PERIODO</v>
      </c>
      <c r="M53" s="88" t="str" cm="1">
        <f t="array" ref="M53">_xlfn.IFS(C53&lt;I53,"ABAIXO",C53&gt;I53,"ACIMA",C53=I53,"OK")</f>
        <v>ABAIXO</v>
      </c>
      <c r="P53" s="87">
        <f>('[1]ESCALA DE PRODUÇÃO'!Q43)</f>
        <v>0</v>
      </c>
      <c r="Q53" s="29" t="str">
        <f>_xlfn.XLOOKUP(P53,'[1]ESCALA DE PRODUÇÃO'!$AL$1:$AL$1048566,'[1]ESCALA DE PRODUÇÃO'!$AJ$1:$AJ$1048566,"NÃO ENCOTRADO")</f>
        <v>NÃO ENCOTRADO</v>
      </c>
      <c r="R53" s="44">
        <f>C53</f>
        <v>0</v>
      </c>
      <c r="S53" s="45" t="str">
        <f>(F53)</f>
        <v>0</v>
      </c>
    </row>
    <row r="54" spans="1:19" ht="19" thickBot="1" x14ac:dyDescent="0.5">
      <c r="A54" s="87">
        <f>('[1]ESCALA DE PRODUÇÃO'!L44)</f>
        <v>6960</v>
      </c>
      <c r="B54" s="29" t="str">
        <f>_xlfn.XLOOKUP(A54,'[1]ESCALA DE PRODUÇÃO'!$AL$1:$AL$1048566,'[1]ESCALA DE PRODUÇÃO'!$AJ$1:$AJ$1048566,"NÃO ENCOTRADO")</f>
        <v>006960 - ROTISSERIA NHOQUE AO MOLHO SUGO KG</v>
      </c>
      <c r="C54" s="44">
        <v>0</v>
      </c>
      <c r="D54" s="28" t="str">
        <f>_xlfn.XLOOKUP(A54,'[1]ESCALA DE PRODUÇÃO'!$AL$1:$AL$1048566,'[1]ESCALA DE PRODUÇÃO'!$AK$1:$AK$1048566,"0")</f>
        <v>KG/0001</v>
      </c>
      <c r="E54" s="32">
        <f>('[1]ESCALA DE PRODUÇÃO'!N44)</f>
        <v>0.4</v>
      </c>
      <c r="F54" s="45">
        <f>IFERROR(C54/E54,"0")</f>
        <v>0</v>
      </c>
      <c r="G54" s="30">
        <f>_xlfn.XLOOKUP(A54,'[1]ESCALA DE PRODUÇÃO'!$AL$1:$AL$1048566,'[1]ESCALA DE PRODUÇÃO'!$AM$1:$AM$1048566,"SEM PREÇO")</f>
        <v>39.9</v>
      </c>
      <c r="H54" s="33">
        <f>IFERROR(C54*G54,"0")</f>
        <v>0</v>
      </c>
      <c r="I54" s="142" t="str">
        <f>_xlfn.XLOOKUP(A54,'DADOS DE VENDA'!M:M,'DADOS DE VENDA'!P:P,"SEM VENDA")</f>
        <v>SEM VENDA</v>
      </c>
      <c r="J54" s="42" t="str">
        <f>IFERROR(I54/E54,"0")</f>
        <v>0</v>
      </c>
      <c r="K54" s="43" t="str">
        <f>IFERROR(I54*G54,"0")</f>
        <v>0</v>
      </c>
      <c r="L54" s="51" t="str">
        <f>_xlfn.XLOOKUP(A54,'DADOS DE VENDA'!A:A,'DADOS DE VENDA'!E:E,"RUPTURA NO PERIODO")</f>
        <v>RUPTURA NO PERIODO</v>
      </c>
      <c r="M54" s="88" t="str" cm="1">
        <f t="array" ref="M54">_xlfn.IFS(C54&lt;I54,"ABAIXO",C54&gt;I54,"ACIMA",C54=I54,"OK")</f>
        <v>ABAIXO</v>
      </c>
      <c r="P54" s="87">
        <f>('[1]ESCALA DE PRODUÇÃO'!Q44)</f>
        <v>8333</v>
      </c>
      <c r="Q54" s="29" t="str">
        <f>_xlfn.XLOOKUP(P54,'[1]ESCALA DE PRODUÇÃO'!$AL$1:$AL$1048566,'[1]ESCALA DE PRODUÇÃO'!$AJ$1:$AJ$1048566,"NÃO ENCOTRADO")</f>
        <v>008333 - ROTISSERIA BATATA/RECHEADA  BROCOLIS E BACON</v>
      </c>
      <c r="R54" s="44">
        <f>C54</f>
        <v>0</v>
      </c>
      <c r="S54" s="45">
        <f>(F54)</f>
        <v>0</v>
      </c>
    </row>
    <row r="55" spans="1:19" ht="15" thickBot="1" x14ac:dyDescent="0.4">
      <c r="A55" s="85" t="s">
        <v>8</v>
      </c>
      <c r="B55" s="6" t="s">
        <v>182</v>
      </c>
      <c r="C55" s="3" t="s">
        <v>2</v>
      </c>
      <c r="D55" s="3" t="s">
        <v>106</v>
      </c>
      <c r="E55" s="3" t="s">
        <v>4</v>
      </c>
      <c r="F55" s="3" t="s">
        <v>6</v>
      </c>
      <c r="G55" s="4" t="s">
        <v>3</v>
      </c>
      <c r="H55" s="3" t="s">
        <v>5</v>
      </c>
      <c r="I55" s="139" t="s">
        <v>157</v>
      </c>
      <c r="J55" s="7" t="s">
        <v>152</v>
      </c>
      <c r="K55" s="7" t="s">
        <v>153</v>
      </c>
      <c r="L55" s="3" t="s">
        <v>104</v>
      </c>
      <c r="M55" s="86" t="s">
        <v>105</v>
      </c>
      <c r="P55" s="85" t="s">
        <v>8</v>
      </c>
      <c r="Q55" s="6" t="s">
        <v>182</v>
      </c>
      <c r="R55" s="3" t="s">
        <v>2</v>
      </c>
      <c r="S55" s="3" t="s">
        <v>6</v>
      </c>
    </row>
    <row r="56" spans="1:19" ht="19" thickBot="1" x14ac:dyDescent="0.5">
      <c r="A56" s="87">
        <f>('[1]ESCALA DE PRODUÇÃO'!L45)</f>
        <v>0</v>
      </c>
      <c r="B56" s="29" t="str">
        <f>_xlfn.XLOOKUP(A56,'[1]ESCALA DE PRODUÇÃO'!$AL$1:$AL$1048566,'[1]ESCALA DE PRODUÇÃO'!$AJ$1:$AJ$1048566,"NÃO ENCOTRADO")</f>
        <v>NÃO ENCOTRADO</v>
      </c>
      <c r="C56" s="44">
        <v>0</v>
      </c>
      <c r="D56" s="28" t="str">
        <f>_xlfn.XLOOKUP(A56,'[1]ESCALA DE PRODUÇÃO'!$AL$1:$AL$1048566,'[1]ESCALA DE PRODUÇÃO'!$AK$1:$AK$1048566,"0")</f>
        <v>0</v>
      </c>
      <c r="E56" s="32">
        <f>('[1]ESCALA DE PRODUÇÃO'!N46)</f>
        <v>0.15</v>
      </c>
      <c r="F56" s="45">
        <f>IFERROR(C56/E56,"0")</f>
        <v>0</v>
      </c>
      <c r="G56" s="30" t="str">
        <f>_xlfn.XLOOKUP(A56,'[1]ESCALA DE PRODUÇÃO'!$AL$1:$AL$1048566,'[1]ESCALA DE PRODUÇÃO'!$AM$1:$AM$1048566,"SEM PREÇO")</f>
        <v>SEM PREÇO</v>
      </c>
      <c r="H56" s="33" t="str">
        <f>IFERROR(C56*G56,"0")</f>
        <v>0</v>
      </c>
      <c r="I56" s="142" t="str">
        <f>_xlfn.XLOOKUP(A56,'DADOS DE VENDA'!M:M,'DADOS DE VENDA'!P:P,"SEM VENDA")</f>
        <v>SEM VENDA</v>
      </c>
      <c r="J56" s="42" t="str">
        <f>IFERROR(I56/E56,"0")</f>
        <v>0</v>
      </c>
      <c r="K56" s="43" t="str">
        <f>IFERROR(I56*G56,"0")</f>
        <v>0</v>
      </c>
      <c r="L56" s="51" t="str">
        <f>_xlfn.XLOOKUP(A56,'DADOS DE VENDA'!A:A,'DADOS DE VENDA'!E:E,"RUPTURA NO PERIODO")</f>
        <v>RUPTURA NO PERIODO</v>
      </c>
      <c r="M56" s="88" t="str" cm="1">
        <f t="array" ref="M56">_xlfn.IFS(C56&lt;I56,"ABAIXO",C56&gt;I56,"ACIMA",C56=I56,"OK")</f>
        <v>ABAIXO</v>
      </c>
      <c r="P56" s="87">
        <f>('[1]ESCALA DE PRODUÇÃO'!Q46)</f>
        <v>7570</v>
      </c>
      <c r="Q56" s="29" t="str">
        <f>_xlfn.XLOOKUP(P56,'[1]ESCALA DE PRODUÇÃO'!$AL$1:$AL$1048566,'[1]ESCALA DE PRODUÇÃO'!$AJ$1:$AJ$1048566,"NÃO ENCOTRADO")</f>
        <v>007570 - MOLHO PESTO BENDITO KG</v>
      </c>
      <c r="R56" s="44">
        <f>C56</f>
        <v>0</v>
      </c>
      <c r="S56" s="45">
        <f>F56</f>
        <v>0</v>
      </c>
    </row>
    <row r="57" spans="1:19" ht="19" thickBot="1" x14ac:dyDescent="0.5">
      <c r="A57" s="87">
        <f>('[1]ESCALA DE PRODUÇÃO'!L46)</f>
        <v>7575</v>
      </c>
      <c r="B57" s="29" t="str">
        <f>_xlfn.XLOOKUP(A57,'[1]ESCALA DE PRODUÇÃO'!$AL$1:$AL$1048566,'[1]ESCALA DE PRODUÇÃO'!$AJ$1:$AJ$1048566,"NÃO ENCOTRADO")</f>
        <v>007575 - PATE DE AZEITONA VERDE BENDITO KG</v>
      </c>
      <c r="C57" s="44">
        <v>0</v>
      </c>
      <c r="D57" s="28" t="str">
        <f>_xlfn.XLOOKUP(A57,'[1]ESCALA DE PRODUÇÃO'!$AL$1:$AL$1048566,'[1]ESCALA DE PRODUÇÃO'!$AK$1:$AK$1048566,"0")</f>
        <v>KG/0001</v>
      </c>
      <c r="E57" s="32">
        <f>('[1]ESCALA DE PRODUÇÃO'!N47)</f>
        <v>0.15</v>
      </c>
      <c r="F57" s="45">
        <f>IFERROR(C57/E57,"0")</f>
        <v>0</v>
      </c>
      <c r="G57" s="30">
        <f>_xlfn.XLOOKUP(A57,'[1]ESCALA DE PRODUÇÃO'!$AL$1:$AL$1048566,'[1]ESCALA DE PRODUÇÃO'!$AM$1:$AM$1048566,"SEM PREÇO")</f>
        <v>79.900000000000006</v>
      </c>
      <c r="H57" s="33">
        <f>IFERROR(C57*G57,"0")</f>
        <v>0</v>
      </c>
      <c r="I57" s="142" t="str">
        <f>_xlfn.XLOOKUP(A57,'DADOS DE VENDA'!M:M,'DADOS DE VENDA'!P:P,"SEM VENDA")</f>
        <v>SEM VENDA</v>
      </c>
      <c r="J57" s="42" t="str">
        <f>IFERROR(I57/E57,"0")</f>
        <v>0</v>
      </c>
      <c r="K57" s="43" t="str">
        <f>IFERROR(I57*G57,"0")</f>
        <v>0</v>
      </c>
      <c r="L57" s="51" t="str">
        <f>_xlfn.XLOOKUP(A57,'DADOS DE VENDA'!A:A,'DADOS DE VENDA'!E:E,"RUPTURA NO PERIODO")</f>
        <v>RUPTURA NO PERIODO</v>
      </c>
      <c r="M57" s="88" t="str" cm="1">
        <f t="array" ref="M57">_xlfn.IFS(C57&lt;I57,"ABAIXO",C57&gt;I57,"ACIMA",C57=I57,"OK")</f>
        <v>ABAIXO</v>
      </c>
      <c r="P57" s="87">
        <f>('[1]ESCALA DE PRODUÇÃO'!Q47)</f>
        <v>0</v>
      </c>
      <c r="Q57" s="29" t="str">
        <f>_xlfn.XLOOKUP(P57,'[1]ESCALA DE PRODUÇÃO'!$AL$1:$AL$1048566,'[1]ESCALA DE PRODUÇÃO'!$AJ$1:$AJ$1048566,"NÃO ENCOTRADO")</f>
        <v>NÃO ENCOTRADO</v>
      </c>
      <c r="R57" s="44">
        <f>C57</f>
        <v>0</v>
      </c>
      <c r="S57" s="45">
        <f>F57</f>
        <v>0</v>
      </c>
    </row>
    <row r="58" spans="1:19" ht="19" thickBot="1" x14ac:dyDescent="0.5">
      <c r="A58" s="87">
        <f>('[1]ESCALA DE PRODUÇÃO'!L47)</f>
        <v>7576</v>
      </c>
      <c r="B58" s="29" t="str">
        <f>_xlfn.XLOOKUP(A58,'[1]ESCALA DE PRODUÇÃO'!$AL$1:$AL$1048566,'[1]ESCALA DE PRODUÇÃO'!$AJ$1:$AJ$1048566,"NÃO ENCOTRADO")</f>
        <v xml:space="preserve">007576 - PATE DE GORGONZOLA BENDITO KG </v>
      </c>
      <c r="C58" s="44">
        <v>0</v>
      </c>
      <c r="D58" s="28" t="str">
        <f>_xlfn.XLOOKUP(A58,'[1]ESCALA DE PRODUÇÃO'!$AL$1:$AL$1048566,'[1]ESCALA DE PRODUÇÃO'!$AK$1:$AK$1048566,"0")</f>
        <v>KG/0001</v>
      </c>
      <c r="E58" s="32">
        <f>('[1]ESCALA DE PRODUÇÃO'!N48)</f>
        <v>0.15</v>
      </c>
      <c r="F58" s="45">
        <f>IFERROR(C58/E58,"0")</f>
        <v>0</v>
      </c>
      <c r="G58" s="30">
        <f>_xlfn.XLOOKUP(A58,'[1]ESCALA DE PRODUÇÃO'!$AL$1:$AL$1048566,'[1]ESCALA DE PRODUÇÃO'!$AM$1:$AM$1048566,"SEM PREÇO")</f>
        <v>79.900000000000006</v>
      </c>
      <c r="H58" s="33">
        <f>IFERROR(C58*G58,"0")</f>
        <v>0</v>
      </c>
      <c r="I58" s="142" t="str">
        <f>_xlfn.XLOOKUP(A58,'DADOS DE VENDA'!M:M,'DADOS DE VENDA'!P:P,"SEM VENDA")</f>
        <v>SEM VENDA</v>
      </c>
      <c r="J58" s="42" t="str">
        <f>IFERROR(I58/E58,"0")</f>
        <v>0</v>
      </c>
      <c r="K58" s="43" t="str">
        <f>IFERROR(I58*G58,"0")</f>
        <v>0</v>
      </c>
      <c r="L58" s="51" t="str">
        <f>_xlfn.XLOOKUP(A58,'DADOS DE VENDA'!A:A,'DADOS DE VENDA'!E:E,"RUPTURA NO PERIODO")</f>
        <v>RUPTURA NO PERIODO</v>
      </c>
      <c r="M58" s="88" t="str" cm="1">
        <f t="array" ref="M58">_xlfn.IFS(C58&lt;I58,"ABAIXO",C58&gt;I58,"ACIMA",C58=I58,"OK")</f>
        <v>ABAIXO</v>
      </c>
      <c r="P58" s="87">
        <f>('[1]ESCALA DE PRODUÇÃO'!Q48)</f>
        <v>0</v>
      </c>
      <c r="Q58" s="29" t="str">
        <f>_xlfn.XLOOKUP(P58,'[1]ESCALA DE PRODUÇÃO'!$AL$1:$AL$1048566,'[1]ESCALA DE PRODUÇÃO'!$AJ$1:$AJ$1048566,"NÃO ENCOTRADO")</f>
        <v>NÃO ENCOTRADO</v>
      </c>
      <c r="R58" s="44">
        <f>C58</f>
        <v>0</v>
      </c>
      <c r="S58" s="45">
        <f>F58</f>
        <v>0</v>
      </c>
    </row>
    <row r="59" spans="1:19" ht="19" thickBot="1" x14ac:dyDescent="0.5">
      <c r="A59" s="87">
        <f>('[1]ESCALA DE PRODUÇÃO'!L48)</f>
        <v>8079</v>
      </c>
      <c r="B59" s="29" t="str">
        <f>_xlfn.XLOOKUP(A59,'[1]ESCALA DE PRODUÇÃO'!$AL$1:$AL$1048566,'[1]ESCALA DE PRODUÇÃO'!$AJ$1:$AJ$1048566,"NÃO ENCOTRADO")</f>
        <v xml:space="preserve">008079 - PATE DE NOZES BENDITO KG </v>
      </c>
      <c r="C59" s="44">
        <v>0</v>
      </c>
      <c r="D59" s="28" t="str">
        <f>_xlfn.XLOOKUP(A59,'[1]ESCALA DE PRODUÇÃO'!$AL$1:$AL$1048566,'[1]ESCALA DE PRODUÇÃO'!$AK$1:$AK$1048566,"0")</f>
        <v>KG/0001</v>
      </c>
      <c r="E59" s="32">
        <f>('[1]ESCALA DE PRODUÇÃO'!N49)</f>
        <v>0.15</v>
      </c>
      <c r="F59" s="45">
        <f>IFERROR(C59/E59,"0")</f>
        <v>0</v>
      </c>
      <c r="G59" s="30">
        <f>_xlfn.XLOOKUP(A59,'[1]ESCALA DE PRODUÇÃO'!$AL$1:$AL$1048566,'[1]ESCALA DE PRODUÇÃO'!$AM$1:$AM$1048566,"SEM PREÇO")</f>
        <v>99.9</v>
      </c>
      <c r="H59" s="33">
        <f>IFERROR(C59*G59,"0")</f>
        <v>0</v>
      </c>
      <c r="I59" s="142" t="str">
        <f>_xlfn.XLOOKUP(A59,'DADOS DE VENDA'!M:M,'DADOS DE VENDA'!P:P,"SEM VENDA")</f>
        <v>SEM VENDA</v>
      </c>
      <c r="J59" s="42" t="str">
        <f>IFERROR(I59/E59,"0")</f>
        <v>0</v>
      </c>
      <c r="K59" s="43" t="str">
        <f>IFERROR(I59*G59,"0")</f>
        <v>0</v>
      </c>
      <c r="L59" s="51" t="str">
        <f>_xlfn.XLOOKUP(A59,'DADOS DE VENDA'!A:A,'DADOS DE VENDA'!E:E,"RUPTURA NO PERIODO")</f>
        <v>RUPTURA NO PERIODO</v>
      </c>
      <c r="M59" s="88" t="str" cm="1">
        <f t="array" ref="M59">_xlfn.IFS(C59&lt;I59,"ABAIXO",C59&gt;I59,"ACIMA",C59=I59,"OK")</f>
        <v>ABAIXO</v>
      </c>
      <c r="P59" s="87">
        <f>('[1]ESCALA DE PRODUÇÃO'!Q49)</f>
        <v>0</v>
      </c>
      <c r="Q59" s="29" t="str">
        <f>_xlfn.XLOOKUP(P59,'[1]ESCALA DE PRODUÇÃO'!$AL$1:$AL$1048566,'[1]ESCALA DE PRODUÇÃO'!$AJ$1:$AJ$1048566,"NÃO ENCOTRADO")</f>
        <v>NÃO ENCOTRADO</v>
      </c>
      <c r="R59" s="44">
        <f>C59</f>
        <v>0</v>
      </c>
      <c r="S59" s="45">
        <f>F59</f>
        <v>0</v>
      </c>
    </row>
    <row r="60" spans="1:19" ht="19" thickBot="1" x14ac:dyDescent="0.5">
      <c r="A60" s="87"/>
      <c r="B60" s="103" t="s">
        <v>176</v>
      </c>
      <c r="C60" s="103" t="s">
        <v>173</v>
      </c>
      <c r="D60" s="159"/>
      <c r="E60" s="160"/>
      <c r="F60" s="105" t="s">
        <v>174</v>
      </c>
      <c r="G60" s="161">
        <f>SUM(H51,H52,H53,H54,H56,H57,H58)</f>
        <v>143.75</v>
      </c>
      <c r="H60" s="162"/>
      <c r="I60" s="142">
        <f>_xlfn.XLOOKUP(A60,'DADOS DE VENDA'!M:M,'DADOS DE VENDA'!P:P,"SEM VENDA")</f>
        <v>0</v>
      </c>
      <c r="J60" s="163">
        <f>SUM(K51,K52,K53,K54,K56,K57,K58,K59)</f>
        <v>145.095</v>
      </c>
      <c r="K60" s="164"/>
      <c r="L60" s="104"/>
      <c r="M60" s="107"/>
      <c r="P60" s="147" t="s">
        <v>5</v>
      </c>
      <c r="Q60" s="148"/>
      <c r="R60" s="149">
        <f>G60</f>
        <v>143.75</v>
      </c>
      <c r="S60" s="150"/>
    </row>
    <row r="62" spans="1:19" ht="15" thickBot="1" x14ac:dyDescent="0.4"/>
    <row r="63" spans="1:19" x14ac:dyDescent="0.35">
      <c r="P63" s="166" t="s">
        <v>225</v>
      </c>
      <c r="Q63" s="167"/>
      <c r="R63" s="172">
        <f>SUM(R28,R45,R60)</f>
        <v>1941.6</v>
      </c>
      <c r="S63" s="173"/>
    </row>
    <row r="64" spans="1:19" x14ac:dyDescent="0.35">
      <c r="P64" s="168"/>
      <c r="Q64" s="169"/>
      <c r="R64" s="174"/>
      <c r="S64" s="175"/>
    </row>
    <row r="65" spans="16:19" ht="15" thickBot="1" x14ac:dyDescent="0.4">
      <c r="P65" s="170"/>
      <c r="Q65" s="171"/>
      <c r="R65" s="176"/>
      <c r="S65" s="177"/>
    </row>
  </sheetData>
  <mergeCells count="41">
    <mergeCell ref="I31:M31"/>
    <mergeCell ref="I1:M1"/>
    <mergeCell ref="A49:B49"/>
    <mergeCell ref="I49:M49"/>
    <mergeCell ref="I48:M48"/>
    <mergeCell ref="A2:B2"/>
    <mergeCell ref="I2:M2"/>
    <mergeCell ref="I32:M32"/>
    <mergeCell ref="D60:E60"/>
    <mergeCell ref="G60:H60"/>
    <mergeCell ref="J60:K60"/>
    <mergeCell ref="A1:C1"/>
    <mergeCell ref="D2:H2"/>
    <mergeCell ref="A31:C31"/>
    <mergeCell ref="D32:H32"/>
    <mergeCell ref="A48:C48"/>
    <mergeCell ref="D49:H49"/>
    <mergeCell ref="D28:E28"/>
    <mergeCell ref="G28:H28"/>
    <mergeCell ref="J28:K28"/>
    <mergeCell ref="A32:B32"/>
    <mergeCell ref="D45:E45"/>
    <mergeCell ref="G45:H45"/>
    <mergeCell ref="J45:K45"/>
    <mergeCell ref="P1:Q1"/>
    <mergeCell ref="P2:Q2"/>
    <mergeCell ref="R2:S2"/>
    <mergeCell ref="P28:Q28"/>
    <mergeCell ref="R28:S28"/>
    <mergeCell ref="P31:Q31"/>
    <mergeCell ref="P32:Q32"/>
    <mergeCell ref="R32:S32"/>
    <mergeCell ref="P45:Q45"/>
    <mergeCell ref="R45:S45"/>
    <mergeCell ref="P60:Q60"/>
    <mergeCell ref="R60:S60"/>
    <mergeCell ref="P63:Q65"/>
    <mergeCell ref="R63:S65"/>
    <mergeCell ref="P48:Q48"/>
    <mergeCell ref="P49:Q49"/>
    <mergeCell ref="R49:S49"/>
  </mergeCells>
  <conditionalFormatting sqref="I4:I6 I8:I10 I12:I13 I15:I16 I18:I20 I22:I24 I26:I30">
    <cfRule type="containsText" dxfId="34" priority="9" operator="containsText" text="SEM VENDA">
      <formula>NOT(ISERROR(SEARCH("SEM VENDA",I4)))</formula>
    </cfRule>
  </conditionalFormatting>
  <conditionalFormatting sqref="I34:I36 I38:I40 I42:I45">
    <cfRule type="containsText" dxfId="33" priority="7" operator="containsText" text="SEM VENDA">
      <formula>NOT(ISERROR(SEARCH("SEM VENDA",I34)))</formula>
    </cfRule>
  </conditionalFormatting>
  <conditionalFormatting sqref="I51:I54 I56:I60">
    <cfRule type="containsText" dxfId="32" priority="2" operator="containsText" text="SEM VENDA">
      <formula>NOT(ISERROR(SEARCH("SEM VENDA",I51)))</formula>
    </cfRule>
  </conditionalFormatting>
  <conditionalFormatting sqref="L4:L6 L8:L10 L12:L13 L15:L16 L18:L20 L22:L24 L26:L30">
    <cfRule type="containsText" dxfId="31" priority="10" operator="containsText" text="RUPTURA NO PERIODO">
      <formula>NOT(ISERROR(SEARCH("RUPTURA NO PERIODO",L4)))</formula>
    </cfRule>
  </conditionalFormatting>
  <conditionalFormatting sqref="L34:L36 L38:L40 L42:L45">
    <cfRule type="containsText" dxfId="30" priority="8" operator="containsText" text="RUPTURA NO PERIODO">
      <formula>NOT(ISERROR(SEARCH("RUPTURA NO PERIODO",L34)))</formula>
    </cfRule>
  </conditionalFormatting>
  <conditionalFormatting sqref="L51:L54">
    <cfRule type="containsText" dxfId="29" priority="3" operator="containsText" text="RUPTURA NO PERIODO">
      <formula>NOT(ISERROR(SEARCH("RUPTURA NO PERIODO",L51)))</formula>
    </cfRule>
  </conditionalFormatting>
  <conditionalFormatting sqref="L56:L60">
    <cfRule type="containsText" dxfId="28" priority="1" operator="containsText" text="RUPTURA NO PERIODO">
      <formula>NOT(ISERROR(SEARCH("RUPTURA NO PERIODO",L56)))</formula>
    </cfRule>
  </conditionalFormatting>
  <pageMargins left="0.25" right="0.25" top="0.75" bottom="0.75" header="0.3" footer="0.3"/>
  <pageSetup scale="32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6FC0-1516-4F34-9BA3-3727D807DC6E}">
  <sheetPr>
    <tabColor theme="2" tint="-0.499984740745262"/>
    <pageSetUpPr fitToPage="1"/>
  </sheetPr>
  <dimension ref="A1:S67"/>
  <sheetViews>
    <sheetView zoomScale="56" zoomScaleNormal="100" workbookViewId="0">
      <selection activeCell="Q55" sqref="Q55"/>
    </sheetView>
  </sheetViews>
  <sheetFormatPr defaultRowHeight="14.5" x14ac:dyDescent="0.35"/>
  <cols>
    <col min="2" max="2" width="54.7265625" bestFit="1" customWidth="1"/>
    <col min="3" max="3" width="8.453125" customWidth="1"/>
    <col min="4" max="4" width="8.1796875" customWidth="1"/>
    <col min="5" max="5" width="7" customWidth="1"/>
    <col min="6" max="6" width="5.90625" bestFit="1" customWidth="1"/>
    <col min="7" max="7" width="11.26953125" style="2" bestFit="1" customWidth="1"/>
    <col min="8" max="8" width="11.81640625" bestFit="1" customWidth="1"/>
    <col min="9" max="9" width="14.08984375" bestFit="1" customWidth="1"/>
    <col min="10" max="10" width="9.6328125" bestFit="1" customWidth="1"/>
    <col min="11" max="11" width="15.6328125" bestFit="1" customWidth="1"/>
    <col min="12" max="12" width="20.08984375" bestFit="1" customWidth="1"/>
    <col min="17" max="17" width="65.81640625" bestFit="1" customWidth="1"/>
    <col min="18" max="18" width="8.1796875" bestFit="1" customWidth="1"/>
    <col min="19" max="19" width="12.08984375" customWidth="1"/>
  </cols>
  <sheetData>
    <row r="1" spans="1:19" ht="21.5" thickBot="1" x14ac:dyDescent="0.55000000000000004">
      <c r="A1" s="200" t="s">
        <v>162</v>
      </c>
      <c r="B1" s="198"/>
      <c r="C1" s="198"/>
      <c r="D1" s="121"/>
      <c r="E1" s="121"/>
      <c r="F1" s="121"/>
      <c r="G1" s="121"/>
      <c r="H1" s="121"/>
      <c r="I1" s="198" t="s">
        <v>171</v>
      </c>
      <c r="J1" s="198"/>
      <c r="K1" s="198"/>
      <c r="L1" s="198"/>
      <c r="M1" s="199"/>
      <c r="P1" s="157" t="s">
        <v>184</v>
      </c>
      <c r="Q1" s="158"/>
      <c r="R1" s="132" t="s">
        <v>102</v>
      </c>
      <c r="S1" s="131">
        <v>46044</v>
      </c>
    </row>
    <row r="2" spans="1:19" ht="15" thickBot="1" x14ac:dyDescent="0.4">
      <c r="A2" s="186" t="s">
        <v>154</v>
      </c>
      <c r="B2" s="152"/>
      <c r="C2" s="119" t="s">
        <v>174</v>
      </c>
      <c r="D2" s="146" t="s">
        <v>155</v>
      </c>
      <c r="E2" s="146"/>
      <c r="F2" s="146"/>
      <c r="G2" s="146"/>
      <c r="H2" s="156"/>
      <c r="I2" s="146" t="s">
        <v>156</v>
      </c>
      <c r="J2" s="146"/>
      <c r="K2" s="146"/>
      <c r="L2" s="146"/>
      <c r="M2" s="146"/>
      <c r="P2" s="151" t="s">
        <v>192</v>
      </c>
      <c r="Q2" s="152"/>
      <c r="R2" s="145" t="s">
        <v>155</v>
      </c>
      <c r="S2" s="146"/>
    </row>
    <row r="3" spans="1:19" ht="15" thickBot="1" x14ac:dyDescent="0.4">
      <c r="A3" s="5" t="s">
        <v>8</v>
      </c>
      <c r="B3" s="6" t="s">
        <v>164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P3" s="85" t="s">
        <v>8</v>
      </c>
      <c r="Q3" s="6" t="s">
        <v>164</v>
      </c>
      <c r="R3" s="3" t="s">
        <v>2</v>
      </c>
      <c r="S3" s="3" t="s">
        <v>6</v>
      </c>
    </row>
    <row r="4" spans="1:19" ht="19" thickBot="1" x14ac:dyDescent="0.5">
      <c r="A4" s="28">
        <v>7625</v>
      </c>
      <c r="B4" s="29" t="str">
        <f>_xlfn.XLOOKUP(A4,'[1]ESCALA DE PRODUÇÃO'!$AL$1:$AL$1048566,'[1]ESCALA DE PRODUÇÃO'!$AJ$1:$AJ$1048566,"NÃO ENCOTRADO")</f>
        <v>007625 - REFEICAO CARNE PANELA BENDITO UN</v>
      </c>
      <c r="C4" s="44">
        <v>8</v>
      </c>
      <c r="D4" s="28" t="str">
        <f>_xlfn.XLOOKUP(A4,'[1]ESCALA DE PRODUÇÃO'!$AL$1:$AL$1048566,'[1]ESCALA DE PRODUÇÃO'!$AK$1:$AK$1048566,"0")</f>
        <v>UN/0001</v>
      </c>
      <c r="E4" s="32">
        <f>('[1]ESCALA DE PRODUÇÃO'!S3)</f>
        <v>1</v>
      </c>
      <c r="F4" s="45">
        <f>IFERROR(C4/E4,"0")</f>
        <v>8</v>
      </c>
      <c r="G4" s="30">
        <f>_xlfn.XLOOKUP(A4,'[1]ESCALA DE PRODUÇÃO'!$AL$1:$AL$1048566,'[1]ESCALA DE PRODUÇÃO'!$AM$1:$AM$1048566,"SEM PREÇO")</f>
        <v>24.9</v>
      </c>
      <c r="H4" s="31">
        <f>IFERROR(C4*G4,"0")</f>
        <v>199.2</v>
      </c>
      <c r="I4" s="46">
        <f>_xlfn.XLOOKUP(A4,'DADOS DE VENDA'!S:S,'DADOS DE VENDA'!V:V,"SEM VENDA")</f>
        <v>8</v>
      </c>
      <c r="J4" s="47">
        <f>IFERROR(I4/E4,"0")</f>
        <v>8</v>
      </c>
      <c r="K4" s="48">
        <f>IFERROR(I4*G4,"0")</f>
        <v>199.2</v>
      </c>
      <c r="L4" s="49" t="str">
        <f>_xlfn.XLOOKUP(A4,'DADOS DE VENDA'!S:S,'DADOS DE VENDA'!W:W,"RUPTURA NO PERIODO")</f>
        <v>15/01 a 016/01</v>
      </c>
      <c r="M4" s="88" t="str" cm="1">
        <f t="array" ref="M4">_xlfn.IFS(C4&lt;I4,"ABAIXO",C4&gt;I4,"ACIMA",C4=I4,"OK")</f>
        <v>OK</v>
      </c>
      <c r="P4" s="87">
        <f>(A4)</f>
        <v>7625</v>
      </c>
      <c r="Q4" s="29" t="str">
        <f>_xlfn.XLOOKUP(P4,'[1]ESCALA DE PRODUÇÃO'!$AL$1:$AL$1048566,'[1]ESCALA DE PRODUÇÃO'!$AJ$1:$AJ$1048566,"NÃO ENCOTRADO")</f>
        <v>007625 - REFEICAO CARNE PANELA BENDITO UN</v>
      </c>
      <c r="R4" s="44">
        <f>C4</f>
        <v>8</v>
      </c>
      <c r="S4" s="45">
        <f>(F4)</f>
        <v>8</v>
      </c>
    </row>
    <row r="5" spans="1:19" ht="19" thickBot="1" x14ac:dyDescent="0.5">
      <c r="A5" s="28">
        <v>7796</v>
      </c>
      <c r="B5" s="29" t="str">
        <f>_xlfn.XLOOKUP(A5,'[1]ESCALA DE PRODUÇÃO'!$AL$1:$AL$1048566,'[1]ESCALA DE PRODUÇÃO'!$AJ$1:$AJ$1048566,"NÃO ENCOTRADO")</f>
        <v>007796 - REFEICAO MEDALHAO FRANGO BENDITO UN</v>
      </c>
      <c r="C5" s="44">
        <v>13</v>
      </c>
      <c r="D5" s="28" t="str">
        <f>_xlfn.XLOOKUP(A5,'[1]ESCALA DE PRODUÇÃO'!$AL$1:$AL$1048566,'[1]ESCALA DE PRODUÇÃO'!$AK$1:$AK$1048566,"0")</f>
        <v>UN/0001</v>
      </c>
      <c r="E5" s="32">
        <f>('[1]ESCALA DE PRODUÇÃO'!S4)</f>
        <v>1</v>
      </c>
      <c r="F5" s="45">
        <f>IFERROR(C5/E5,"0")</f>
        <v>13</v>
      </c>
      <c r="G5" s="30">
        <f>_xlfn.XLOOKUP(A5,'[1]ESCALA DE PRODUÇÃO'!$AL$1:$AL$1048566,'[1]ESCALA DE PRODUÇÃO'!$AM$1:$AM$1048566,"SEM PREÇO")</f>
        <v>23.9</v>
      </c>
      <c r="H5" s="33">
        <f>IFERROR(C5*G5,"0")</f>
        <v>310.7</v>
      </c>
      <c r="I5" s="46">
        <f>_xlfn.XLOOKUP(A5,'DADOS DE VENDA'!S:S,'DADOS DE VENDA'!V:V,"SEM VENDA")</f>
        <v>13</v>
      </c>
      <c r="J5" s="42">
        <f>IFERROR(I5/E5,"0")</f>
        <v>13</v>
      </c>
      <c r="K5" s="43">
        <f>IFERROR(I5*G5,"0")</f>
        <v>310.7</v>
      </c>
      <c r="L5" s="49" t="str">
        <f>_xlfn.XLOOKUP(A5,'DADOS DE VENDA'!S:S,'DADOS DE VENDA'!W:W,"RUPTURA NO PERIODO")</f>
        <v>15/01 a 016/01</v>
      </c>
      <c r="M5" s="88" t="str" cm="1">
        <f t="array" ref="M5">_xlfn.IFS(C5&lt;I5,"ABAIXO",C5&gt;I5,"ACIMA",C5=I5,"OK")</f>
        <v>OK</v>
      </c>
      <c r="P5" s="87">
        <f t="shared" ref="P5:P26" si="0">(A5)</f>
        <v>7796</v>
      </c>
      <c r="Q5" s="29" t="str">
        <f>_xlfn.XLOOKUP(P5,'[1]ESCALA DE PRODUÇÃO'!$AL$1:$AL$1048566,'[1]ESCALA DE PRODUÇÃO'!$AJ$1:$AJ$1048566,"NÃO ENCOTRADO")</f>
        <v>007796 - REFEICAO MEDALHAO FRANGO BENDITO UN</v>
      </c>
      <c r="R5" s="44">
        <f t="shared" ref="R5:R27" si="1">C5</f>
        <v>13</v>
      </c>
      <c r="S5" s="45">
        <f t="shared" ref="S5:S27" si="2">(F5)</f>
        <v>13</v>
      </c>
    </row>
    <row r="6" spans="1:19" ht="19" thickBot="1" x14ac:dyDescent="0.5">
      <c r="A6" s="28">
        <f>('[1]ESCALA DE PRODUÇÃO'!Q5)</f>
        <v>0</v>
      </c>
      <c r="B6" s="29" t="str">
        <f>_xlfn.XLOOKUP(A6,'[1]ESCALA DE PRODUÇÃO'!$AL$1:$AL$1048566,'[1]ESCALA DE PRODUÇÃO'!$AJ$1:$AJ$1048566,"NÃO ENCOTRADO")</f>
        <v>NÃO ENCOTRADO</v>
      </c>
      <c r="C6" s="44">
        <v>0</v>
      </c>
      <c r="D6" s="28" t="str">
        <f>_xlfn.XLOOKUP(A6,'[1]ESCALA DE PRODUÇÃO'!$AL$1:$AL$1048566,'[1]ESCALA DE PRODUÇÃO'!$AK$1:$AK$1048566,"0")</f>
        <v>0</v>
      </c>
      <c r="E6" s="32">
        <f>('[1]ESCALA DE PRODUÇÃO'!S5)</f>
        <v>1</v>
      </c>
      <c r="F6" s="45">
        <f>IFERROR(C6/E6,"0")</f>
        <v>0</v>
      </c>
      <c r="G6" s="30" t="str">
        <f>_xlfn.XLOOKUP(A6,'[1]ESCALA DE PRODUÇÃO'!$AL$1:$AL$1048566,'[1]ESCALA DE PRODUÇÃO'!$AM$1:$AM$1048566,"SEM PREÇO")</f>
        <v>SEM PREÇO</v>
      </c>
      <c r="H6" s="33" t="str">
        <f>IFERROR(C6*G6,"0")</f>
        <v>0</v>
      </c>
      <c r="I6" s="46" t="str">
        <f>_xlfn.XLOOKUP(A6,'DADOS DE VENDA'!S:S,'DADOS DE VENDA'!V:V,"SEM VENDA")</f>
        <v>SEM VENDA</v>
      </c>
      <c r="J6" s="42" t="str">
        <f>IFERROR(I6/E6,"0")</f>
        <v>0</v>
      </c>
      <c r="K6" s="43" t="str">
        <f>IFERROR(I6*G6,"0")</f>
        <v>0</v>
      </c>
      <c r="L6" s="49" t="str">
        <f>_xlfn.XLOOKUP(A6,'DADOS DE VENDA'!S:S,'DADOS DE VENDA'!W:W,"RUPTURA NO PERIODO")</f>
        <v>RUPTURA NO PERIODO</v>
      </c>
      <c r="M6" s="88" t="str" cm="1">
        <f t="array" ref="M6">_xlfn.IFS(C6&lt;I6,"ABAIXO",C6&gt;I6,"ACIMA",C6=I6,"OK")</f>
        <v>ABAIXO</v>
      </c>
      <c r="P6" s="87">
        <f t="shared" si="0"/>
        <v>0</v>
      </c>
      <c r="Q6" s="29" t="str">
        <f>_xlfn.XLOOKUP(P6,'[1]ESCALA DE PRODUÇÃO'!$AL$1:$AL$1048566,'[1]ESCALA DE PRODUÇÃO'!$AJ$1:$AJ$1048566,"NÃO ENCOTRADO")</f>
        <v>NÃO ENCOTRADO</v>
      </c>
      <c r="R6" s="44">
        <f t="shared" si="1"/>
        <v>0</v>
      </c>
      <c r="S6" s="45">
        <f t="shared" si="2"/>
        <v>0</v>
      </c>
    </row>
    <row r="7" spans="1:19" ht="15" thickBot="1" x14ac:dyDescent="0.4">
      <c r="A7" s="5" t="s">
        <v>8</v>
      </c>
      <c r="B7" s="6" t="s">
        <v>165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P7" s="85" t="s">
        <v>8</v>
      </c>
      <c r="Q7" s="6" t="s">
        <v>165</v>
      </c>
      <c r="R7" s="3" t="s">
        <v>2</v>
      </c>
      <c r="S7" s="3" t="s">
        <v>6</v>
      </c>
    </row>
    <row r="8" spans="1:19" ht="19" thickBot="1" x14ac:dyDescent="0.5">
      <c r="A8" s="28">
        <f>('[1]ESCALA DE PRODUÇÃO'!Q7)</f>
        <v>8480</v>
      </c>
      <c r="B8" s="29" t="str">
        <f>_xlfn.XLOOKUP(A8,'[1]ESCALA DE PRODUÇÃO'!$AL$1:$AL$1048566,'[1]ESCALA DE PRODUÇÃO'!$AJ$1:$AJ$1048566,"NÃO ENCOTRADO")</f>
        <v>008480 - ROTISSERIA MACARRONADA A BOLONHESA BENDITO KG</v>
      </c>
      <c r="C8" s="44">
        <v>4</v>
      </c>
      <c r="D8" s="28" t="str">
        <f>_xlfn.XLOOKUP(A8,'[1]ESCALA DE PRODUÇÃO'!$AL$1:$AL$1048566,'[1]ESCALA DE PRODUÇÃO'!$AK$1:$AK$1048566,"0")</f>
        <v>KG/0001</v>
      </c>
      <c r="E8" s="32">
        <f>('[1]ESCALA DE PRODUÇÃO'!S7)</f>
        <v>0.35</v>
      </c>
      <c r="F8" s="45">
        <f>IFERROR(C8/E8,"0")</f>
        <v>11.428571428571429</v>
      </c>
      <c r="G8" s="30">
        <f>_xlfn.XLOOKUP(A8,'[1]ESCALA DE PRODUÇÃO'!$AL$1:$AL$1048566,'[1]ESCALA DE PRODUÇÃO'!$AM$1:$AM$1048566,"SEM PREÇO")</f>
        <v>39.9</v>
      </c>
      <c r="H8" s="33">
        <f>IFERROR(C8*G8,"0")</f>
        <v>159.6</v>
      </c>
      <c r="I8" s="46">
        <f>_xlfn.XLOOKUP(A8,'DADOS DE VENDA'!S:S,'DADOS DE VENDA'!V:V,"SEM VENDA")</f>
        <v>4.68</v>
      </c>
      <c r="J8" s="42">
        <f>IFERROR(I8/E8,"0")</f>
        <v>13.371428571428572</v>
      </c>
      <c r="K8" s="43">
        <f>IFERROR(I8*G8,"0")</f>
        <v>186.73199999999997</v>
      </c>
      <c r="L8" s="49" t="str">
        <f>_xlfn.XLOOKUP(A8,'DADOS DE VENDA'!S:S,'DADOS DE VENDA'!W:W,"RUPTURA NO PERIODO")</f>
        <v>15/01 a 016/01</v>
      </c>
      <c r="M8" s="88" t="str" cm="1">
        <f t="array" ref="M8">_xlfn.IFS(C8&lt;I8,"ABAIXO",C8&gt;I8,"ACIMA",C8=I8,"OK")</f>
        <v>ABAIXO</v>
      </c>
      <c r="P8" s="87">
        <f t="shared" si="0"/>
        <v>8480</v>
      </c>
      <c r="Q8" s="29" t="str">
        <f>_xlfn.XLOOKUP(P8,'[1]ESCALA DE PRODUÇÃO'!$AL$1:$AL$1048566,'[1]ESCALA DE PRODUÇÃO'!$AJ$1:$AJ$1048566,"NÃO ENCOTRADO")</f>
        <v>008480 - ROTISSERIA MACARRONADA A BOLONHESA BENDITO KG</v>
      </c>
      <c r="R8" s="44">
        <f t="shared" si="1"/>
        <v>4</v>
      </c>
      <c r="S8" s="45">
        <f t="shared" si="2"/>
        <v>11.428571428571429</v>
      </c>
    </row>
    <row r="9" spans="1:19" ht="19" thickBot="1" x14ac:dyDescent="0.5">
      <c r="A9" s="28">
        <f>('[1]ESCALA DE PRODUÇÃO'!Q8)</f>
        <v>8321</v>
      </c>
      <c r="B9" s="29" t="str">
        <f>_xlfn.XLOOKUP(A9,'[1]ESCALA DE PRODUÇÃO'!$AL$1:$AL$1048566,'[1]ESCALA DE PRODUÇÃO'!$AJ$1:$AJ$1048566,"NÃO ENCOTRADO")</f>
        <v>008321 - ROT.ESPAGUETE A BOLONHESA + POLPETONE RECHEADO BENDITO</v>
      </c>
      <c r="C9" s="44">
        <v>4</v>
      </c>
      <c r="D9" s="28" t="str">
        <f>_xlfn.XLOOKUP(A9,'[1]ESCALA DE PRODUÇÃO'!$AL$1:$AL$1048566,'[1]ESCALA DE PRODUÇÃO'!$AK$1:$AK$1048566,"0")</f>
        <v>UN/0001</v>
      </c>
      <c r="E9" s="32">
        <f>('[1]ESCALA DE PRODUÇÃO'!S8)</f>
        <v>1</v>
      </c>
      <c r="F9" s="45">
        <f>IFERROR(C9/E9,"0")</f>
        <v>4</v>
      </c>
      <c r="G9" s="30">
        <f>_xlfn.XLOOKUP(A9,'[1]ESCALA DE PRODUÇÃO'!$AL$1:$AL$1048566,'[1]ESCALA DE PRODUÇÃO'!$AM$1:$AM$1048566,"SEM PREÇO")</f>
        <v>25.9</v>
      </c>
      <c r="H9" s="33">
        <f>IFERROR(C9*G9,"0")</f>
        <v>103.6</v>
      </c>
      <c r="I9" s="46">
        <f>_xlfn.XLOOKUP(A9,'DADOS DE VENDA'!S:S,'DADOS DE VENDA'!V:V,"SEM VENDA")</f>
        <v>7</v>
      </c>
      <c r="J9" s="42">
        <f>IFERROR(I9/E9,"0")</f>
        <v>7</v>
      </c>
      <c r="K9" s="43">
        <f>IFERROR(I9*G9,"0")</f>
        <v>181.29999999999998</v>
      </c>
      <c r="L9" s="49" t="str">
        <f>_xlfn.XLOOKUP(A9,'DADOS DE VENDA'!S:S,'DADOS DE VENDA'!W:W,"RUPTURA NO PERIODO")</f>
        <v>15/01 a 016/01</v>
      </c>
      <c r="M9" s="88" t="str" cm="1">
        <f t="array" ref="M9">_xlfn.IFS(C9&lt;I9,"ABAIXO",C9&gt;I9,"ACIMA",C9=I9,"OK")</f>
        <v>ABAIXO</v>
      </c>
      <c r="P9" s="87">
        <f t="shared" si="0"/>
        <v>8321</v>
      </c>
      <c r="Q9" s="29" t="str">
        <f>_xlfn.XLOOKUP(P9,'[1]ESCALA DE PRODUÇÃO'!$AL$1:$AL$1048566,'[1]ESCALA DE PRODUÇÃO'!$AJ$1:$AJ$1048566,"NÃO ENCOTRADO")</f>
        <v>008321 - ROT.ESPAGUETE A BOLONHESA + POLPETONE RECHEADO BENDITO</v>
      </c>
      <c r="R9" s="44">
        <f t="shared" si="1"/>
        <v>4</v>
      </c>
      <c r="S9" s="45">
        <f t="shared" si="2"/>
        <v>4</v>
      </c>
    </row>
    <row r="10" spans="1:19" ht="19" thickBot="1" x14ac:dyDescent="0.5">
      <c r="A10" s="28">
        <f>('[1]ESCALA DE PRODUÇÃO'!Q9)</f>
        <v>0</v>
      </c>
      <c r="B10" s="29" t="str">
        <f>_xlfn.XLOOKUP(A10,'[1]ESCALA DE PRODUÇÃO'!$AL$1:$AL$1048566,'[1]ESCALA DE PRODUÇÃO'!$AJ$1:$AJ$1048566,"NÃO ENCOTRADO")</f>
        <v>NÃO ENCOTRADO</v>
      </c>
      <c r="C10" s="44">
        <v>0</v>
      </c>
      <c r="D10" s="28" t="str">
        <f>_xlfn.XLOOKUP(A10,'[1]ESCALA DE PRODUÇÃO'!$AL$1:$AL$1048566,'[1]ESCALA DE PRODUÇÃO'!$AK$1:$AK$1048566,"0")</f>
        <v>0</v>
      </c>
      <c r="E10" s="32">
        <f>('[1]ESCALA DE PRODUÇÃO'!S9)</f>
        <v>1</v>
      </c>
      <c r="F10" s="45">
        <f>IFERROR(C10/E10,"0")</f>
        <v>0</v>
      </c>
      <c r="G10" s="30" t="str">
        <f>_xlfn.XLOOKUP(A10,'[1]ESCALA DE PRODUÇÃO'!$AL$1:$AL$1048566,'[1]ESCALA DE PRODUÇÃO'!$AM$1:$AM$1048566,"SEM PREÇO")</f>
        <v>SEM PREÇO</v>
      </c>
      <c r="H10" s="33" t="str">
        <f>IFERROR(C10*G10,"0")</f>
        <v>0</v>
      </c>
      <c r="I10" s="46" t="str">
        <f>_xlfn.XLOOKUP(A10,'DADOS DE VENDA'!S:S,'DADOS DE VENDA'!V:V,"SEM VENDA")</f>
        <v>SEM VENDA</v>
      </c>
      <c r="J10" s="42" t="str">
        <f>IFERROR(I10/E10,"0")</f>
        <v>0</v>
      </c>
      <c r="K10" s="43" t="str">
        <f>IFERROR(I10*G10,"0")</f>
        <v>0</v>
      </c>
      <c r="L10" s="49" t="str">
        <f>_xlfn.XLOOKUP(A10,'DADOS DE VENDA'!S:S,'DADOS DE VENDA'!W:W,"RUPTURA NO PERIODO")</f>
        <v>RUPTURA NO PERIODO</v>
      </c>
      <c r="M10" s="88" t="str" cm="1">
        <f t="array" ref="M10">_xlfn.IFS(C10&lt;I10,"ABAIXO",C10&gt;I10,"ACIMA",C10=I10,"OK")</f>
        <v>ABAIXO</v>
      </c>
      <c r="P10" s="87">
        <f t="shared" si="0"/>
        <v>0</v>
      </c>
      <c r="Q10" s="29" t="str">
        <f>_xlfn.XLOOKUP(P10,'[1]ESCALA DE PRODUÇÃO'!$AL$1:$AL$1048566,'[1]ESCALA DE PRODUÇÃO'!$AJ$1:$AJ$1048566,"NÃO ENCOTRADO")</f>
        <v>NÃO ENCOTRADO</v>
      </c>
      <c r="R10" s="44">
        <f t="shared" si="1"/>
        <v>0</v>
      </c>
      <c r="S10" s="45">
        <f t="shared" si="2"/>
        <v>0</v>
      </c>
    </row>
    <row r="11" spans="1:19" ht="15" thickBot="1" x14ac:dyDescent="0.4">
      <c r="A11" s="5" t="s">
        <v>8</v>
      </c>
      <c r="B11" s="6" t="s">
        <v>166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P11" s="85" t="s">
        <v>8</v>
      </c>
      <c r="Q11" s="6" t="s">
        <v>166</v>
      </c>
      <c r="R11" s="3" t="s">
        <v>2</v>
      </c>
      <c r="S11" s="3" t="s">
        <v>6</v>
      </c>
    </row>
    <row r="12" spans="1:19" ht="19" thickBot="1" x14ac:dyDescent="0.5">
      <c r="A12" s="28">
        <f>('[1]ESCALA DE PRODUÇÃO'!Q11)</f>
        <v>8028</v>
      </c>
      <c r="B12" s="29" t="str">
        <f>_xlfn.XLOOKUP(A12,'[1]ESCALA DE PRODUÇÃO'!$AL$1:$AL$1048566,'[1]ESCALA DE PRODUÇÃO'!$AJ$1:$AJ$1048566,"NÃO ENCOTRADO")</f>
        <v>008028 - ROTISSERIA ARROZ BRANCO BENDITO KG</v>
      </c>
      <c r="C12" s="44">
        <v>1.5</v>
      </c>
      <c r="D12" s="28" t="str">
        <f>_xlfn.XLOOKUP(A12,'[1]ESCALA DE PRODUÇÃO'!$AL$1:$AL$1048566,'[1]ESCALA DE PRODUÇÃO'!$AK$1:$AK$1048566,"0")</f>
        <v>KG/0001</v>
      </c>
      <c r="E12" s="32">
        <f>('[1]ESCALA DE PRODUÇÃO'!S11)</f>
        <v>0.15</v>
      </c>
      <c r="F12" s="45">
        <f>IFERROR(C12/E12,"0")</f>
        <v>10</v>
      </c>
      <c r="G12" s="30">
        <f>_xlfn.XLOOKUP(A12,'[1]ESCALA DE PRODUÇÃO'!$AL$1:$AL$1048566,'[1]ESCALA DE PRODUÇÃO'!$AM$1:$AM$1048566,"SEM PREÇO")</f>
        <v>28.9</v>
      </c>
      <c r="H12" s="33">
        <f>IFERROR(C12*G12,"0")</f>
        <v>43.349999999999994</v>
      </c>
      <c r="I12" s="46">
        <f>_xlfn.XLOOKUP(A12,'DADOS DE VENDA'!S:S,'DADOS DE VENDA'!V:V,"SEM VENDA")</f>
        <v>1.56</v>
      </c>
      <c r="J12" s="42">
        <f>IFERROR(I12/E12,"0")</f>
        <v>10.4</v>
      </c>
      <c r="K12" s="43">
        <f>IFERROR(I12*G12,"0")</f>
        <v>45.083999999999996</v>
      </c>
      <c r="L12" s="49" t="str">
        <f>_xlfn.XLOOKUP(A12,'DADOS DE VENDA'!S:S,'DADOS DE VENDA'!W:W,"RUPTURA NO PERIODO")</f>
        <v>15/01 a 016/01</v>
      </c>
      <c r="M12" s="88" t="str" cm="1">
        <f t="array" ref="M12">_xlfn.IFS(C12&lt;I12,"ABAIXO",C12&gt;I12,"ACIMA",C12=I12,"OK")</f>
        <v>ABAIXO</v>
      </c>
      <c r="P12" s="87">
        <f t="shared" si="0"/>
        <v>8028</v>
      </c>
      <c r="Q12" s="29" t="str">
        <f>_xlfn.XLOOKUP(P12,'[1]ESCALA DE PRODUÇÃO'!$AL$1:$AL$1048566,'[1]ESCALA DE PRODUÇÃO'!$AJ$1:$AJ$1048566,"NÃO ENCOTRADO")</f>
        <v>008028 - ROTISSERIA ARROZ BRANCO BENDITO KG</v>
      </c>
      <c r="R12" s="44">
        <f t="shared" si="1"/>
        <v>1.5</v>
      </c>
      <c r="S12" s="45">
        <f t="shared" si="2"/>
        <v>10</v>
      </c>
    </row>
    <row r="13" spans="1:19" ht="19" thickBot="1" x14ac:dyDescent="0.5">
      <c r="A13" s="28">
        <f>('[1]ESCALA DE PRODUÇÃO'!Q12)</f>
        <v>0</v>
      </c>
      <c r="B13" s="29" t="str">
        <f>_xlfn.XLOOKUP(A13,'[1]ESCALA DE PRODUÇÃO'!$AL$1:$AL$1048566,'[1]ESCALA DE PRODUÇÃO'!$AJ$1:$AJ$1048566,"NÃO ENCOTRADO")</f>
        <v>NÃO ENCOTRADO</v>
      </c>
      <c r="C13" s="44">
        <v>0</v>
      </c>
      <c r="D13" s="28" t="str">
        <f>_xlfn.XLOOKUP(A13,'[1]ESCALA DE PRODUÇÃO'!$AL$1:$AL$1048566,'[1]ESCALA DE PRODUÇÃO'!$AK$1:$AK$1048566,"0")</f>
        <v>0</v>
      </c>
      <c r="E13" s="32">
        <f>('[1]ESCALA DE PRODUÇÃO'!S12)</f>
        <v>1</v>
      </c>
      <c r="F13" s="45">
        <f>IFERROR(C13/E13,"0")</f>
        <v>0</v>
      </c>
      <c r="G13" s="30" t="str">
        <f>_xlfn.XLOOKUP(A13,'[1]ESCALA DE PRODUÇÃO'!$AL$1:$AL$1048566,'[1]ESCALA DE PRODUÇÃO'!$AM$1:$AM$1048566,"SEM PREÇO")</f>
        <v>SEM PREÇO</v>
      </c>
      <c r="H13" s="33" t="str">
        <f>IFERROR(C13*G13,"0")</f>
        <v>0</v>
      </c>
      <c r="I13" s="46" t="str">
        <f>_xlfn.XLOOKUP(A13,'DADOS DE VENDA'!S:S,'DADOS DE VENDA'!V:V,"SEM VENDA")</f>
        <v>SEM VENDA</v>
      </c>
      <c r="J13" s="42" t="str">
        <f>IFERROR(I13/E13,"0")</f>
        <v>0</v>
      </c>
      <c r="K13" s="43" t="str">
        <f>IFERROR(I13*G13,"0")</f>
        <v>0</v>
      </c>
      <c r="L13" s="49" t="str">
        <f>_xlfn.XLOOKUP(A13,'DADOS DE VENDA'!S:S,'DADOS DE VENDA'!W:W,"RUPTURA NO PERIODO")</f>
        <v>RUPTURA NO PERIODO</v>
      </c>
      <c r="M13" s="88" t="str" cm="1">
        <f t="array" ref="M13">_xlfn.IFS(C13&lt;I13,"ABAIXO",C13&gt;I13,"ACIMA",C13=I13,"OK")</f>
        <v>ABAIXO</v>
      </c>
      <c r="P13" s="87">
        <f t="shared" si="0"/>
        <v>0</v>
      </c>
      <c r="Q13" s="29" t="str">
        <f>_xlfn.XLOOKUP(P13,'[1]ESCALA DE PRODUÇÃO'!$AL$1:$AL$1048566,'[1]ESCALA DE PRODUÇÃO'!$AJ$1:$AJ$1048566,"NÃO ENCOTRADO")</f>
        <v>NÃO ENCOTRADO</v>
      </c>
      <c r="R13" s="44">
        <f t="shared" si="1"/>
        <v>0</v>
      </c>
      <c r="S13" s="45">
        <f t="shared" si="2"/>
        <v>0</v>
      </c>
    </row>
    <row r="14" spans="1:19" ht="15" thickBot="1" x14ac:dyDescent="0.4">
      <c r="A14" s="5" t="s">
        <v>8</v>
      </c>
      <c r="B14" s="6" t="s">
        <v>167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P14" s="85" t="s">
        <v>8</v>
      </c>
      <c r="Q14" s="6" t="s">
        <v>167</v>
      </c>
      <c r="R14" s="3" t="s">
        <v>2</v>
      </c>
      <c r="S14" s="3" t="s">
        <v>6</v>
      </c>
    </row>
    <row r="15" spans="1:19" ht="19" thickBot="1" x14ac:dyDescent="0.5">
      <c r="A15" s="28">
        <f>('[1]ESCALA DE PRODUÇÃO'!Q14)</f>
        <v>8328</v>
      </c>
      <c r="B15" s="29" t="str">
        <f>_xlfn.XLOOKUP(A15,'[1]ESCALA DE PRODUÇÃO'!$AL$1:$AL$1048566,'[1]ESCALA DE PRODUÇÃO'!$AJ$1:$AJ$1048566,"NÃO ENCOTRADO")</f>
        <v>008328 - ROTISSERIA FEIJAO BENDITO KG</v>
      </c>
      <c r="C15" s="44">
        <v>1</v>
      </c>
      <c r="D15" s="28" t="str">
        <f>_xlfn.XLOOKUP(A15,'[1]ESCALA DE PRODUÇÃO'!$AL$1:$AL$1048566,'[1]ESCALA DE PRODUÇÃO'!$AK$1:$AK$1048566,"0")</f>
        <v>KG/0001</v>
      </c>
      <c r="E15" s="32">
        <f>('[1]ESCALA DE PRODUÇÃO'!S14)</f>
        <v>0.15</v>
      </c>
      <c r="F15" s="45">
        <f>IFERROR(C15/E15,"0")</f>
        <v>6.666666666666667</v>
      </c>
      <c r="G15" s="30">
        <f>_xlfn.XLOOKUP(A15,'[1]ESCALA DE PRODUÇÃO'!$AL$1:$AL$1048566,'[1]ESCALA DE PRODUÇÃO'!$AM$1:$AM$1048566,"SEM PREÇO")</f>
        <v>34.9</v>
      </c>
      <c r="H15" s="33">
        <f>IFERROR(C15*G15,"0")</f>
        <v>34.9</v>
      </c>
      <c r="I15" s="46">
        <f>_xlfn.XLOOKUP(A15,'DADOS DE VENDA'!S:S,'DADOS DE VENDA'!V:V,"SEM VENDA")</f>
        <v>2.16</v>
      </c>
      <c r="J15" s="42">
        <f>IFERROR(I15/E15,"0")</f>
        <v>14.400000000000002</v>
      </c>
      <c r="K15" s="43">
        <f>IFERROR(I15*G15,"0")</f>
        <v>75.384</v>
      </c>
      <c r="L15" s="49" t="str">
        <f>_xlfn.XLOOKUP(A15,'DADOS DE VENDA'!S:S,'DADOS DE VENDA'!W:W,"RUPTURA NO PERIODO")</f>
        <v>15/01 a 016/01</v>
      </c>
      <c r="M15" s="88" t="str" cm="1">
        <f t="array" ref="M15">_xlfn.IFS(C15&lt;I15,"ABAIXO",C15&gt;I15,"ACIMA",C15=I15,"OK")</f>
        <v>ABAIXO</v>
      </c>
      <c r="P15" s="87">
        <f t="shared" si="0"/>
        <v>8328</v>
      </c>
      <c r="Q15" s="29" t="str">
        <f>_xlfn.XLOOKUP(P15,'[1]ESCALA DE PRODUÇÃO'!$AL$1:$AL$1048566,'[1]ESCALA DE PRODUÇÃO'!$AJ$1:$AJ$1048566,"NÃO ENCOTRADO")</f>
        <v>008328 - ROTISSERIA FEIJAO BENDITO KG</v>
      </c>
      <c r="R15" s="44">
        <f t="shared" si="1"/>
        <v>1</v>
      </c>
      <c r="S15" s="45">
        <f t="shared" si="2"/>
        <v>6.666666666666667</v>
      </c>
    </row>
    <row r="16" spans="1:19" ht="19" thickBot="1" x14ac:dyDescent="0.5">
      <c r="A16" s="28">
        <f>('[1]ESCALA DE PRODUÇÃO'!Q15)</f>
        <v>0</v>
      </c>
      <c r="B16" s="29" t="str">
        <f>_xlfn.XLOOKUP(A16,'[1]ESCALA DE PRODUÇÃO'!$AL$1:$AL$1048566,'[1]ESCALA DE PRODUÇÃO'!$AJ$1:$AJ$1048566,"NÃO ENCOTRADO")</f>
        <v>NÃO ENCOTRADO</v>
      </c>
      <c r="C16" s="44">
        <v>0</v>
      </c>
      <c r="D16" s="28" t="str">
        <f>_xlfn.XLOOKUP(A16,'[1]ESCALA DE PRODUÇÃO'!$AL$1:$AL$1048566,'[1]ESCALA DE PRODUÇÃO'!$AK$1:$AK$1048566,"0")</f>
        <v>0</v>
      </c>
      <c r="E16" s="32">
        <f>('[1]ESCALA DE PRODUÇÃO'!S15)</f>
        <v>0</v>
      </c>
      <c r="F16" s="45" t="str">
        <f>IFERROR(C16/E16,"0")</f>
        <v>0</v>
      </c>
      <c r="G16" s="30" t="str">
        <f>_xlfn.XLOOKUP(A16,'[1]ESCALA DE PRODUÇÃO'!$AL$1:$AL$1048566,'[1]ESCALA DE PRODUÇÃO'!$AM$1:$AM$1048566,"SEM PREÇO")</f>
        <v>SEM PREÇO</v>
      </c>
      <c r="H16" s="33" t="str">
        <f>IFERROR(C16*G16,"0")</f>
        <v>0</v>
      </c>
      <c r="I16" s="46" t="str">
        <f>_xlfn.XLOOKUP(A16,'DADOS DE VENDA'!S:S,'DADOS DE VENDA'!V:V,"SEM VENDA")</f>
        <v>SEM VENDA</v>
      </c>
      <c r="J16" s="42" t="str">
        <f>IFERROR(I16/E16,"0")</f>
        <v>0</v>
      </c>
      <c r="K16" s="43" t="str">
        <f>IFERROR(I16*G16,"0")</f>
        <v>0</v>
      </c>
      <c r="L16" s="49" t="str">
        <f>_xlfn.XLOOKUP(A16,'DADOS DE VENDA'!S:S,'DADOS DE VENDA'!W:W,"RUPTURA NO PERIODO")</f>
        <v>RUPTURA NO PERIODO</v>
      </c>
      <c r="M16" s="88" t="str" cm="1">
        <f t="array" ref="M16">_xlfn.IFS(C16&lt;I16,"ABAIXO",C16&gt;I16,"ACIMA",C16=I16,"OK")</f>
        <v>ABAIXO</v>
      </c>
      <c r="P16" s="87">
        <f t="shared" si="0"/>
        <v>0</v>
      </c>
      <c r="Q16" s="29" t="str">
        <f>_xlfn.XLOOKUP(P16,'[1]ESCALA DE PRODUÇÃO'!$AL$1:$AL$1048566,'[1]ESCALA DE PRODUÇÃO'!$AJ$1:$AJ$1048566,"NÃO ENCOTRADO")</f>
        <v>NÃO ENCOTRADO</v>
      </c>
      <c r="R16" s="44">
        <f t="shared" si="1"/>
        <v>0</v>
      </c>
      <c r="S16" s="45" t="str">
        <f t="shared" si="2"/>
        <v>0</v>
      </c>
    </row>
    <row r="17" spans="1:19" ht="15" thickBot="1" x14ac:dyDescent="0.4">
      <c r="A17" s="5" t="s">
        <v>8</v>
      </c>
      <c r="B17" s="6" t="s">
        <v>168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P17" s="85" t="s">
        <v>8</v>
      </c>
      <c r="Q17" s="6" t="s">
        <v>168</v>
      </c>
      <c r="R17" s="3" t="s">
        <v>2</v>
      </c>
      <c r="S17" s="3" t="s">
        <v>6</v>
      </c>
    </row>
    <row r="18" spans="1:19" ht="19" thickBot="1" x14ac:dyDescent="0.5">
      <c r="A18" s="28">
        <f>('[1]ESCALA DE PRODUÇÃO'!Q17)</f>
        <v>8598</v>
      </c>
      <c r="B18" s="29" t="str">
        <f>_xlfn.XLOOKUP(A18,'[1]ESCALA DE PRODUÇÃO'!$AL$1:$AL$1048566,'[1]ESCALA DE PRODUÇÃO'!$AJ$1:$AJ$1048566,"NÃO ENCOTRADO")</f>
        <v>008598 - ROTISSERIA PURE DE BATATA BENDITO KG</v>
      </c>
      <c r="C18" s="44">
        <v>1.5</v>
      </c>
      <c r="D18" s="28" t="str">
        <f>_xlfn.XLOOKUP(A18,'[1]ESCALA DE PRODUÇÃO'!$AL$1:$AL$1048566,'[1]ESCALA DE PRODUÇÃO'!$AK$1:$AK$1048566,"0")</f>
        <v>KG/0001</v>
      </c>
      <c r="E18" s="32">
        <f>('[1]ESCALA DE PRODUÇÃO'!S17)</f>
        <v>0.15</v>
      </c>
      <c r="F18" s="45">
        <f>IFERROR(C18/E18,"0")</f>
        <v>10</v>
      </c>
      <c r="G18" s="30">
        <f>_xlfn.XLOOKUP(A18,'[1]ESCALA DE PRODUÇÃO'!$AL$1:$AL$1048566,'[1]ESCALA DE PRODUÇÃO'!$AM$1:$AM$1048566,"SEM PREÇO")</f>
        <v>48.9</v>
      </c>
      <c r="H18" s="33">
        <f>IFERROR(C18*G18,"0")</f>
        <v>73.349999999999994</v>
      </c>
      <c r="I18" s="46">
        <f>_xlfn.XLOOKUP(A18,'DADOS DE VENDA'!S:S,'DADOS DE VENDA'!V:V,"SEM VENDA")</f>
        <v>0.44</v>
      </c>
      <c r="J18" s="42">
        <f>IFERROR(I18/E18,"0")</f>
        <v>2.9333333333333336</v>
      </c>
      <c r="K18" s="43">
        <f>IFERROR(I18*G18,"0")</f>
        <v>21.515999999999998</v>
      </c>
      <c r="L18" s="49" t="str">
        <f>_xlfn.XLOOKUP(A18,'DADOS DE VENDA'!S:S,'DADOS DE VENDA'!W:W,"RUPTURA NO PERIODO")</f>
        <v>15/01 a 016/01</v>
      </c>
      <c r="M18" s="88" t="str" cm="1">
        <f t="array" ref="M18">_xlfn.IFS(C18&lt;I18,"ABAIXO",C18&gt;I18,"ACIMA",C18=I18,"OK")</f>
        <v>ACIMA</v>
      </c>
      <c r="P18" s="87">
        <f t="shared" si="0"/>
        <v>8598</v>
      </c>
      <c r="Q18" s="29" t="str">
        <f>_xlfn.XLOOKUP(P18,'[1]ESCALA DE PRODUÇÃO'!$AL$1:$AL$1048566,'[1]ESCALA DE PRODUÇÃO'!$AJ$1:$AJ$1048566,"NÃO ENCOTRADO")</f>
        <v>008598 - ROTISSERIA PURE DE BATATA BENDITO KG</v>
      </c>
      <c r="R18" s="44">
        <f t="shared" si="1"/>
        <v>1.5</v>
      </c>
      <c r="S18" s="45">
        <f t="shared" si="2"/>
        <v>10</v>
      </c>
    </row>
    <row r="19" spans="1:19" ht="19" thickBot="1" x14ac:dyDescent="0.5">
      <c r="A19" s="28">
        <f>('[1]ESCALA DE PRODUÇÃO'!Q18)</f>
        <v>8080</v>
      </c>
      <c r="B19" s="29" t="str">
        <f>_xlfn.XLOOKUP(A19,'[1]ESCALA DE PRODUÇÃO'!$AL$1:$AL$1048566,'[1]ESCALA DE PRODUÇÃO'!$AJ$1:$AJ$1048566,"NÃO ENCOTRADO")</f>
        <v>008080 - ROTISSERIA BANANA BENDITO KG</v>
      </c>
      <c r="C19" s="44">
        <v>1</v>
      </c>
      <c r="D19" s="28" t="str">
        <f>_xlfn.XLOOKUP(A19,'[1]ESCALA DE PRODUÇÃO'!$AL$1:$AL$1048566,'[1]ESCALA DE PRODUÇÃO'!$AK$1:$AK$1048566,"0")</f>
        <v>KG/0001</v>
      </c>
      <c r="E19" s="32">
        <f>('[1]ESCALA DE PRODUÇÃO'!S18)</f>
        <v>0.12</v>
      </c>
      <c r="F19" s="45">
        <f>IFERROR(C19/E19,"0")</f>
        <v>8.3333333333333339</v>
      </c>
      <c r="G19" s="30">
        <f>_xlfn.XLOOKUP(A19,'[1]ESCALA DE PRODUÇÃO'!$AL$1:$AL$1048566,'[1]ESCALA DE PRODUÇÃO'!$AM$1:$AM$1048566,"SEM PREÇO")</f>
        <v>31.9</v>
      </c>
      <c r="H19" s="33">
        <f>IFERROR(C19*G19,"0")</f>
        <v>31.9</v>
      </c>
      <c r="I19" s="46">
        <f>_xlfn.XLOOKUP(A19,'DADOS DE VENDA'!S:S,'DADOS DE VENDA'!V:V,"SEM VENDA")</f>
        <v>0.43</v>
      </c>
      <c r="J19" s="42">
        <f>IFERROR(I19/E19,"0")</f>
        <v>3.5833333333333335</v>
      </c>
      <c r="K19" s="43">
        <f>IFERROR(I19*G19,"0")</f>
        <v>13.716999999999999</v>
      </c>
      <c r="L19" s="49" t="str">
        <f>_xlfn.XLOOKUP(A19,'DADOS DE VENDA'!S:S,'DADOS DE VENDA'!W:W,"RUPTURA NO PERIODO")</f>
        <v>15/01 a 016/01</v>
      </c>
      <c r="M19" s="88" t="str" cm="1">
        <f t="array" ref="M19">_xlfn.IFS(C19&lt;I19,"ABAIXO",C19&gt;I19,"ACIMA",C19=I19,"OK")</f>
        <v>ACIMA</v>
      </c>
      <c r="P19" s="87">
        <f t="shared" si="0"/>
        <v>8080</v>
      </c>
      <c r="Q19" s="29" t="str">
        <f>_xlfn.XLOOKUP(P19,'[1]ESCALA DE PRODUÇÃO'!$AL$1:$AL$1048566,'[1]ESCALA DE PRODUÇÃO'!$AJ$1:$AJ$1048566,"NÃO ENCOTRADO")</f>
        <v>008080 - ROTISSERIA BANANA BENDITO KG</v>
      </c>
      <c r="R19" s="44">
        <f t="shared" si="1"/>
        <v>1</v>
      </c>
      <c r="S19" s="45">
        <f t="shared" si="2"/>
        <v>8.3333333333333339</v>
      </c>
    </row>
    <row r="20" spans="1:19" ht="19" thickBot="1" x14ac:dyDescent="0.5">
      <c r="A20" s="28">
        <f>('[1]ESCALA DE PRODUÇÃO'!Q19)</f>
        <v>8323</v>
      </c>
      <c r="B20" s="29" t="str">
        <f>_xlfn.XLOOKUP(A20,'[1]ESCALA DE PRODUÇÃO'!$AL$1:$AL$1048566,'[1]ESCALA DE PRODUÇÃO'!$AJ$1:$AJ$1048566,"NÃO ENCOTRADO")</f>
        <v>008323 - ROTISSERIA FAROFA BENDITO KG</v>
      </c>
      <c r="C20" s="44">
        <v>1</v>
      </c>
      <c r="D20" s="28" t="str">
        <f>_xlfn.XLOOKUP(A20,'[1]ESCALA DE PRODUÇÃO'!$AL$1:$AL$1048566,'[1]ESCALA DE PRODUÇÃO'!$AK$1:$AK$1048566,"0")</f>
        <v>KG/0001</v>
      </c>
      <c r="E20" s="32">
        <f>('[1]ESCALA DE PRODUÇÃO'!S19)</f>
        <v>0.12</v>
      </c>
      <c r="F20" s="45">
        <f>IFERROR(C20/E20,"0")</f>
        <v>8.3333333333333339</v>
      </c>
      <c r="G20" s="30">
        <f>_xlfn.XLOOKUP(A20,'[1]ESCALA DE PRODUÇÃO'!$AL$1:$AL$1048566,'[1]ESCALA DE PRODUÇÃO'!$AM$1:$AM$1048566,"SEM PREÇO")</f>
        <v>54.9</v>
      </c>
      <c r="H20" s="33">
        <f>IFERROR(C20*G20,"0")</f>
        <v>54.9</v>
      </c>
      <c r="I20" s="46">
        <f>_xlfn.XLOOKUP(A20,'DADOS DE VENDA'!S:S,'DADOS DE VENDA'!V:V,"SEM VENDA")</f>
        <v>0.94</v>
      </c>
      <c r="J20" s="42">
        <f>IFERROR(I20/E20,"0")</f>
        <v>7.833333333333333</v>
      </c>
      <c r="K20" s="43">
        <f>IFERROR(I20*G20,"0")</f>
        <v>51.605999999999995</v>
      </c>
      <c r="L20" s="49" t="str">
        <f>_xlfn.XLOOKUP(A20,'DADOS DE VENDA'!S:S,'DADOS DE VENDA'!W:W,"RUPTURA NO PERIODO")</f>
        <v>15/01 a 016/01</v>
      </c>
      <c r="M20" s="88" t="str" cm="1">
        <f t="array" ref="M20">_xlfn.IFS(C20&lt;I20,"ABAIXO",C20&gt;I20,"ACIMA",C20=I20,"OK")</f>
        <v>ACIMA</v>
      </c>
      <c r="P20" s="87">
        <f t="shared" si="0"/>
        <v>8323</v>
      </c>
      <c r="Q20" s="29" t="str">
        <f>_xlfn.XLOOKUP(P20,'[1]ESCALA DE PRODUÇÃO'!$AL$1:$AL$1048566,'[1]ESCALA DE PRODUÇÃO'!$AJ$1:$AJ$1048566,"NÃO ENCOTRADO")</f>
        <v>008323 - ROTISSERIA FAROFA BENDITO KG</v>
      </c>
      <c r="R20" s="44">
        <f t="shared" si="1"/>
        <v>1</v>
      </c>
      <c r="S20" s="45">
        <f t="shared" si="2"/>
        <v>8.3333333333333339</v>
      </c>
    </row>
    <row r="21" spans="1:19" ht="15" thickBot="1" x14ac:dyDescent="0.4">
      <c r="A21" s="5" t="s">
        <v>8</v>
      </c>
      <c r="B21" s="6" t="s">
        <v>169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P21" s="85" t="s">
        <v>8</v>
      </c>
      <c r="Q21" s="6" t="s">
        <v>169</v>
      </c>
      <c r="R21" s="3" t="s">
        <v>2</v>
      </c>
      <c r="S21" s="3" t="s">
        <v>6</v>
      </c>
    </row>
    <row r="22" spans="1:19" ht="19" thickBot="1" x14ac:dyDescent="0.5">
      <c r="A22" s="28">
        <f>('[1]ESCALA DE PRODUÇÃO'!Q21)</f>
        <v>8804</v>
      </c>
      <c r="B22" s="29" t="str">
        <f>_xlfn.XLOOKUP(A22,'[1]ESCALA DE PRODUÇÃO'!$AL$1:$AL$1048566,'[1]ESCALA DE PRODUÇÃO'!$AJ$1:$AJ$1048566,"NÃO ENCOTRADO")</f>
        <v>008804 - ROTISSERIA SOBRECOXA RECHEADA BENDITO KG</v>
      </c>
      <c r="C22" s="44">
        <v>2.5</v>
      </c>
      <c r="D22" s="28" t="str">
        <f>_xlfn.XLOOKUP(A22,'[1]ESCALA DE PRODUÇÃO'!$AL$1:$AL$1048566,'[1]ESCALA DE PRODUÇÃO'!$AK$1:$AK$1048566,"0")</f>
        <v>KG/0001</v>
      </c>
      <c r="E22" s="32">
        <f>('[1]ESCALA DE PRODUÇÃO'!S21)</f>
        <v>0.2</v>
      </c>
      <c r="F22" s="45">
        <f>IFERROR(C22/E22,"0")</f>
        <v>12.5</v>
      </c>
      <c r="G22" s="30">
        <f>_xlfn.XLOOKUP(A22,'[1]ESCALA DE PRODUÇÃO'!$AL$1:$AL$1048566,'[1]ESCALA DE PRODUÇÃO'!$AM$1:$AM$1048566,"SEM PREÇO")</f>
        <v>49.9</v>
      </c>
      <c r="H22" s="33">
        <f>IFERROR(C22*G22,"0")</f>
        <v>124.75</v>
      </c>
      <c r="I22" s="46" t="str">
        <f>_xlfn.XLOOKUP(A22,'DADOS DE VENDA'!S:S,'DADOS DE VENDA'!V:V,"SEM VENDA")</f>
        <v>SEM VENDA</v>
      </c>
      <c r="J22" s="42" t="str">
        <f>IFERROR(I22/E22,"0")</f>
        <v>0</v>
      </c>
      <c r="K22" s="43" t="str">
        <f>IFERROR(I22*G22,"0")</f>
        <v>0</v>
      </c>
      <c r="L22" s="49" t="str">
        <f>_xlfn.XLOOKUP(A22,'DADOS DE VENDA'!S:S,'DADOS DE VENDA'!W:W,"RUPTURA NO PERIODO")</f>
        <v>RUPTURA NO PERIODO</v>
      </c>
      <c r="M22" s="88" t="str" cm="1">
        <f t="array" ref="M22">_xlfn.IFS(C22&lt;I22,"ABAIXO",C22&gt;I22,"ACIMA",C22=I22,"OK")</f>
        <v>ABAIXO</v>
      </c>
      <c r="P22" s="87">
        <f t="shared" si="0"/>
        <v>8804</v>
      </c>
      <c r="Q22" s="29" t="str">
        <f>_xlfn.XLOOKUP(P22,'[1]ESCALA DE PRODUÇÃO'!$AL$1:$AL$1048566,'[1]ESCALA DE PRODUÇÃO'!$AJ$1:$AJ$1048566,"NÃO ENCOTRADO")</f>
        <v>008804 - ROTISSERIA SOBRECOXA RECHEADA BENDITO KG</v>
      </c>
      <c r="R22" s="44">
        <f t="shared" si="1"/>
        <v>2.5</v>
      </c>
      <c r="S22" s="45">
        <f t="shared" si="2"/>
        <v>12.5</v>
      </c>
    </row>
    <row r="23" spans="1:19" ht="19" thickBot="1" x14ac:dyDescent="0.5">
      <c r="A23" s="28">
        <f>('[1]ESCALA DE PRODUÇÃO'!Q23)</f>
        <v>0</v>
      </c>
      <c r="B23" s="29" t="str">
        <f>_xlfn.XLOOKUP(A23,'[1]ESCALA DE PRODUÇÃO'!$AL$1:$AL$1048566,'[1]ESCALA DE PRODUÇÃO'!$AJ$1:$AJ$1048566,"NÃO ENCOTRADO")</f>
        <v>NÃO ENCOTRADO</v>
      </c>
      <c r="C23" s="44">
        <v>0</v>
      </c>
      <c r="D23" s="28" t="str">
        <f>_xlfn.XLOOKUP(A23,'[1]ESCALA DE PRODUÇÃO'!$AL$1:$AL$1048566,'[1]ESCALA DE PRODUÇÃO'!$AK$1:$AK$1048566,"0")</f>
        <v>0</v>
      </c>
      <c r="E23" s="32">
        <f>('[1]ESCALA DE PRODUÇÃO'!S23)</f>
        <v>0</v>
      </c>
      <c r="F23" s="45" t="str">
        <f>IFERROR(C23/E23,"0")</f>
        <v>0</v>
      </c>
      <c r="G23" s="30" t="str">
        <f>_xlfn.XLOOKUP(A23,'[1]ESCALA DE PRODUÇÃO'!$AL$1:$AL$1048566,'[1]ESCALA DE PRODUÇÃO'!$AM$1:$AM$1048566,"SEM PREÇO")</f>
        <v>SEM PREÇO</v>
      </c>
      <c r="H23" s="33" t="str">
        <f>IFERROR(C23*G23,"0")</f>
        <v>0</v>
      </c>
      <c r="I23" s="46" t="str">
        <f>_xlfn.XLOOKUP(A23,'DADOS DE VENDA'!S:S,'DADOS DE VENDA'!V:V,"SEM VENDA")</f>
        <v>SEM VENDA</v>
      </c>
      <c r="J23" s="42" t="str">
        <f>IFERROR(I23/E23,"0")</f>
        <v>0</v>
      </c>
      <c r="K23" s="43" t="str">
        <f>IFERROR(I23*G23,"0")</f>
        <v>0</v>
      </c>
      <c r="L23" s="49" t="str">
        <f>_xlfn.XLOOKUP(A23,'DADOS DE VENDA'!S:S,'DADOS DE VENDA'!W:W,"RUPTURA NO PERIODO")</f>
        <v>RUPTURA NO PERIODO</v>
      </c>
      <c r="M23" s="88" t="str" cm="1">
        <f t="array" ref="M23">_xlfn.IFS(C23&lt;I23,"ABAIXO",C23&gt;I23,"ACIMA",C23=I23,"OK")</f>
        <v>ABAIXO</v>
      </c>
      <c r="P23" s="87">
        <f t="shared" si="0"/>
        <v>0</v>
      </c>
      <c r="Q23" s="29" t="str">
        <f>_xlfn.XLOOKUP(P23,'[1]ESCALA DE PRODUÇÃO'!$AL$1:$AL$1048566,'[1]ESCALA DE PRODUÇÃO'!$AJ$1:$AJ$1048566,"NÃO ENCOTRADO")</f>
        <v>NÃO ENCOTRADO</v>
      </c>
      <c r="R23" s="44">
        <f t="shared" si="1"/>
        <v>0</v>
      </c>
      <c r="S23" s="45" t="str">
        <f t="shared" si="2"/>
        <v>0</v>
      </c>
    </row>
    <row r="24" spans="1:19" ht="19" thickBot="1" x14ac:dyDescent="0.5">
      <c r="A24" s="28">
        <f>('[1]ESCALA DE PRODUÇÃO'!Q24)</f>
        <v>8519</v>
      </c>
      <c r="B24" s="29" t="str">
        <f>_xlfn.XLOOKUP(A24,'[1]ESCALA DE PRODUÇÃO'!$AL$1:$AL$1048566,'[1]ESCALA DE PRODUÇÃO'!$AJ$1:$AJ$1048566,"NÃO ENCOTRADO")</f>
        <v>008519 - ROTISSERIA COXINHA BUFALO WINGS KG</v>
      </c>
      <c r="C24" s="44">
        <v>0</v>
      </c>
      <c r="D24" s="28" t="str">
        <f>_xlfn.XLOOKUP(A24,'[1]ESCALA DE PRODUÇÃO'!$AL$1:$AL$1048566,'[1]ESCALA DE PRODUÇÃO'!$AK$1:$AK$1048566,"0")</f>
        <v>KG/0001</v>
      </c>
      <c r="E24" s="32">
        <f>('[1]ESCALA DE PRODUÇÃO'!S24)</f>
        <v>0</v>
      </c>
      <c r="F24" s="45" t="str">
        <f>IFERROR(C24/E24,"0")</f>
        <v>0</v>
      </c>
      <c r="G24" s="30">
        <f>_xlfn.XLOOKUP(A24,'[1]ESCALA DE PRODUÇÃO'!$AL$1:$AL$1048566,'[1]ESCALA DE PRODUÇÃO'!$AM$1:$AM$1048566,"SEM PREÇO")</f>
        <v>54.9</v>
      </c>
      <c r="H24" s="33">
        <f>IFERROR(C24*G24,"0")</f>
        <v>0</v>
      </c>
      <c r="I24" s="46" t="str">
        <f>_xlfn.XLOOKUP(A24,'DADOS DE VENDA'!S:S,'DADOS DE VENDA'!V:V,"SEM VENDA")</f>
        <v>SEM VENDA</v>
      </c>
      <c r="J24" s="42" t="str">
        <f>IFERROR(I24/E24,"0")</f>
        <v>0</v>
      </c>
      <c r="K24" s="43" t="str">
        <f>IFERROR(I24*G24,"0")</f>
        <v>0</v>
      </c>
      <c r="L24" s="49" t="str">
        <f>_xlfn.XLOOKUP(A24,'DADOS DE VENDA'!S:S,'DADOS DE VENDA'!W:W,"RUPTURA NO PERIODO")</f>
        <v>RUPTURA NO PERIODO</v>
      </c>
      <c r="M24" s="88" t="str" cm="1">
        <f t="array" ref="M24">_xlfn.IFS(C24&lt;I24,"ABAIXO",C24&gt;I24,"ACIMA",C24=I24,"OK")</f>
        <v>ABAIXO</v>
      </c>
      <c r="P24" s="87">
        <f t="shared" si="0"/>
        <v>8519</v>
      </c>
      <c r="Q24" s="29" t="str">
        <f>_xlfn.XLOOKUP(P24,'[1]ESCALA DE PRODUÇÃO'!$AL$1:$AL$1048566,'[1]ESCALA DE PRODUÇÃO'!$AJ$1:$AJ$1048566,"NÃO ENCOTRADO")</f>
        <v>008519 - ROTISSERIA COXINHA BUFALO WINGS KG</v>
      </c>
      <c r="R24" s="44">
        <f t="shared" si="1"/>
        <v>0</v>
      </c>
      <c r="S24" s="45" t="str">
        <f t="shared" si="2"/>
        <v>0</v>
      </c>
    </row>
    <row r="25" spans="1:19" ht="15" thickBot="1" x14ac:dyDescent="0.4">
      <c r="A25" s="5" t="s">
        <v>8</v>
      </c>
      <c r="B25" s="6" t="s">
        <v>170</v>
      </c>
      <c r="C25" s="3" t="s">
        <v>2</v>
      </c>
      <c r="D25" s="3" t="s">
        <v>106</v>
      </c>
      <c r="E25" s="3" t="s">
        <v>4</v>
      </c>
      <c r="F25" s="3" t="s">
        <v>6</v>
      </c>
      <c r="G25" s="4" t="s">
        <v>3</v>
      </c>
      <c r="H25" s="3" t="s">
        <v>5</v>
      </c>
      <c r="I25" s="7" t="s">
        <v>157</v>
      </c>
      <c r="J25" s="7" t="s">
        <v>152</v>
      </c>
      <c r="K25" s="7" t="s">
        <v>153</v>
      </c>
      <c r="L25" s="3" t="s">
        <v>104</v>
      </c>
      <c r="M25" s="86" t="s">
        <v>105</v>
      </c>
      <c r="P25" s="85" t="s">
        <v>8</v>
      </c>
      <c r="Q25" s="6" t="s">
        <v>170</v>
      </c>
      <c r="R25" s="3" t="s">
        <v>2</v>
      </c>
      <c r="S25" s="3" t="s">
        <v>6</v>
      </c>
    </row>
    <row r="26" spans="1:19" ht="19" thickBot="1" x14ac:dyDescent="0.5">
      <c r="A26" s="28">
        <f>'[1]ESCALA DE PRODUÇÃO'!Q26</f>
        <v>8671</v>
      </c>
      <c r="B26" s="29" t="str">
        <f>_xlfn.XLOOKUP(A26,'[1]ESCALA DE PRODUÇÃO'!$AL$1:$AL$1048566,'[1]ESCALA DE PRODUÇÃO'!$AJ$1:$AJ$1048566,"NÃO ENCOTRADO")</f>
        <v>008671 - ROTISSERIA SALADA BATATONESE BENDITO KG</v>
      </c>
      <c r="C26" s="44">
        <v>5</v>
      </c>
      <c r="D26" s="28" t="str">
        <f>_xlfn.XLOOKUP(A26,'[1]ESCALA DE PRODUÇÃO'!$AL$1:$AL$1048566,'[1]ESCALA DE PRODUÇÃO'!$AK$1:$AK$1048566,"0")</f>
        <v>KG/0001</v>
      </c>
      <c r="E26" s="32">
        <f>('[1]ESCALA DE PRODUÇÃO'!S26)</f>
        <v>0.35</v>
      </c>
      <c r="F26" s="45">
        <f>IFERROR(C26/E26,"0")</f>
        <v>14.285714285714286</v>
      </c>
      <c r="G26" s="30">
        <f>_xlfn.XLOOKUP(A26,'[1]ESCALA DE PRODUÇÃO'!$AL$1:$AL$1048566,'[1]ESCALA DE PRODUÇÃO'!$AM$1:$AM$1048566,"SEM PREÇO")</f>
        <v>38.9</v>
      </c>
      <c r="H26" s="33">
        <f>IFERROR(C26*G26,"0")</f>
        <v>194.5</v>
      </c>
      <c r="I26" s="46">
        <f>_xlfn.XLOOKUP(A26,'DADOS DE VENDA'!S:S,'DADOS DE VENDA'!V:V,"SEM VENDA")</f>
        <v>0.74</v>
      </c>
      <c r="J26" s="42">
        <f>IFERROR(I26/E26,"0")</f>
        <v>2.1142857142857143</v>
      </c>
      <c r="K26" s="43">
        <f>IFERROR(I26*G26,"0")</f>
        <v>28.785999999999998</v>
      </c>
      <c r="L26" s="49">
        <f>_xlfn.XLOOKUP(A26,'DADOS DE VENDA'!S:S,'DADOS DE VENDA'!W:W,"RUPTURA NO PERIODO")</f>
        <v>0</v>
      </c>
      <c r="M26" s="88" t="str" cm="1">
        <f t="array" ref="M26">_xlfn.IFS(C26&lt;I26,"ABAIXO",C26&gt;I26,"ACIMA",C26=I26,"OK")</f>
        <v>ACIMA</v>
      </c>
      <c r="P26" s="87">
        <f t="shared" si="0"/>
        <v>8671</v>
      </c>
      <c r="Q26" s="29" t="str">
        <f>_xlfn.XLOOKUP(P26,'[1]ESCALA DE PRODUÇÃO'!$AL$1:$AL$1048566,'[1]ESCALA DE PRODUÇÃO'!$AJ$1:$AJ$1048566,"NÃO ENCOTRADO")</f>
        <v>008671 - ROTISSERIA SALADA BATATONESE BENDITO KG</v>
      </c>
      <c r="R26" s="44">
        <f t="shared" si="1"/>
        <v>5</v>
      </c>
      <c r="S26" s="45">
        <f t="shared" si="2"/>
        <v>14.285714285714286</v>
      </c>
    </row>
    <row r="27" spans="1:19" ht="19" thickBot="1" x14ac:dyDescent="0.5">
      <c r="A27" s="28">
        <f>'[1]ESCALA DE PRODUÇÃO'!Q27</f>
        <v>8839</v>
      </c>
      <c r="B27" s="68" t="str">
        <f>_xlfn.XLOOKUP(A27,'[1]ESCALA DE PRODUÇÃO'!$AL$1:$AL$1048566,'[1]ESCALA DE PRODUÇÃO'!$AJ$1:$AJ$1048566,"NÃO ENCOTRADO")</f>
        <v>008839 - ROTISSERIA TABULE BENDITO KG</v>
      </c>
      <c r="C27" s="69">
        <v>5</v>
      </c>
      <c r="D27" s="67" t="str">
        <f>_xlfn.XLOOKUP(A27,'[1]ESCALA DE PRODUÇÃO'!$AL$1:$AL$1048566,'[1]ESCALA DE PRODUÇÃO'!$AK$1:$AK$1048566,"0")</f>
        <v>KG/0001</v>
      </c>
      <c r="E27" s="32">
        <f>('[1]ESCALA DE PRODUÇÃO'!S27)</f>
        <v>0.35</v>
      </c>
      <c r="F27" s="71">
        <f>IFERROR(C27/E27,"0")</f>
        <v>14.285714285714286</v>
      </c>
      <c r="G27" s="72">
        <f>_xlfn.XLOOKUP(A27,'[1]ESCALA DE PRODUÇÃO'!$AL$1:$AL$1048566,'[1]ESCALA DE PRODUÇÃO'!$AM$1:$AM$1048566,"SEM PREÇO")</f>
        <v>24.9</v>
      </c>
      <c r="H27" s="73">
        <f>IFERROR(C27*G27,"0")</f>
        <v>124.5</v>
      </c>
      <c r="I27" s="46" t="str">
        <f>_xlfn.XLOOKUP(A27,'DADOS DE VENDA'!S:S,'DADOS DE VENDA'!V:V,"SEM VENDA")</f>
        <v>SEM VENDA</v>
      </c>
      <c r="J27" s="75" t="str">
        <f>IFERROR(I27/E27,"0")</f>
        <v>0</v>
      </c>
      <c r="K27" s="76" t="str">
        <f>IFERROR(I27*G27,"0")</f>
        <v>0</v>
      </c>
      <c r="L27" s="49" t="str">
        <f>_xlfn.XLOOKUP(A27,'DADOS DE VENDA'!S:S,'DADOS DE VENDA'!W:W,"RUPTURA NO PERIODO")</f>
        <v>RUPTURA NO PERIODO</v>
      </c>
      <c r="M27" s="102" t="str" cm="1">
        <f t="array" ref="M27">_xlfn.IFS(C27&lt;I27,"ABAIXO",C27&gt;I27,"ACIMA",C27=I27,"OK")</f>
        <v>ABAIXO</v>
      </c>
      <c r="P27" s="89">
        <f>('[1]ESCALA DE PRODUÇÃO'!Q27)</f>
        <v>8839</v>
      </c>
      <c r="Q27" s="90" t="str">
        <f>_xlfn.XLOOKUP(P27,'[1]ESCALA DE PRODUÇÃO'!$AL$1:$AL$1048566,'[1]ESCALA DE PRODUÇÃO'!$AJ$1:$AJ$1048566,"NÃO ENCOTRADO")</f>
        <v>008839 - ROTISSERIA TABULE BENDITO KG</v>
      </c>
      <c r="R27" s="69">
        <f t="shared" si="1"/>
        <v>5</v>
      </c>
      <c r="S27" s="45">
        <f t="shared" si="2"/>
        <v>14.285714285714286</v>
      </c>
    </row>
    <row r="28" spans="1:19" ht="19" thickBot="1" x14ac:dyDescent="0.5">
      <c r="A28" s="109" t="str">
        <f>('[1]ESCALA DE PRODUÇÃO'!Q28)</f>
        <v>COD</v>
      </c>
      <c r="B28" s="110" t="s">
        <v>176</v>
      </c>
      <c r="C28" s="110" t="s">
        <v>173</v>
      </c>
      <c r="D28" s="187"/>
      <c r="E28" s="188"/>
      <c r="F28" s="111" t="s">
        <v>174</v>
      </c>
      <c r="G28" s="189">
        <f>SUM(H4+H5+H6+H8+H9+H10+H12+H13+H15+H16+H18+H19+H20+H22+H24+H26+H27)</f>
        <v>1455.25</v>
      </c>
      <c r="H28" s="190"/>
      <c r="I28" s="46" t="str">
        <f>_xlfn.XLOOKUP(A28,'DADOS DE VENDA'!S:S,'DADOS DE VENDA'!V:V,"SEM VENDA")</f>
        <v>SEM VENDA</v>
      </c>
      <c r="J28" s="191">
        <f>SUM(K4+K5+K6+K8+K9+K10+K12+K13+K15+K16+K18+K19+K20+K22+K24+K26+K27)</f>
        <v>1114.0249999999999</v>
      </c>
      <c r="K28" s="192"/>
      <c r="L28" s="112"/>
      <c r="M28" s="113"/>
      <c r="P28" s="147" t="s">
        <v>5</v>
      </c>
      <c r="Q28" s="148"/>
      <c r="R28" s="149">
        <f>G28</f>
        <v>1455.25</v>
      </c>
      <c r="S28" s="150"/>
    </row>
    <row r="29" spans="1:19" ht="18.5" x14ac:dyDescent="0.45">
      <c r="C29" s="78"/>
      <c r="E29" s="114"/>
      <c r="F29" s="79"/>
      <c r="G29" s="80"/>
      <c r="H29" s="80"/>
      <c r="I29" s="81"/>
      <c r="J29" s="115"/>
      <c r="K29" s="83"/>
      <c r="M29" s="84"/>
      <c r="R29" s="78"/>
      <c r="S29" s="79"/>
    </row>
    <row r="30" spans="1:19" ht="19" thickBot="1" x14ac:dyDescent="0.5">
      <c r="C30" s="78"/>
      <c r="E30" s="114"/>
      <c r="F30" s="79"/>
      <c r="G30" s="80"/>
      <c r="H30" s="80"/>
      <c r="I30" s="81"/>
      <c r="J30" s="115"/>
      <c r="K30" s="83"/>
      <c r="M30" s="84"/>
      <c r="R30" s="78"/>
      <c r="S30" s="79"/>
    </row>
    <row r="31" spans="1:19" ht="21.5" thickBot="1" x14ac:dyDescent="0.55000000000000004">
      <c r="A31" s="200" t="s">
        <v>162</v>
      </c>
      <c r="B31" s="198"/>
      <c r="C31" s="198"/>
      <c r="D31" s="121"/>
      <c r="E31" s="121"/>
      <c r="F31" s="121"/>
      <c r="G31" s="121"/>
      <c r="H31" s="121"/>
      <c r="I31" s="198" t="s">
        <v>171</v>
      </c>
      <c r="J31" s="198"/>
      <c r="K31" s="198"/>
      <c r="L31" s="198"/>
      <c r="M31" s="199"/>
      <c r="P31" s="157" t="s">
        <v>250</v>
      </c>
      <c r="Q31" s="158"/>
      <c r="R31" s="132" t="s">
        <v>102</v>
      </c>
      <c r="S31" s="131">
        <f>S1</f>
        <v>46044</v>
      </c>
    </row>
    <row r="32" spans="1:19" ht="15" thickBot="1" x14ac:dyDescent="0.4">
      <c r="A32" s="151" t="s">
        <v>178</v>
      </c>
      <c r="B32" s="152"/>
      <c r="C32" s="119" t="s">
        <v>174</v>
      </c>
      <c r="D32" s="146" t="s">
        <v>155</v>
      </c>
      <c r="E32" s="146"/>
      <c r="F32" s="146"/>
      <c r="G32" s="146"/>
      <c r="H32" s="156"/>
      <c r="I32" s="146" t="s">
        <v>156</v>
      </c>
      <c r="J32" s="146"/>
      <c r="K32" s="146"/>
      <c r="L32" s="146"/>
      <c r="M32" s="153"/>
      <c r="P32" s="151" t="s">
        <v>178</v>
      </c>
      <c r="Q32" s="152"/>
      <c r="R32" s="145" t="s">
        <v>155</v>
      </c>
      <c r="S32" s="146"/>
    </row>
    <row r="33" spans="1:19" ht="15" thickBot="1" x14ac:dyDescent="0.4">
      <c r="A33" s="85" t="s">
        <v>8</v>
      </c>
      <c r="B33" s="6" t="s">
        <v>177</v>
      </c>
      <c r="C33" s="3" t="s">
        <v>2</v>
      </c>
      <c r="D33" s="3" t="s">
        <v>106</v>
      </c>
      <c r="E33" s="3" t="s">
        <v>4</v>
      </c>
      <c r="F33" s="3" t="s">
        <v>6</v>
      </c>
      <c r="G33" s="4" t="s">
        <v>3</v>
      </c>
      <c r="H33" s="3" t="s">
        <v>5</v>
      </c>
      <c r="I33" s="7" t="s">
        <v>157</v>
      </c>
      <c r="J33" s="7" t="s">
        <v>152</v>
      </c>
      <c r="K33" s="7" t="s">
        <v>153</v>
      </c>
      <c r="L33" s="3" t="s">
        <v>104</v>
      </c>
      <c r="M33" s="86" t="s">
        <v>105</v>
      </c>
      <c r="P33" s="85" t="s">
        <v>8</v>
      </c>
      <c r="Q33" s="6" t="s">
        <v>177</v>
      </c>
      <c r="R33" s="3" t="s">
        <v>2</v>
      </c>
      <c r="S33" s="3" t="s">
        <v>6</v>
      </c>
    </row>
    <row r="34" spans="1:19" ht="19" thickBot="1" x14ac:dyDescent="0.5">
      <c r="A34" s="87" t="str">
        <f>'[1]ESCALA DE PRODUÇÃO'!Q28</f>
        <v>COD</v>
      </c>
      <c r="B34" s="29" t="str">
        <f>_xlfn.XLOOKUP(A34,'[1]ESCALA DE PRODUÇÃO'!$AL$1:$AL$1048566,'[1]ESCALA DE PRODUÇÃO'!$AJ$1:$AJ$1048566,"NÃO ENCOTRADO")</f>
        <v>NÃO ENCOTRADO</v>
      </c>
      <c r="C34" s="44">
        <v>0</v>
      </c>
      <c r="D34" s="28" t="str">
        <f>_xlfn.XLOOKUP(A34,'[1]ESCALA DE PRODUÇÃO'!$AL$1:$AL$1048566,'[1]ESCALA DE PRODUÇÃO'!$AK$1:$AK$1048566,"0")</f>
        <v>0</v>
      </c>
      <c r="E34" s="32" t="str">
        <f>_xlfn.XLOOKUP(A34,'[1]ESCALA DE PRODUÇÃO'!$A$4:$A$42,'[1]ESCALA DE PRODUÇÃO'!$C$4:$C$42,"0")</f>
        <v>0</v>
      </c>
      <c r="F34" s="45" t="str">
        <f>IFERROR(C34/E34,"0")</f>
        <v>0</v>
      </c>
      <c r="G34" s="30" t="str">
        <f>_xlfn.XLOOKUP(A34,'[1]ESCALA DE PRODUÇÃO'!$AL$1:$AL$1048566,'[1]ESCALA DE PRODUÇÃO'!$AM$1:$AM$1048566,"SEM PREÇO")</f>
        <v>SEM PREÇO</v>
      </c>
      <c r="H34" s="33" t="str">
        <f>IFERROR(C34*G34,"0")</f>
        <v>0</v>
      </c>
      <c r="I34" s="46" t="str">
        <f>_xlfn.XLOOKUP(A34,'DADOS DE VENDA'!S:S,'DADOS DE VENDA'!V:V,"SEM VENDA")</f>
        <v>SEM VENDA</v>
      </c>
      <c r="J34" s="42" t="str">
        <f>IFERROR(I34/E34,"0")</f>
        <v>0</v>
      </c>
      <c r="K34" s="43" t="str">
        <f>IFERROR(I34*G34,"0")</f>
        <v>0</v>
      </c>
      <c r="L34" s="49" t="str">
        <f>_xlfn.XLOOKUP(A34,'DADOS DE VENDA'!S:S,'DADOS DE VENDA'!W:W,"RUPTURA NO PERIODO")</f>
        <v>RUPTURA NO PERIODO</v>
      </c>
      <c r="M34" s="88" t="str" cm="1">
        <f t="array" ref="M34">_xlfn.IFS(C34&lt;I34,"ABAIXO",C34&gt;I34,"ACIMA",C34=I34,"OK")</f>
        <v>ABAIXO</v>
      </c>
      <c r="P34" s="87" t="str">
        <f>(A34)</f>
        <v>COD</v>
      </c>
      <c r="Q34" s="29" t="str">
        <f>_xlfn.XLOOKUP(P34,'[1]ESCALA DE PRODUÇÃO'!$AL$1:$AL$1048566,'[1]ESCALA DE PRODUÇÃO'!$AJ$1:$AJ$1048566,"NÃO ENCOTRADO")</f>
        <v>NÃO ENCOTRADO</v>
      </c>
      <c r="R34" s="44">
        <f>C34</f>
        <v>0</v>
      </c>
      <c r="S34" s="45" t="str">
        <f>F34</f>
        <v>0</v>
      </c>
    </row>
    <row r="35" spans="1:19" ht="19" thickBot="1" x14ac:dyDescent="0.5">
      <c r="A35" s="87">
        <f>'[1]ESCALA DE PRODUÇÃO'!Q29</f>
        <v>8963</v>
      </c>
      <c r="B35" s="29" t="str">
        <f>_xlfn.XLOOKUP(A35,'[1]ESCALA DE PRODUÇÃO'!$AL$1:$AL$1048566,'[1]ESCALA DE PRODUÇÃO'!$AJ$1:$AJ$1048566,"NÃO ENCOTRADO")</f>
        <v>008963 - ROTISSERIA SALADA CEASER C/FRANGO BENDITO</v>
      </c>
      <c r="C35" s="44">
        <v>8</v>
      </c>
      <c r="D35" s="28" t="str">
        <f>_xlfn.XLOOKUP(A35,'[1]ESCALA DE PRODUÇÃO'!$AL$1:$AL$1048566,'[1]ESCALA DE PRODUÇÃO'!$AK$1:$AK$1048566,"0")</f>
        <v>UN/0001</v>
      </c>
      <c r="E35" s="32" t="str">
        <f>_xlfn.XLOOKUP(A35,'[1]ESCALA DE PRODUÇÃO'!$A$4:$A$42,'[1]ESCALA DE PRODUÇÃO'!$C$4:$C$42,"0")</f>
        <v>0</v>
      </c>
      <c r="F35" s="45" t="str">
        <f>IFERROR(C35/E35,"0")</f>
        <v>0</v>
      </c>
      <c r="G35" s="30">
        <f>_xlfn.XLOOKUP(A35,'[1]ESCALA DE PRODUÇÃO'!$AL$1:$AL$1048566,'[1]ESCALA DE PRODUÇÃO'!$AM$1:$AM$1048566,"SEM PREÇO")</f>
        <v>24.9</v>
      </c>
      <c r="H35" s="33">
        <f>IFERROR(C35*G35,"0")</f>
        <v>199.2</v>
      </c>
      <c r="I35" s="46">
        <f>_xlfn.XLOOKUP(A35,'DADOS DE VENDA'!S:S,'DADOS DE VENDA'!V:V,"SEM VENDA")</f>
        <v>4</v>
      </c>
      <c r="J35" s="42" t="str">
        <f>IFERROR(I35/E35,"0")</f>
        <v>0</v>
      </c>
      <c r="K35" s="43">
        <f>IFERROR(I35*G35,"0")</f>
        <v>99.6</v>
      </c>
      <c r="L35" s="49">
        <f>_xlfn.XLOOKUP(A35,'DADOS DE VENDA'!S:S,'DADOS DE VENDA'!W:W,"RUPTURA NO PERIODO")</f>
        <v>0</v>
      </c>
      <c r="M35" s="88" t="str" cm="1">
        <f t="array" ref="M35">_xlfn.IFS(C35&lt;I35,"ABAIXO",C35&gt;I35,"ACIMA",C35=I35,"OK")</f>
        <v>ACIMA</v>
      </c>
      <c r="P35" s="87">
        <f t="shared" ref="P35:P44" si="3">(A35)</f>
        <v>8963</v>
      </c>
      <c r="Q35" s="29" t="str">
        <f>_xlfn.XLOOKUP(P35,'[1]ESCALA DE PRODUÇÃO'!$AL$1:$AL$1048566,'[1]ESCALA DE PRODUÇÃO'!$AJ$1:$AJ$1048566,"NÃO ENCOTRADO")</f>
        <v>008963 - ROTISSERIA SALADA CEASER C/FRANGO BENDITO</v>
      </c>
      <c r="R35" s="44">
        <f t="shared" ref="R35:R44" si="4">C35</f>
        <v>8</v>
      </c>
      <c r="S35" s="45" t="str">
        <f t="shared" ref="S35:S44" si="5">F35</f>
        <v>0</v>
      </c>
    </row>
    <row r="36" spans="1:19" ht="19" thickBot="1" x14ac:dyDescent="0.5">
      <c r="A36" s="87">
        <f>'[1]ESCALA DE PRODUÇÃO'!Q30</f>
        <v>0</v>
      </c>
      <c r="B36" s="29" t="str">
        <f>_xlfn.XLOOKUP(A36,'[1]ESCALA DE PRODUÇÃO'!$AL$1:$AL$1048566,'[1]ESCALA DE PRODUÇÃO'!$AJ$1:$AJ$1048566,"NÃO ENCOTRADO")</f>
        <v>NÃO ENCOTRADO</v>
      </c>
      <c r="C36" s="44">
        <v>0</v>
      </c>
      <c r="D36" s="28" t="str">
        <f>_xlfn.XLOOKUP(A36,'[1]ESCALA DE PRODUÇÃO'!$AL$1:$AL$1048566,'[1]ESCALA DE PRODUÇÃO'!$AK$1:$AK$1048566,"0")</f>
        <v>0</v>
      </c>
      <c r="E36" s="32" t="str">
        <f>_xlfn.XLOOKUP(A36,'[1]ESCALA DE PRODUÇÃO'!$A$4:$A$42,'[1]ESCALA DE PRODUÇÃO'!$C$4:$C$42,"0")</f>
        <v>0</v>
      </c>
      <c r="F36" s="45" t="str">
        <f>IFERROR(C36/E36,"0")</f>
        <v>0</v>
      </c>
      <c r="G36" s="30" t="str">
        <f>_xlfn.XLOOKUP(A36,'[1]ESCALA DE PRODUÇÃO'!$AL$1:$AL$1048566,'[1]ESCALA DE PRODUÇÃO'!$AM$1:$AM$1048566,"SEM PREÇO")</f>
        <v>SEM PREÇO</v>
      </c>
      <c r="H36" s="33" t="str">
        <f>IFERROR(C36*G36,"0")</f>
        <v>0</v>
      </c>
      <c r="I36" s="46" t="str">
        <f>_xlfn.XLOOKUP(A36,'DADOS DE VENDA'!S:S,'DADOS DE VENDA'!V:V,"SEM VENDA")</f>
        <v>SEM VENDA</v>
      </c>
      <c r="J36" s="42" t="str">
        <f>IFERROR(I36/E36,"0")</f>
        <v>0</v>
      </c>
      <c r="K36" s="43" t="str">
        <f>IFERROR(I36*G36,"0")</f>
        <v>0</v>
      </c>
      <c r="L36" s="49" t="str">
        <f>_xlfn.XLOOKUP(A36,'DADOS DE VENDA'!S:S,'DADOS DE VENDA'!W:W,"RUPTURA NO PERIODO")</f>
        <v>RUPTURA NO PERIODO</v>
      </c>
      <c r="M36" s="88" t="str" cm="1">
        <f t="array" ref="M36">_xlfn.IFS(C36&lt;I36,"ABAIXO",C36&gt;I36,"ACIMA",C36=I36,"OK")</f>
        <v>ABAIXO</v>
      </c>
      <c r="P36" s="87">
        <f t="shared" si="3"/>
        <v>0</v>
      </c>
      <c r="Q36" s="29" t="str">
        <f>_xlfn.XLOOKUP(P36,'[1]ESCALA DE PRODUÇÃO'!$AL$1:$AL$1048566,'[1]ESCALA DE PRODUÇÃO'!$AJ$1:$AJ$1048566,"NÃO ENCOTRADO")</f>
        <v>NÃO ENCOTRADO</v>
      </c>
      <c r="R36" s="44">
        <f t="shared" si="4"/>
        <v>0</v>
      </c>
      <c r="S36" s="45" t="str">
        <f t="shared" si="5"/>
        <v>0</v>
      </c>
    </row>
    <row r="37" spans="1:19" ht="15" thickBot="1" x14ac:dyDescent="0.4">
      <c r="A37" s="85" t="s">
        <v>8</v>
      </c>
      <c r="B37" s="6" t="s">
        <v>179</v>
      </c>
      <c r="C37" s="3" t="s">
        <v>2</v>
      </c>
      <c r="D37" s="3" t="s">
        <v>106</v>
      </c>
      <c r="E37" s="3" t="s">
        <v>4</v>
      </c>
      <c r="F37" s="3" t="s">
        <v>6</v>
      </c>
      <c r="G37" s="4" t="s">
        <v>3</v>
      </c>
      <c r="H37" s="3" t="s">
        <v>5</v>
      </c>
      <c r="I37" s="7" t="s">
        <v>157</v>
      </c>
      <c r="J37" s="7" t="s">
        <v>152</v>
      </c>
      <c r="K37" s="7" t="s">
        <v>153</v>
      </c>
      <c r="L37" s="3" t="s">
        <v>104</v>
      </c>
      <c r="M37" s="86" t="s">
        <v>105</v>
      </c>
      <c r="P37" s="85" t="s">
        <v>8</v>
      </c>
      <c r="Q37" s="6" t="s">
        <v>179</v>
      </c>
      <c r="R37" s="3" t="s">
        <v>2</v>
      </c>
      <c r="S37" s="3" t="s">
        <v>6</v>
      </c>
    </row>
    <row r="38" spans="1:19" ht="19" thickBot="1" x14ac:dyDescent="0.5">
      <c r="A38" s="87">
        <f>'[1]ESCALA DE PRODUÇÃO'!Q32</f>
        <v>0</v>
      </c>
      <c r="B38" s="29" t="str">
        <f>_xlfn.XLOOKUP(A38,'[1]ESCALA DE PRODUÇÃO'!$AL$1:$AL$1048566,'[1]ESCALA DE PRODUÇÃO'!$AJ$1:$AJ$1048566,"NÃO ENCOTRADO")</f>
        <v>NÃO ENCOTRADO</v>
      </c>
      <c r="C38" s="44" t="s">
        <v>251</v>
      </c>
      <c r="D38" s="28" t="str">
        <f>_xlfn.XLOOKUP(A38,'[1]ESCALA DE PRODUÇÃO'!$AL$1:$AL$1048566,'[1]ESCALA DE PRODUÇÃO'!$AK$1:$AK$1048566,"0")</f>
        <v>0</v>
      </c>
      <c r="E38" s="32" t="str">
        <f>_xlfn.XLOOKUP(A38,'[1]ESCALA DE PRODUÇÃO'!$A$4:$A$42,'[1]ESCALA DE PRODUÇÃO'!$C$4:$C$42,"0")</f>
        <v>0</v>
      </c>
      <c r="F38" s="45" t="str">
        <f>IFERROR(C38/E38,"0")</f>
        <v>0</v>
      </c>
      <c r="G38" s="30" t="str">
        <f>_xlfn.XLOOKUP(A38,'[1]ESCALA DE PRODUÇÃO'!$AL$1:$AL$1048566,'[1]ESCALA DE PRODUÇÃO'!$AM$1:$AM$1048566,"SEM PREÇO")</f>
        <v>SEM PREÇO</v>
      </c>
      <c r="H38" s="33" t="str">
        <f>IFERROR(C38*G38,"0")</f>
        <v>0</v>
      </c>
      <c r="I38" s="46" t="str">
        <f>_xlfn.XLOOKUP(A38,'DADOS DE VENDA'!S:S,'DADOS DE VENDA'!V:V,"SEM VENDA")</f>
        <v>SEM VENDA</v>
      </c>
      <c r="J38" s="42" t="str">
        <f>IFERROR(I38/E38,"0")</f>
        <v>0</v>
      </c>
      <c r="K38" s="43" t="str">
        <f>IFERROR(I38*G38,"0")</f>
        <v>0</v>
      </c>
      <c r="L38" s="49" t="str">
        <f>_xlfn.XLOOKUP(A38,'DADOS DE VENDA'!S:S,'DADOS DE VENDA'!W:W,"RUPTURA NO PERIODO")</f>
        <v>RUPTURA NO PERIODO</v>
      </c>
      <c r="M38" s="88" t="str" cm="1">
        <f t="array" ref="M38">_xlfn.IFS(C38&lt;I38,"ABAIXO",C38&gt;I38,"ACIMA",C38=I38,"OK")</f>
        <v>ABAIXO</v>
      </c>
      <c r="P38" s="87">
        <f t="shared" si="3"/>
        <v>0</v>
      </c>
      <c r="Q38" s="29" t="str">
        <f>_xlfn.XLOOKUP(P38,'[1]ESCALA DE PRODUÇÃO'!$AL$1:$AL$1048566,'[1]ESCALA DE PRODUÇÃO'!$AJ$1:$AJ$1048566,"NÃO ENCOTRADO")</f>
        <v>NÃO ENCOTRADO</v>
      </c>
      <c r="R38" s="44" t="str">
        <f t="shared" si="4"/>
        <v>,</v>
      </c>
      <c r="S38" s="45" t="str">
        <f t="shared" si="5"/>
        <v>0</v>
      </c>
    </row>
    <row r="39" spans="1:19" ht="19" thickBot="1" x14ac:dyDescent="0.5">
      <c r="A39" s="87">
        <f>'[1]ESCALA DE PRODUÇÃO'!Q33</f>
        <v>9123</v>
      </c>
      <c r="B39" s="29" t="str">
        <f>_xlfn.XLOOKUP(A39,'[1]ESCALA DE PRODUÇÃO'!$AL$1:$AL$1048566,'[1]ESCALA DE PRODUÇÃO'!$AJ$1:$AJ$1048566,"NÃO ENCOTRADO")</f>
        <v>009123 - ROTISSERIA SUSHI KANI C/CREAM CHEESE BENDITO UN</v>
      </c>
      <c r="C39" s="44">
        <v>4</v>
      </c>
      <c r="D39" s="28" t="str">
        <f>_xlfn.XLOOKUP(A39,'[1]ESCALA DE PRODUÇÃO'!$AL$1:$AL$1048566,'[1]ESCALA DE PRODUÇÃO'!$AK$1:$AK$1048566,"0")</f>
        <v>UN/0001</v>
      </c>
      <c r="E39" s="32" t="str">
        <f>_xlfn.XLOOKUP(A39,'[1]ESCALA DE PRODUÇÃO'!$A$4:$A$42,'[1]ESCALA DE PRODUÇÃO'!$C$4:$C$42,"0")</f>
        <v>0</v>
      </c>
      <c r="F39" s="45" t="str">
        <f>IFERROR(C39/E39,"0")</f>
        <v>0</v>
      </c>
      <c r="G39" s="30">
        <f>_xlfn.XLOOKUP(A39,'[1]ESCALA DE PRODUÇÃO'!$AL$1:$AL$1048566,'[1]ESCALA DE PRODUÇÃO'!$AM$1:$AM$1048566,"SEM PREÇO")</f>
        <v>0</v>
      </c>
      <c r="H39" s="33">
        <f>IFERROR(C39*G39,"0")</f>
        <v>0</v>
      </c>
      <c r="I39" s="46" t="str">
        <f>_xlfn.XLOOKUP(A39,'DADOS DE VENDA'!S:S,'DADOS DE VENDA'!V:V,"SEM VENDA")</f>
        <v>SEM VENDA</v>
      </c>
      <c r="J39" s="42" t="str">
        <f>IFERROR(I39/E39,"0")</f>
        <v>0</v>
      </c>
      <c r="K39" s="43" t="str">
        <f>IFERROR(I39*G39,"0")</f>
        <v>0</v>
      </c>
      <c r="L39" s="49" t="str">
        <f>_xlfn.XLOOKUP(A39,'DADOS DE VENDA'!S:S,'DADOS DE VENDA'!W:W,"RUPTURA NO PERIODO")</f>
        <v>RUPTURA NO PERIODO</v>
      </c>
      <c r="M39" s="88" t="str" cm="1">
        <f t="array" ref="M39">_xlfn.IFS(C39&lt;I39,"ABAIXO",C39&gt;I39,"ACIMA",C39=I39,"OK")</f>
        <v>ABAIXO</v>
      </c>
      <c r="P39" s="87">
        <f t="shared" si="3"/>
        <v>9123</v>
      </c>
      <c r="Q39" s="29" t="str">
        <f>_xlfn.XLOOKUP(P39,'[1]ESCALA DE PRODUÇÃO'!$AL$1:$AL$1048566,'[1]ESCALA DE PRODUÇÃO'!$AJ$1:$AJ$1048566,"NÃO ENCOTRADO")</f>
        <v>009123 - ROTISSERIA SUSHI KANI C/CREAM CHEESE BENDITO UN</v>
      </c>
      <c r="R39" s="44">
        <f t="shared" si="4"/>
        <v>4</v>
      </c>
      <c r="S39" s="45" t="str">
        <f t="shared" si="5"/>
        <v>0</v>
      </c>
    </row>
    <row r="40" spans="1:19" ht="19" thickBot="1" x14ac:dyDescent="0.5">
      <c r="A40" s="87">
        <f>'[1]ESCALA DE PRODUÇÃO'!Q34</f>
        <v>0</v>
      </c>
      <c r="B40" s="29" t="str">
        <f>_xlfn.XLOOKUP(A40,'[1]ESCALA DE PRODUÇÃO'!$AL$1:$AL$1048566,'[1]ESCALA DE PRODUÇÃO'!$AJ$1:$AJ$1048566,"NÃO ENCOTRADO")</f>
        <v>NÃO ENCOTRADO</v>
      </c>
      <c r="C40" s="44">
        <v>0</v>
      </c>
      <c r="D40" s="28" t="str">
        <f>_xlfn.XLOOKUP(A40,'[1]ESCALA DE PRODUÇÃO'!$AL$1:$AL$1048566,'[1]ESCALA DE PRODUÇÃO'!$AK$1:$AK$1048566,"0")</f>
        <v>0</v>
      </c>
      <c r="E40" s="32" t="str">
        <f>_xlfn.XLOOKUP(A40,'[1]ESCALA DE PRODUÇÃO'!$A$4:$A$42,'[1]ESCALA DE PRODUÇÃO'!$C$4:$C$42,"0")</f>
        <v>0</v>
      </c>
      <c r="F40" s="45" t="str">
        <f>IFERROR(C40/E40,"0")</f>
        <v>0</v>
      </c>
      <c r="G40" s="30" t="str">
        <f>_xlfn.XLOOKUP(A40,'[1]ESCALA DE PRODUÇÃO'!$AL$1:$AL$1048566,'[1]ESCALA DE PRODUÇÃO'!$AM$1:$AM$1048566,"SEM PREÇO")</f>
        <v>SEM PREÇO</v>
      </c>
      <c r="H40" s="33" t="str">
        <f>IFERROR(C40*G40,"0")</f>
        <v>0</v>
      </c>
      <c r="I40" s="46" t="str">
        <f>_xlfn.XLOOKUP(A40,'DADOS DE VENDA'!S:S,'DADOS DE VENDA'!V:V,"SEM VENDA")</f>
        <v>SEM VENDA</v>
      </c>
      <c r="J40" s="42" t="str">
        <f>IFERROR(I40/E40,"0")</f>
        <v>0</v>
      </c>
      <c r="K40" s="43" t="str">
        <f>IFERROR(I40*G40,"0")</f>
        <v>0</v>
      </c>
      <c r="L40" s="49" t="str">
        <f>_xlfn.XLOOKUP(A40,'DADOS DE VENDA'!S:S,'DADOS DE VENDA'!W:W,"RUPTURA NO PERIODO")</f>
        <v>RUPTURA NO PERIODO</v>
      </c>
      <c r="M40" s="88" t="str" cm="1">
        <f t="array" ref="M40">_xlfn.IFS(C40&lt;I40,"ABAIXO",C40&gt;I40,"ACIMA",C40=I40,"OK")</f>
        <v>ABAIXO</v>
      </c>
      <c r="P40" s="87">
        <f t="shared" si="3"/>
        <v>0</v>
      </c>
      <c r="Q40" s="29" t="str">
        <f>_xlfn.XLOOKUP(P40,'[1]ESCALA DE PRODUÇÃO'!$AL$1:$AL$1048566,'[1]ESCALA DE PRODUÇÃO'!$AJ$1:$AJ$1048566,"NÃO ENCOTRADO")</f>
        <v>NÃO ENCOTRADO</v>
      </c>
      <c r="R40" s="44">
        <f t="shared" si="4"/>
        <v>0</v>
      </c>
      <c r="S40" s="45" t="str">
        <f t="shared" si="5"/>
        <v>0</v>
      </c>
    </row>
    <row r="41" spans="1:19" ht="15" thickBot="1" x14ac:dyDescent="0.4">
      <c r="A41" s="85" t="s">
        <v>8</v>
      </c>
      <c r="B41" s="6" t="s">
        <v>180</v>
      </c>
      <c r="C41" s="3" t="s">
        <v>2</v>
      </c>
      <c r="D41" s="3" t="s">
        <v>106</v>
      </c>
      <c r="E41" s="3" t="s">
        <v>4</v>
      </c>
      <c r="F41" s="3" t="s">
        <v>6</v>
      </c>
      <c r="G41" s="4" t="s">
        <v>3</v>
      </c>
      <c r="H41" s="3" t="s">
        <v>5</v>
      </c>
      <c r="I41" s="7" t="s">
        <v>157</v>
      </c>
      <c r="J41" s="7" t="s">
        <v>152</v>
      </c>
      <c r="K41" s="7" t="s">
        <v>153</v>
      </c>
      <c r="L41" s="3" t="s">
        <v>104</v>
      </c>
      <c r="M41" s="86" t="s">
        <v>105</v>
      </c>
      <c r="P41" s="85" t="s">
        <v>8</v>
      </c>
      <c r="Q41" s="6" t="s">
        <v>180</v>
      </c>
      <c r="R41" s="3" t="s">
        <v>2</v>
      </c>
      <c r="S41" s="3" t="s">
        <v>6</v>
      </c>
    </row>
    <row r="42" spans="1:19" ht="19" thickBot="1" x14ac:dyDescent="0.5">
      <c r="A42" s="87">
        <f>'[1]ESCALA DE PRODUÇÃO'!Q36</f>
        <v>0</v>
      </c>
      <c r="B42" s="29" t="str">
        <f>_xlfn.XLOOKUP(A42,'[1]ESCALA DE PRODUÇÃO'!$AL$1:$AL$1048566,'[1]ESCALA DE PRODUÇÃO'!$AJ$1:$AJ$1048566,"NÃO ENCOTRADO")</f>
        <v>NÃO ENCOTRADO</v>
      </c>
      <c r="C42" s="44">
        <v>0</v>
      </c>
      <c r="D42" s="28" t="str">
        <f>_xlfn.XLOOKUP(A42,'[1]ESCALA DE PRODUÇÃO'!$AL$1:$AL$1048566,'[1]ESCALA DE PRODUÇÃO'!$AK$1:$AK$1048566,"0")</f>
        <v>0</v>
      </c>
      <c r="E42" s="32" t="str">
        <f>_xlfn.XLOOKUP(A42,'[1]ESCALA DE PRODUÇÃO'!$A$4:$A$42,'[1]ESCALA DE PRODUÇÃO'!$C$4:$C$42,"0")</f>
        <v>0</v>
      </c>
      <c r="F42" s="45" t="str">
        <f>IFERROR(C42/E42,"0")</f>
        <v>0</v>
      </c>
      <c r="G42" s="30" t="str">
        <f>_xlfn.XLOOKUP(A42,'[1]ESCALA DE PRODUÇÃO'!$AL$1:$AL$1048566,'[1]ESCALA DE PRODUÇÃO'!$AM$1:$AM$1048566,"SEM PREÇO")</f>
        <v>SEM PREÇO</v>
      </c>
      <c r="H42" s="33" t="str">
        <f>IFERROR(C42*G42,"0")</f>
        <v>0</v>
      </c>
      <c r="I42" s="46" t="str">
        <f>_xlfn.XLOOKUP(A42,'DADOS DE VENDA'!S:S,'DADOS DE VENDA'!V:V,"SEM VENDA")</f>
        <v>SEM VENDA</v>
      </c>
      <c r="J42" s="42" t="str">
        <f>IFERROR(I42/E42,"0")</f>
        <v>0</v>
      </c>
      <c r="K42" s="43" t="str">
        <f>IFERROR(I42*G42,"0")</f>
        <v>0</v>
      </c>
      <c r="L42" s="49" t="str">
        <f>_xlfn.XLOOKUP(A42,'DADOS DE VENDA'!S:S,'DADOS DE VENDA'!W:W,"RUPTURA NO PERIODO")</f>
        <v>RUPTURA NO PERIODO</v>
      </c>
      <c r="M42" s="88" t="str" cm="1">
        <f t="array" ref="M42">_xlfn.IFS(C42&lt;I42,"ABAIXO",C42&gt;I42,"ACIMA",C42=I42,"OK")</f>
        <v>ABAIXO</v>
      </c>
      <c r="P42" s="87">
        <f t="shared" si="3"/>
        <v>0</v>
      </c>
      <c r="Q42" s="29" t="str">
        <f>_xlfn.XLOOKUP(P42,'[1]ESCALA DE PRODUÇÃO'!$AL$1:$AL$1048566,'[1]ESCALA DE PRODUÇÃO'!$AJ$1:$AJ$1048566,"NÃO ENCOTRADO")</f>
        <v>NÃO ENCOTRADO</v>
      </c>
      <c r="R42" s="44">
        <f t="shared" si="4"/>
        <v>0</v>
      </c>
      <c r="S42" s="45" t="str">
        <f t="shared" si="5"/>
        <v>0</v>
      </c>
    </row>
    <row r="43" spans="1:19" ht="19" thickBot="1" x14ac:dyDescent="0.5">
      <c r="A43" s="87">
        <f>'[1]ESCALA DE PRODUÇÃO'!Q37</f>
        <v>9289</v>
      </c>
      <c r="B43" s="29" t="str">
        <f>_xlfn.XLOOKUP(A43,'[1]ESCALA DE PRODUÇÃO'!$AL$1:$AL$1048566,'[1]ESCALA DE PRODUÇÃO'!$AJ$1:$AJ$1048566,"NÃO ENCOTRADO")</f>
        <v>009289 - ROTISSERIA TEMAKI HOT SALMAO GRELAHADO</v>
      </c>
      <c r="C43" s="44">
        <v>0</v>
      </c>
      <c r="D43" s="28" t="str">
        <f>_xlfn.XLOOKUP(A43,'[1]ESCALA DE PRODUÇÃO'!$AL$1:$AL$1048566,'[1]ESCALA DE PRODUÇÃO'!$AK$1:$AK$1048566,"0")</f>
        <v>UN/0001</v>
      </c>
      <c r="E43" s="32" t="str">
        <f>_xlfn.XLOOKUP(A43,'[1]ESCALA DE PRODUÇÃO'!$A$4:$A$42,'[1]ESCALA DE PRODUÇÃO'!$C$4:$C$42,"0")</f>
        <v>0</v>
      </c>
      <c r="F43" s="45" t="str">
        <f>IFERROR(C43/E43,"0")</f>
        <v>0</v>
      </c>
      <c r="G43" s="30">
        <f>_xlfn.XLOOKUP(A43,'[1]ESCALA DE PRODUÇÃO'!$AL$1:$AL$1048566,'[1]ESCALA DE PRODUÇÃO'!$AM$1:$AM$1048566,"SEM PREÇO")</f>
        <v>24.9</v>
      </c>
      <c r="H43" s="33">
        <f>IFERROR(C43*G43,"0")</f>
        <v>0</v>
      </c>
      <c r="I43" s="46" t="str">
        <f>_xlfn.XLOOKUP(A43,'DADOS DE VENDA'!S:S,'DADOS DE VENDA'!V:V,"SEM VENDA")</f>
        <v>SEM VENDA</v>
      </c>
      <c r="J43" s="42" t="str">
        <f>IFERROR(I43/E43,"0")</f>
        <v>0</v>
      </c>
      <c r="K43" s="43" t="str">
        <f>IFERROR(I43*G43,"0")</f>
        <v>0</v>
      </c>
      <c r="L43" s="49" t="str">
        <f>_xlfn.XLOOKUP(A43,'DADOS DE VENDA'!S:S,'DADOS DE VENDA'!W:W,"RUPTURA NO PERIODO")</f>
        <v>RUPTURA NO PERIODO</v>
      </c>
      <c r="M43" s="88" t="str" cm="1">
        <f t="array" ref="M43">_xlfn.IFS(C43&lt;I43,"ABAIXO",C43&gt;I43,"ACIMA",C43=I43,"OK")</f>
        <v>ABAIXO</v>
      </c>
      <c r="P43" s="87">
        <f t="shared" si="3"/>
        <v>9289</v>
      </c>
      <c r="Q43" s="29" t="str">
        <f>_xlfn.XLOOKUP(P43,'[1]ESCALA DE PRODUÇÃO'!$AL$1:$AL$1048566,'[1]ESCALA DE PRODUÇÃO'!$AJ$1:$AJ$1048566,"NÃO ENCOTRADO")</f>
        <v>009289 - ROTISSERIA TEMAKI HOT SALMAO GRELAHADO</v>
      </c>
      <c r="R43" s="44">
        <f t="shared" si="4"/>
        <v>0</v>
      </c>
      <c r="S43" s="45" t="str">
        <f t="shared" si="5"/>
        <v>0</v>
      </c>
    </row>
    <row r="44" spans="1:19" ht="19" thickBot="1" x14ac:dyDescent="0.5">
      <c r="A44" s="87">
        <f>'[1]ESCALA DE PRODUÇÃO'!Q38</f>
        <v>0</v>
      </c>
      <c r="B44" s="90" t="str">
        <f>_xlfn.XLOOKUP(A44,'[1]ESCALA DE PRODUÇÃO'!$AL$1:$AL$1048566,'[1]ESCALA DE PRODUÇÃO'!$AJ$1:$AJ$1048566,"NÃO ENCOTRADO")</f>
        <v>NÃO ENCOTRADO</v>
      </c>
      <c r="C44" s="91">
        <v>0</v>
      </c>
      <c r="D44" s="92" t="str">
        <f>_xlfn.XLOOKUP(A44,'[1]ESCALA DE PRODUÇÃO'!$AL$1:$AL$1048566,'[1]ESCALA DE PRODUÇÃO'!$AK$1:$AK$1048566,"0")</f>
        <v>0</v>
      </c>
      <c r="E44" s="93" t="str">
        <f>_xlfn.XLOOKUP(A44,'[1]ESCALA DE PRODUÇÃO'!$A$4:$A$42,'[1]ESCALA DE PRODUÇÃO'!$C$4:$C$42,"0")</f>
        <v>0</v>
      </c>
      <c r="F44" s="94" t="str">
        <f>IFERROR(C44/E44,"0")</f>
        <v>0</v>
      </c>
      <c r="G44" s="95" t="str">
        <f>_xlfn.XLOOKUP(A44,'[1]ESCALA DE PRODUÇÃO'!$AL$1:$AL$1048566,'[1]ESCALA DE PRODUÇÃO'!$AM$1:$AM$1048566,"SEM PREÇO")</f>
        <v>SEM PREÇO</v>
      </c>
      <c r="H44" s="96" t="str">
        <f>IFERROR(C44*G44,"0")</f>
        <v>0</v>
      </c>
      <c r="I44" s="46" t="str">
        <f>_xlfn.XLOOKUP(A44,'DADOS DE VENDA'!S:S,'DADOS DE VENDA'!V:V,"SEM VENDA")</f>
        <v>SEM VENDA</v>
      </c>
      <c r="J44" s="98" t="str">
        <f>IFERROR(I44/E44,"0")</f>
        <v>0</v>
      </c>
      <c r="K44" s="99" t="str">
        <f>IFERROR(I44*G44,"0")</f>
        <v>0</v>
      </c>
      <c r="L44" s="49" t="str">
        <f>_xlfn.XLOOKUP(A44,'DADOS DE VENDA'!S:S,'DADOS DE VENDA'!W:W,"RUPTURA NO PERIODO")</f>
        <v>RUPTURA NO PERIODO</v>
      </c>
      <c r="M44" s="101" t="str" cm="1">
        <f t="array" ref="M44">_xlfn.IFS(C44&lt;I44,"ABAIXO",C44&gt;I44,"ACIMA",C44=I44,"OK")</f>
        <v>ABAIXO</v>
      </c>
      <c r="P44" s="87">
        <f t="shared" si="3"/>
        <v>0</v>
      </c>
      <c r="Q44" s="90" t="str">
        <f>_xlfn.XLOOKUP(P44,'[1]ESCALA DE PRODUÇÃO'!$AL$1:$AL$1048566,'[1]ESCALA DE PRODUÇÃO'!$AJ$1:$AJ$1048566,"NÃO ENCOTRADO")</f>
        <v>NÃO ENCOTRADO</v>
      </c>
      <c r="R44" s="44">
        <f t="shared" si="4"/>
        <v>0</v>
      </c>
      <c r="S44" s="45" t="str">
        <f t="shared" si="5"/>
        <v>0</v>
      </c>
    </row>
    <row r="45" spans="1:19" ht="19" thickBot="1" x14ac:dyDescent="0.5">
      <c r="A45" s="106"/>
      <c r="B45" s="103" t="s">
        <v>176</v>
      </c>
      <c r="C45" s="103" t="s">
        <v>173</v>
      </c>
      <c r="D45" s="159"/>
      <c r="E45" s="160"/>
      <c r="F45" s="105" t="s">
        <v>174</v>
      </c>
      <c r="G45" s="161">
        <f>SUM(H34,H35,H36,H38,H39,H40,H42,H43,H44)</f>
        <v>199.2</v>
      </c>
      <c r="H45" s="162"/>
      <c r="I45" s="46">
        <f>_xlfn.XLOOKUP(A45,'DADOS DE VENDA'!S:S,'DADOS DE VENDA'!V:V,"SEM VENDA")</f>
        <v>0</v>
      </c>
      <c r="J45" s="163">
        <f>SUM(K34,K35,K36,K38,K39,K40,K42,K43,K44)</f>
        <v>99.6</v>
      </c>
      <c r="K45" s="164"/>
      <c r="L45" s="104"/>
      <c r="M45" s="107"/>
      <c r="P45" s="147" t="s">
        <v>5</v>
      </c>
      <c r="Q45" s="148"/>
      <c r="R45" s="149">
        <f>G45</f>
        <v>199.2</v>
      </c>
      <c r="S45" s="150"/>
    </row>
    <row r="46" spans="1:19" ht="18.5" x14ac:dyDescent="0.45">
      <c r="R46" s="78"/>
      <c r="S46" s="79"/>
    </row>
    <row r="47" spans="1:19" ht="15" thickBot="1" x14ac:dyDescent="0.4"/>
    <row r="48" spans="1:19" ht="21.5" thickBot="1" x14ac:dyDescent="0.55000000000000004">
      <c r="A48" s="201" t="s">
        <v>184</v>
      </c>
      <c r="B48" s="202"/>
      <c r="C48" s="202"/>
      <c r="D48" s="121"/>
      <c r="E48" s="121"/>
      <c r="F48" s="121"/>
      <c r="G48" s="121"/>
      <c r="H48" s="121"/>
      <c r="I48" s="198" t="s">
        <v>171</v>
      </c>
      <c r="J48" s="198"/>
      <c r="K48" s="198"/>
      <c r="L48" s="198"/>
      <c r="M48" s="199"/>
      <c r="P48" s="157" t="str">
        <f>P31</f>
        <v>u</v>
      </c>
      <c r="Q48" s="158"/>
      <c r="R48" s="132" t="s">
        <v>102</v>
      </c>
      <c r="S48" s="131">
        <f>S31</f>
        <v>46044</v>
      </c>
    </row>
    <row r="49" spans="1:19" ht="15" thickBot="1" x14ac:dyDescent="0.4">
      <c r="A49" s="203" t="s">
        <v>181</v>
      </c>
      <c r="B49" s="204"/>
      <c r="C49" s="122" t="s">
        <v>174</v>
      </c>
      <c r="D49" s="146" t="s">
        <v>155</v>
      </c>
      <c r="E49" s="146"/>
      <c r="F49" s="146"/>
      <c r="G49" s="146"/>
      <c r="H49" s="156"/>
      <c r="I49" s="146" t="s">
        <v>156</v>
      </c>
      <c r="J49" s="146"/>
      <c r="K49" s="146"/>
      <c r="L49" s="146"/>
      <c r="M49" s="153"/>
      <c r="P49" s="180" t="s">
        <v>181</v>
      </c>
      <c r="Q49" s="181"/>
      <c r="R49" s="178" t="s">
        <v>155</v>
      </c>
      <c r="S49" s="179"/>
    </row>
    <row r="50" spans="1:19" ht="15" thickBot="1" x14ac:dyDescent="0.4">
      <c r="A50" s="123" t="s">
        <v>8</v>
      </c>
      <c r="B50" s="124" t="s">
        <v>182</v>
      </c>
      <c r="C50" s="125" t="s">
        <v>2</v>
      </c>
      <c r="D50" s="3" t="s">
        <v>106</v>
      </c>
      <c r="E50" s="3" t="s">
        <v>4</v>
      </c>
      <c r="F50" s="3" t="s">
        <v>6</v>
      </c>
      <c r="G50" s="4" t="s">
        <v>3</v>
      </c>
      <c r="H50" s="3" t="s">
        <v>5</v>
      </c>
      <c r="I50" s="7" t="s">
        <v>157</v>
      </c>
      <c r="J50" s="7" t="s">
        <v>152</v>
      </c>
      <c r="K50" s="7" t="s">
        <v>153</v>
      </c>
      <c r="L50" s="3" t="s">
        <v>104</v>
      </c>
      <c r="M50" s="86" t="s">
        <v>105</v>
      </c>
      <c r="P50" s="85" t="s">
        <v>8</v>
      </c>
      <c r="Q50" s="6" t="s">
        <v>182</v>
      </c>
      <c r="R50" s="3" t="s">
        <v>2</v>
      </c>
      <c r="S50" s="3" t="s">
        <v>6</v>
      </c>
    </row>
    <row r="51" spans="1:19" ht="19" thickBot="1" x14ac:dyDescent="0.5">
      <c r="A51" s="126" t="str">
        <f>('[1]ESCALA DE PRODUÇÃO'!Q40)</f>
        <v>COD</v>
      </c>
      <c r="B51" s="29" t="str">
        <f>_xlfn.XLOOKUP(A51,'[1]ESCALA DE PRODUÇÃO'!$AL$1:$AL$1048566,'[1]ESCALA DE PRODUÇÃO'!$AJ$1:$AJ$1048566,"NÃO ENCOTRADO")</f>
        <v>NÃO ENCOTRADO</v>
      </c>
      <c r="C51" s="127">
        <v>0</v>
      </c>
      <c r="D51" s="28" t="str">
        <f>_xlfn.XLOOKUP(A51,'[1]ESCALA DE PRODUÇÃO'!$AL$1:$AL$1048566,'[1]ESCALA DE PRODUÇÃO'!$AK$1:$AK$1048566,"0")</f>
        <v>0</v>
      </c>
      <c r="E51" s="32" t="str">
        <f>('[1]ESCALA DE PRODUÇÃO'!S40)</f>
        <v>PESO  P/PCT</v>
      </c>
      <c r="F51" s="45" t="str">
        <f>IFERROR(C51/E51,"0")</f>
        <v>0</v>
      </c>
      <c r="G51" s="30" t="str">
        <f>_xlfn.XLOOKUP(A51,'[1]ESCALA DE PRODUÇÃO'!$AL$1:$AL$1048566,'[1]ESCALA DE PRODUÇÃO'!$AM$1:$AM$1048566,"SEM PREÇO")</f>
        <v>SEM PREÇO</v>
      </c>
      <c r="H51" s="33" t="str">
        <f>IFERROR(C51*G51,"0")</f>
        <v>0</v>
      </c>
      <c r="I51" s="50" t="str">
        <f>_xlfn.XLOOKUP(A51,'DADOS DE VENDA'!S:S,'DADOS DE VENDA'!V:V,"SEM VENDA")</f>
        <v>SEM VENDA</v>
      </c>
      <c r="J51" s="42" t="str">
        <f>IFERROR(I51/E51,"0")</f>
        <v>0</v>
      </c>
      <c r="K51" s="43" t="str">
        <f>IFERROR(I51*G51,"0")</f>
        <v>0</v>
      </c>
      <c r="L51" s="51" t="str">
        <f>_xlfn.XLOOKUP(A51,'DADOS DE VENDA'!A:A,'DADOS DE VENDA'!E:E,"RUPTURA NO PERIODO")</f>
        <v>RUPTURA NO PERIODO</v>
      </c>
      <c r="M51" s="88" t="str" cm="1">
        <f t="array" ref="M51">_xlfn.IFS(C51&lt;I51,"ABAIXO",C51&gt;I51,"ACIMA",C51=I51,"OK")</f>
        <v>ABAIXO</v>
      </c>
      <c r="P51" s="87" t="str">
        <f>(A51)</f>
        <v>COD</v>
      </c>
      <c r="Q51" s="29" t="str">
        <f>_xlfn.XLOOKUP(P51,'[1]ESCALA DE PRODUÇÃO'!$AL$1:$AL$1048566,'[1]ESCALA DE PRODUÇÃO'!$AJ$1:$AJ$1048566,"NÃO ENCOTRADO")</f>
        <v>NÃO ENCOTRADO</v>
      </c>
      <c r="R51" s="44">
        <f>C51</f>
        <v>0</v>
      </c>
      <c r="S51" s="45" t="str">
        <f>(F51)</f>
        <v>0</v>
      </c>
    </row>
    <row r="52" spans="1:19" ht="19" thickBot="1" x14ac:dyDescent="0.5">
      <c r="A52" s="126">
        <f>('[1]ESCALA DE PRODUÇÃO'!Q41)</f>
        <v>8571</v>
      </c>
      <c r="B52" s="29" t="str">
        <f>_xlfn.XLOOKUP(A52,'[1]ESCALA DE PRODUÇÃO'!$AL$1:$AL$1048566,'[1]ESCALA DE PRODUÇÃO'!$AJ$1:$AJ$1048566,"NÃO ENCOTRADO")</f>
        <v>008571 - ROTISSERIA POLENTA AO MOLHO CARNE MOIDA BENDITO KG</v>
      </c>
      <c r="C52" s="127">
        <v>3</v>
      </c>
      <c r="D52" s="28" t="str">
        <f>_xlfn.XLOOKUP(A52,'[1]ESCALA DE PRODUÇÃO'!$AL$1:$AL$1048566,'[1]ESCALA DE PRODUÇÃO'!$AK$1:$AK$1048566,"0")</f>
        <v>KG/0001</v>
      </c>
      <c r="E52" s="32">
        <f>('[1]ESCALA DE PRODUÇÃO'!S41)</f>
        <v>0.45</v>
      </c>
      <c r="F52" s="45">
        <f>IFERROR(C52/E52,"0")</f>
        <v>6.6666666666666661</v>
      </c>
      <c r="G52" s="30">
        <f>_xlfn.XLOOKUP(A52,'[1]ESCALA DE PRODUÇÃO'!$AL$1:$AL$1048566,'[1]ESCALA DE PRODUÇÃO'!$AM$1:$AM$1048566,"SEM PREÇO")</f>
        <v>39.9</v>
      </c>
      <c r="H52" s="33">
        <f>IFERROR(C52*G52,"0")</f>
        <v>119.69999999999999</v>
      </c>
      <c r="I52" s="50" t="str">
        <f>_xlfn.XLOOKUP(A52,'DADOS DE VENDA'!S:S,'DADOS DE VENDA'!V:V,"SEM VENDA")</f>
        <v>SEM VENDA</v>
      </c>
      <c r="J52" s="42" t="str">
        <f>IFERROR(I52/E52,"0")</f>
        <v>0</v>
      </c>
      <c r="K52" s="43" t="str">
        <f>IFERROR(I52*G52,"0")</f>
        <v>0</v>
      </c>
      <c r="L52" s="51" t="str">
        <f>_xlfn.XLOOKUP(A52,'DADOS DE VENDA'!A:A,'DADOS DE VENDA'!E:E,"RUPTURA NO PERIODO")</f>
        <v>19/01 a20/01</v>
      </c>
      <c r="M52" s="88" t="str" cm="1">
        <f t="array" ref="M52">_xlfn.IFS(C52&lt;I52,"ABAIXO",C52&gt;I52,"ACIMA",C52=I52,"OK")</f>
        <v>ABAIXO</v>
      </c>
      <c r="P52" s="87">
        <f t="shared" ref="P52:P59" si="6">(A52)</f>
        <v>8571</v>
      </c>
      <c r="Q52" s="29" t="str">
        <f>_xlfn.XLOOKUP(P52,'[1]ESCALA DE PRODUÇÃO'!$AL$1:$AL$1048566,'[1]ESCALA DE PRODUÇÃO'!$AJ$1:$AJ$1048566,"NÃO ENCOTRADO")</f>
        <v>008571 - ROTISSERIA POLENTA AO MOLHO CARNE MOIDA BENDITO KG</v>
      </c>
      <c r="R52" s="44">
        <f>C52</f>
        <v>3</v>
      </c>
      <c r="S52" s="45">
        <f>(F52)</f>
        <v>6.6666666666666661</v>
      </c>
    </row>
    <row r="53" spans="1:19" ht="19" thickBot="1" x14ac:dyDescent="0.5">
      <c r="A53" s="126">
        <f>('[1]ESCALA DE PRODUÇÃO'!Q42)</f>
        <v>6878</v>
      </c>
      <c r="B53" s="29" t="str">
        <f>_xlfn.XLOOKUP(A53,'[1]ESCALA DE PRODUÇÃO'!$AL$1:$AL$1048566,'[1]ESCALA DE PRODUÇÃO'!$AJ$1:$AJ$1048566,"NÃO ENCOTRADO")</f>
        <v>006878 - ROT REFRIGERADO PANQUECA FRANGO C/CATUPIRY KG</v>
      </c>
      <c r="C53" s="127">
        <v>3</v>
      </c>
      <c r="D53" s="28" t="str">
        <f>_xlfn.XLOOKUP(A53,'[1]ESCALA DE PRODUÇÃO'!$AL$1:$AL$1048566,'[1]ESCALA DE PRODUÇÃO'!$AK$1:$AK$1048566,"0")</f>
        <v>KG/0001</v>
      </c>
      <c r="E53" s="32">
        <f>('[1]ESCALA DE PRODUÇÃO'!S42)</f>
        <v>0.45</v>
      </c>
      <c r="F53" s="45">
        <f>IFERROR(C53/E53,"0")</f>
        <v>6.6666666666666661</v>
      </c>
      <c r="G53" s="30">
        <f>_xlfn.XLOOKUP(A53,'[1]ESCALA DE PRODUÇÃO'!$AL$1:$AL$1048566,'[1]ESCALA DE PRODUÇÃO'!$AM$1:$AM$1048566,"SEM PREÇO")</f>
        <v>63.9</v>
      </c>
      <c r="H53" s="33">
        <f>IFERROR(C53*G53,"0")</f>
        <v>191.7</v>
      </c>
      <c r="I53" s="50" t="str">
        <f>_xlfn.XLOOKUP(A53,'DADOS DE VENDA'!S:S,'DADOS DE VENDA'!V:V,"SEM VENDA")</f>
        <v>SEM VENDA</v>
      </c>
      <c r="J53" s="42" t="str">
        <f>IFERROR(I53/E53,"0")</f>
        <v>0</v>
      </c>
      <c r="K53" s="43" t="str">
        <f>IFERROR(I53*G53,"0")</f>
        <v>0</v>
      </c>
      <c r="L53" s="51" t="str">
        <f>_xlfn.XLOOKUP(A53,'DADOS DE VENDA'!A:A,'DADOS DE VENDA'!E:E,"RUPTURA NO PERIODO")</f>
        <v>RUPTURA NO PERIODO</v>
      </c>
      <c r="M53" s="88" t="str" cm="1">
        <f t="array" ref="M53">_xlfn.IFS(C53&lt;I53,"ABAIXO",C53&gt;I53,"ACIMA",C53=I53,"OK")</f>
        <v>ABAIXO</v>
      </c>
      <c r="P53" s="87">
        <f t="shared" si="6"/>
        <v>6878</v>
      </c>
      <c r="Q53" s="29" t="str">
        <f>_xlfn.XLOOKUP(P53,'[1]ESCALA DE PRODUÇÃO'!$AL$1:$AL$1048566,'[1]ESCALA DE PRODUÇÃO'!$AJ$1:$AJ$1048566,"NÃO ENCOTRADO")</f>
        <v>006878 - ROT REFRIGERADO PANQUECA FRANGO C/CATUPIRY KG</v>
      </c>
      <c r="R53" s="44">
        <f>C53</f>
        <v>3</v>
      </c>
      <c r="S53" s="45">
        <f>(F53)</f>
        <v>6.6666666666666661</v>
      </c>
    </row>
    <row r="54" spans="1:19" ht="19" thickBot="1" x14ac:dyDescent="0.5">
      <c r="A54" s="126">
        <f>('[1]ESCALA DE PRODUÇÃO'!Q43)</f>
        <v>0</v>
      </c>
      <c r="B54" s="29" t="str">
        <f>_xlfn.XLOOKUP(A54,'[1]ESCALA DE PRODUÇÃO'!$AL$1:$AL$1048566,'[1]ESCALA DE PRODUÇÃO'!$AJ$1:$AJ$1048566,"NÃO ENCOTRADO")</f>
        <v>NÃO ENCOTRADO</v>
      </c>
      <c r="C54" s="127">
        <v>0</v>
      </c>
      <c r="D54" s="28" t="str">
        <f>_xlfn.XLOOKUP(A54,'[1]ESCALA DE PRODUÇÃO'!$AL$1:$AL$1048566,'[1]ESCALA DE PRODUÇÃO'!$AK$1:$AK$1048566,"0")</f>
        <v>0</v>
      </c>
      <c r="E54" s="32">
        <f>('[1]ESCALA DE PRODUÇÃO'!S43)</f>
        <v>0</v>
      </c>
      <c r="F54" s="45" t="str">
        <f>IFERROR(C54/E54,"0")</f>
        <v>0</v>
      </c>
      <c r="G54" s="30" t="str">
        <f>_xlfn.XLOOKUP(A54,'[1]ESCALA DE PRODUÇÃO'!$AL$1:$AL$1048566,'[1]ESCALA DE PRODUÇÃO'!$AM$1:$AM$1048566,"SEM PREÇO")</f>
        <v>SEM PREÇO</v>
      </c>
      <c r="H54" s="33" t="str">
        <f>IFERROR(C54*G54,"0")</f>
        <v>0</v>
      </c>
      <c r="I54" s="50" t="str">
        <f>_xlfn.XLOOKUP(A54,'DADOS DE VENDA'!S:S,'DADOS DE VENDA'!V:V,"SEM VENDA")</f>
        <v>SEM VENDA</v>
      </c>
      <c r="J54" s="42" t="str">
        <f>IFERROR(I54/E54,"0")</f>
        <v>0</v>
      </c>
      <c r="K54" s="43" t="str">
        <f>IFERROR(I54*G54,"0")</f>
        <v>0</v>
      </c>
      <c r="L54" s="51" t="str">
        <f>_xlfn.XLOOKUP(A54,'DADOS DE VENDA'!A:A,'DADOS DE VENDA'!E:E,"RUPTURA NO PERIODO")</f>
        <v>RUPTURA NO PERIODO</v>
      </c>
      <c r="M54" s="88" t="str" cm="1">
        <f t="array" ref="M54">_xlfn.IFS(C54&lt;I54,"ABAIXO",C54&gt;I54,"ACIMA",C54=I54,"OK")</f>
        <v>ABAIXO</v>
      </c>
      <c r="P54" s="87">
        <f t="shared" si="6"/>
        <v>0</v>
      </c>
      <c r="Q54" s="29" t="str">
        <f>_xlfn.XLOOKUP(P54,'[1]ESCALA DE PRODUÇÃO'!$AL$1:$AL$1048566,'[1]ESCALA DE PRODUÇÃO'!$AJ$1:$AJ$1048566,"NÃO ENCOTRADO")</f>
        <v>NÃO ENCOTRADO</v>
      </c>
      <c r="R54" s="44">
        <f>C54</f>
        <v>0</v>
      </c>
      <c r="S54" s="45" t="str">
        <f>(F54)</f>
        <v>0</v>
      </c>
    </row>
    <row r="55" spans="1:19" ht="15" thickBot="1" x14ac:dyDescent="0.4">
      <c r="A55" s="123" t="s">
        <v>8</v>
      </c>
      <c r="B55" s="124" t="s">
        <v>190</v>
      </c>
      <c r="C55" s="125" t="s">
        <v>2</v>
      </c>
      <c r="D55" s="3" t="s">
        <v>106</v>
      </c>
      <c r="E55" s="3" t="s">
        <v>4</v>
      </c>
      <c r="F55" s="3" t="s">
        <v>6</v>
      </c>
      <c r="G55" s="4" t="s">
        <v>3</v>
      </c>
      <c r="H55" s="3" t="s">
        <v>5</v>
      </c>
      <c r="I55" s="7" t="s">
        <v>157</v>
      </c>
      <c r="J55" s="7" t="s">
        <v>152</v>
      </c>
      <c r="K55" s="7" t="s">
        <v>153</v>
      </c>
      <c r="L55" s="3" t="s">
        <v>104</v>
      </c>
      <c r="M55" s="86" t="s">
        <v>105</v>
      </c>
      <c r="P55" s="85" t="s">
        <v>8</v>
      </c>
      <c r="Q55" s="6" t="s">
        <v>182</v>
      </c>
      <c r="R55" s="3" t="s">
        <v>2</v>
      </c>
      <c r="S55" s="3" t="s">
        <v>6</v>
      </c>
    </row>
    <row r="56" spans="1:19" ht="19" thickBot="1" x14ac:dyDescent="0.5">
      <c r="A56" s="126">
        <f>('[1]ESCALA DE PRODUÇÃO'!Q44)</f>
        <v>8333</v>
      </c>
      <c r="B56" s="29" t="str">
        <f>_xlfn.XLOOKUP(A56,'[1]ESCALA DE PRODUÇÃO'!$AL$1:$AL$1048566,'[1]ESCALA DE PRODUÇÃO'!$AJ$1:$AJ$1048566,"NÃO ENCOTRADO")</f>
        <v>008333 - ROTISSERIA BATATA/RECHEADA  BROCOLIS E BACON</v>
      </c>
      <c r="C56" s="127">
        <v>0</v>
      </c>
      <c r="D56" s="28" t="str">
        <f>_xlfn.XLOOKUP(A56,'[1]ESCALA DE PRODUÇÃO'!$AL$1:$AL$1048566,'[1]ESCALA DE PRODUÇÃO'!$AK$1:$AK$1048566,"0")</f>
        <v>KG/0001</v>
      </c>
      <c r="E56" s="32" t="str">
        <f>_xlfn.XLOOKUP(A56,'[1]ESCALA DE PRODUÇÃO'!$A$4:$A$42,'[1]ESCALA DE PRODUÇÃO'!$C$4:$C$42,"0")</f>
        <v>0</v>
      </c>
      <c r="F56" s="45" t="str">
        <f>IFERROR(C56/E56,"0")</f>
        <v>0</v>
      </c>
      <c r="G56" s="30">
        <f>_xlfn.XLOOKUP(A56,'[1]ESCALA DE PRODUÇÃO'!$AL$1:$AL$1048566,'[1]ESCALA DE PRODUÇÃO'!$AM$1:$AM$1048566,"SEM PREÇO")</f>
        <v>49.9</v>
      </c>
      <c r="H56" s="33">
        <f>IFERROR(C56*G56,"0")</f>
        <v>0</v>
      </c>
      <c r="I56" s="50" t="str">
        <f>_xlfn.XLOOKUP(A56,'DADOS DE VENDA'!S:S,'DADOS DE VENDA'!V:V,"SEM VENDA")</f>
        <v>SEM VENDA</v>
      </c>
      <c r="J56" s="42" t="str">
        <f>IFERROR(I56/E56,"0")</f>
        <v>0</v>
      </c>
      <c r="K56" s="43" t="str">
        <f>IFERROR(I56*G56,"0")</f>
        <v>0</v>
      </c>
      <c r="L56" s="51" t="str">
        <f>_xlfn.XLOOKUP(A56,'DADOS DE VENDA'!A:A,'DADOS DE VENDA'!E:E,"RUPTURA NO PERIODO")</f>
        <v>RUPTURA NO PERIODO</v>
      </c>
      <c r="M56" s="88" t="str" cm="1">
        <f t="array" ref="M56">_xlfn.IFS(C56&lt;I56,"ABAIXO",C56&gt;I56,"ACIMA",C56=I56,"OK")</f>
        <v>ABAIXO</v>
      </c>
      <c r="P56" s="87">
        <f t="shared" si="6"/>
        <v>8333</v>
      </c>
      <c r="Q56" s="29" t="str">
        <f>_xlfn.XLOOKUP(P56,'[1]ESCALA DE PRODUÇÃO'!$AL$1:$AL$1048566,'[1]ESCALA DE PRODUÇÃO'!$AJ$1:$AJ$1048566,"NÃO ENCOTRADO")</f>
        <v>008333 - ROTISSERIA BATATA/RECHEADA  BROCOLIS E BACON</v>
      </c>
      <c r="R56" s="44">
        <f>C56</f>
        <v>0</v>
      </c>
      <c r="S56" s="45" t="str">
        <f>F56</f>
        <v>0</v>
      </c>
    </row>
    <row r="57" spans="1:19" ht="19" thickBot="1" x14ac:dyDescent="0.5">
      <c r="A57" s="126">
        <f>('[1]ESCALA DE PRODUÇÃO'!Q45)</f>
        <v>0</v>
      </c>
      <c r="B57" s="29" t="str">
        <f>_xlfn.XLOOKUP(A57,'[1]ESCALA DE PRODUÇÃO'!$AL$1:$AL$1048566,'[1]ESCALA DE PRODUÇÃO'!$AJ$1:$AJ$1048566,"NÃO ENCOTRADO")</f>
        <v>NÃO ENCOTRADO</v>
      </c>
      <c r="C57" s="127">
        <v>0</v>
      </c>
      <c r="D57" s="28" t="str">
        <f>_xlfn.XLOOKUP(A57,'[1]ESCALA DE PRODUÇÃO'!$AL$1:$AL$1048566,'[1]ESCALA DE PRODUÇÃO'!$AK$1:$AK$1048566,"0")</f>
        <v>0</v>
      </c>
      <c r="E57" s="32" t="str">
        <f>_xlfn.XLOOKUP(A57,'[1]ESCALA DE PRODUÇÃO'!$A$4:$A$42,'[1]ESCALA DE PRODUÇÃO'!$C$4:$C$42,"0")</f>
        <v>0</v>
      </c>
      <c r="F57" s="45" t="str">
        <f>IFERROR(C57/E57,"0")</f>
        <v>0</v>
      </c>
      <c r="G57" s="30" t="str">
        <f>_xlfn.XLOOKUP(A57,'[1]ESCALA DE PRODUÇÃO'!$AL$1:$AL$1048566,'[1]ESCALA DE PRODUÇÃO'!$AM$1:$AM$1048566,"SEM PREÇO")</f>
        <v>SEM PREÇO</v>
      </c>
      <c r="H57" s="33" t="str">
        <f>IFERROR(C57*G57,"0")</f>
        <v>0</v>
      </c>
      <c r="I57" s="50" t="str">
        <f>_xlfn.XLOOKUP(A57,'DADOS DE VENDA'!S:S,'DADOS DE VENDA'!V:V,"SEM VENDA")</f>
        <v>SEM VENDA</v>
      </c>
      <c r="J57" s="42" t="str">
        <f>IFERROR(I57/E57,"0")</f>
        <v>0</v>
      </c>
      <c r="K57" s="43" t="str">
        <f>IFERROR(I57*G57,"0")</f>
        <v>0</v>
      </c>
      <c r="L57" s="51" t="str">
        <f>_xlfn.XLOOKUP(A57,'DADOS DE VENDA'!A:A,'DADOS DE VENDA'!E:E,"RUPTURA NO PERIODO")</f>
        <v>RUPTURA NO PERIODO</v>
      </c>
      <c r="M57" s="88" t="str" cm="1">
        <f t="array" ref="M57">_xlfn.IFS(C57&lt;I57,"ABAIXO",C57&gt;I57,"ACIMA",C57=I57,"OK")</f>
        <v>ABAIXO</v>
      </c>
      <c r="P57" s="87">
        <f t="shared" si="6"/>
        <v>0</v>
      </c>
      <c r="Q57" s="29" t="str">
        <f>_xlfn.XLOOKUP(P57,'[1]ESCALA DE PRODUÇÃO'!$AL$1:$AL$1048566,'[1]ESCALA DE PRODUÇÃO'!$AJ$1:$AJ$1048566,"NÃO ENCOTRADO")</f>
        <v>NÃO ENCOTRADO</v>
      </c>
      <c r="R57" s="44">
        <f>C57</f>
        <v>0</v>
      </c>
      <c r="S57" s="45" t="str">
        <f>F57</f>
        <v>0</v>
      </c>
    </row>
    <row r="58" spans="1:19" ht="19" thickBot="1" x14ac:dyDescent="0.5">
      <c r="A58" s="126">
        <f>('[1]ESCALA DE PRODUÇÃO'!Q46)</f>
        <v>7570</v>
      </c>
      <c r="B58" s="29" t="str">
        <f>_xlfn.XLOOKUP(A58,'[1]ESCALA DE PRODUÇÃO'!$AL$1:$AL$1048566,'[1]ESCALA DE PRODUÇÃO'!$AJ$1:$AJ$1048566,"NÃO ENCOTRADO")</f>
        <v>007570 - MOLHO PESTO BENDITO KG</v>
      </c>
      <c r="C58" s="127">
        <v>0</v>
      </c>
      <c r="D58" s="28" t="str">
        <f>_xlfn.XLOOKUP(A58,'[1]ESCALA DE PRODUÇÃO'!$AL$1:$AL$1048566,'[1]ESCALA DE PRODUÇÃO'!$AK$1:$AK$1048566,"0")</f>
        <v>KG/0001</v>
      </c>
      <c r="E58" s="32" t="str">
        <f>_xlfn.XLOOKUP(A58,'[1]ESCALA DE PRODUÇÃO'!$A$4:$A$42,'[1]ESCALA DE PRODUÇÃO'!$C$4:$C$42,"0")</f>
        <v>0</v>
      </c>
      <c r="F58" s="45" t="str">
        <f>IFERROR(C58/E58,"0")</f>
        <v>0</v>
      </c>
      <c r="G58" s="30">
        <f>_xlfn.XLOOKUP(A58,'[1]ESCALA DE PRODUÇÃO'!$AL$1:$AL$1048566,'[1]ESCALA DE PRODUÇÃO'!$AM$1:$AM$1048566,"SEM PREÇO")</f>
        <v>149.9</v>
      </c>
      <c r="H58" s="33">
        <f>IFERROR(C58*G58,"0")</f>
        <v>0</v>
      </c>
      <c r="I58" s="50" t="str">
        <f>_xlfn.XLOOKUP(A58,'DADOS DE VENDA'!S:S,'DADOS DE VENDA'!V:V,"SEM VENDA")</f>
        <v>SEM VENDA</v>
      </c>
      <c r="J58" s="42" t="str">
        <f>IFERROR(I58/E58,"0")</f>
        <v>0</v>
      </c>
      <c r="K58" s="43" t="str">
        <f>IFERROR(I58*G58,"0")</f>
        <v>0</v>
      </c>
      <c r="L58" s="51" t="str">
        <f>_xlfn.XLOOKUP(A58,'DADOS DE VENDA'!A:A,'DADOS DE VENDA'!E:E,"RUPTURA NO PERIODO")</f>
        <v>RUPTURA NO PERIODO</v>
      </c>
      <c r="M58" s="88" t="str" cm="1">
        <f t="array" ref="M58">_xlfn.IFS(C58&lt;I58,"ABAIXO",C58&gt;I58,"ACIMA",C58=I58,"OK")</f>
        <v>ABAIXO</v>
      </c>
      <c r="P58" s="87">
        <f t="shared" si="6"/>
        <v>7570</v>
      </c>
      <c r="Q58" s="29" t="str">
        <f>_xlfn.XLOOKUP(P58,'[1]ESCALA DE PRODUÇÃO'!$AL$1:$AL$1048566,'[1]ESCALA DE PRODUÇÃO'!$AJ$1:$AJ$1048566,"NÃO ENCOTRADO")</f>
        <v>007570 - MOLHO PESTO BENDITO KG</v>
      </c>
      <c r="R58" s="44">
        <f>C58</f>
        <v>0</v>
      </c>
      <c r="S58" s="45" t="str">
        <f>F58</f>
        <v>0</v>
      </c>
    </row>
    <row r="59" spans="1:19" ht="19" thickBot="1" x14ac:dyDescent="0.5">
      <c r="A59" s="126">
        <f>('[1]ESCALA DE PRODUÇÃO'!Q47)</f>
        <v>0</v>
      </c>
      <c r="B59" s="29" t="str">
        <f>_xlfn.XLOOKUP(A59,'[1]ESCALA DE PRODUÇÃO'!$AL$1:$AL$1048566,'[1]ESCALA DE PRODUÇÃO'!$AJ$1:$AJ$1048566,"NÃO ENCOTRADO")</f>
        <v>NÃO ENCOTRADO</v>
      </c>
      <c r="C59" s="127">
        <v>0</v>
      </c>
      <c r="D59" s="28" t="str">
        <f>_xlfn.XLOOKUP(A59,'[1]ESCALA DE PRODUÇÃO'!$AL$1:$AL$1048566,'[1]ESCALA DE PRODUÇÃO'!$AK$1:$AK$1048566,"0")</f>
        <v>0</v>
      </c>
      <c r="E59" s="32" t="str">
        <f>_xlfn.XLOOKUP(A59,'[1]ESCALA DE PRODUÇÃO'!$A$4:$A$42,'[1]ESCALA DE PRODUÇÃO'!$C$4:$C$42,"0")</f>
        <v>0</v>
      </c>
      <c r="F59" s="45" t="str">
        <f>IFERROR(C59/E59,"0")</f>
        <v>0</v>
      </c>
      <c r="G59" s="30" t="str">
        <f>_xlfn.XLOOKUP(A59,'[1]ESCALA DE PRODUÇÃO'!$AL$1:$AL$1048566,'[1]ESCALA DE PRODUÇÃO'!$AM$1:$AM$1048566,"SEM PREÇO")</f>
        <v>SEM PREÇO</v>
      </c>
      <c r="H59" s="33" t="str">
        <f>IFERROR(C59*G59,"0")</f>
        <v>0</v>
      </c>
      <c r="I59" s="50" t="str">
        <f>_xlfn.XLOOKUP(A59,'DADOS DE VENDA'!S:S,'DADOS DE VENDA'!V:V,"SEM VENDA")</f>
        <v>SEM VENDA</v>
      </c>
      <c r="J59" s="42" t="str">
        <f>IFERROR(I59/E59,"0")</f>
        <v>0</v>
      </c>
      <c r="K59" s="43" t="str">
        <f>IFERROR(I59*G59,"0")</f>
        <v>0</v>
      </c>
      <c r="L59" s="51" t="str">
        <f>_xlfn.XLOOKUP(A59,'DADOS DE VENDA'!A:A,'DADOS DE VENDA'!E:E,"RUPTURA NO PERIODO")</f>
        <v>RUPTURA NO PERIODO</v>
      </c>
      <c r="M59" s="88" t="str" cm="1">
        <f t="array" ref="M59">_xlfn.IFS(C59&lt;I59,"ABAIXO",C59&gt;I59,"ACIMA",C59=I59,"OK")</f>
        <v>ABAIXO</v>
      </c>
      <c r="P59" s="87">
        <f t="shared" si="6"/>
        <v>0</v>
      </c>
      <c r="Q59" s="29" t="str">
        <f>_xlfn.XLOOKUP(P59,'[1]ESCALA DE PRODUÇÃO'!$AL$1:$AL$1048566,'[1]ESCALA DE PRODUÇÃO'!$AJ$1:$AJ$1048566,"NÃO ENCOTRADO")</f>
        <v>NÃO ENCOTRADO</v>
      </c>
      <c r="R59" s="44">
        <f>C59</f>
        <v>0</v>
      </c>
      <c r="S59" s="45" t="str">
        <f>F59</f>
        <v>0</v>
      </c>
    </row>
    <row r="60" spans="1:19" ht="19" thickBot="1" x14ac:dyDescent="0.5">
      <c r="A60" s="87"/>
      <c r="B60" s="103" t="s">
        <v>176</v>
      </c>
      <c r="C60" s="103" t="s">
        <v>173</v>
      </c>
      <c r="D60" s="159"/>
      <c r="E60" s="160"/>
      <c r="F60" s="105" t="s">
        <v>174</v>
      </c>
      <c r="G60" s="161">
        <f>SUM(H51,H52,H53,H54,H56,H57,H58,H59)</f>
        <v>311.39999999999998</v>
      </c>
      <c r="H60" s="162"/>
      <c r="I60" s="50">
        <f>_xlfn.XLOOKUP(A60,'DADOS DE VENDA'!S:S,'DADOS DE VENDA'!V:V,"SEM VENDA")</f>
        <v>0</v>
      </c>
      <c r="J60" s="163">
        <f>SUM(K51,K52,K53,K54,K56,K57,K58,K59)</f>
        <v>0</v>
      </c>
      <c r="K60" s="164"/>
      <c r="L60" s="104"/>
      <c r="M60" s="107"/>
      <c r="P60" s="147" t="s">
        <v>5</v>
      </c>
      <c r="Q60" s="148"/>
      <c r="R60" s="149">
        <f>(G60)</f>
        <v>311.39999999999998</v>
      </c>
      <c r="S60" s="150"/>
    </row>
    <row r="62" spans="1:19" ht="15" thickBot="1" x14ac:dyDescent="0.4"/>
    <row r="63" spans="1:19" x14ac:dyDescent="0.35">
      <c r="P63" s="166" t="s">
        <v>225</v>
      </c>
      <c r="Q63" s="167"/>
      <c r="R63" s="172">
        <f>SUM(R28,R45,R60)</f>
        <v>1965.85</v>
      </c>
      <c r="S63" s="173"/>
    </row>
    <row r="64" spans="1:19" x14ac:dyDescent="0.35">
      <c r="P64" s="168"/>
      <c r="Q64" s="169"/>
      <c r="R64" s="174"/>
      <c r="S64" s="175"/>
    </row>
    <row r="65" spans="7:19" ht="15" thickBot="1" x14ac:dyDescent="0.4">
      <c r="P65" s="170"/>
      <c r="Q65" s="171"/>
      <c r="R65" s="176"/>
      <c r="S65" s="177"/>
    </row>
    <row r="67" spans="7:19" x14ac:dyDescent="0.35">
      <c r="G67" s="2">
        <v>0</v>
      </c>
    </row>
  </sheetData>
  <mergeCells count="41">
    <mergeCell ref="P63:Q65"/>
    <mergeCell ref="R63:S65"/>
    <mergeCell ref="I31:M31"/>
    <mergeCell ref="A32:B32"/>
    <mergeCell ref="I32:M32"/>
    <mergeCell ref="D60:E60"/>
    <mergeCell ref="G60:H60"/>
    <mergeCell ref="J60:K60"/>
    <mergeCell ref="A48:C48"/>
    <mergeCell ref="D49:H49"/>
    <mergeCell ref="A49:B49"/>
    <mergeCell ref="I49:M49"/>
    <mergeCell ref="D45:E45"/>
    <mergeCell ref="G45:H45"/>
    <mergeCell ref="J45:K45"/>
    <mergeCell ref="I48:M48"/>
    <mergeCell ref="I1:M1"/>
    <mergeCell ref="A1:C1"/>
    <mergeCell ref="D2:H2"/>
    <mergeCell ref="A31:C31"/>
    <mergeCell ref="D32:H32"/>
    <mergeCell ref="A2:B2"/>
    <mergeCell ref="I2:M2"/>
    <mergeCell ref="D28:E28"/>
    <mergeCell ref="G28:H28"/>
    <mergeCell ref="J28:K28"/>
    <mergeCell ref="P1:Q1"/>
    <mergeCell ref="P2:Q2"/>
    <mergeCell ref="R2:S2"/>
    <mergeCell ref="P28:Q28"/>
    <mergeCell ref="R28:S28"/>
    <mergeCell ref="P31:Q31"/>
    <mergeCell ref="P32:Q32"/>
    <mergeCell ref="R32:S32"/>
    <mergeCell ref="P45:Q45"/>
    <mergeCell ref="R45:S45"/>
    <mergeCell ref="P60:Q60"/>
    <mergeCell ref="R60:S60"/>
    <mergeCell ref="P48:Q48"/>
    <mergeCell ref="P49:Q49"/>
    <mergeCell ref="R49:S49"/>
  </mergeCells>
  <conditionalFormatting sqref="I4:I6 I8:I10 I12:I13 I15:I16 I18:I20 I22:I24 I26:I28">
    <cfRule type="containsText" dxfId="27" priority="11" operator="containsText" text="SEM VENDA">
      <formula>NOT(ISERROR(SEARCH("SEM VENDA",I4)))</formula>
    </cfRule>
  </conditionalFormatting>
  <conditionalFormatting sqref="I29:I30">
    <cfRule type="containsText" dxfId="26" priority="14" operator="containsText" text="SEM VENDAS">
      <formula>NOT(ISERROR(SEARCH("SEM VENDAS",I29)))</formula>
    </cfRule>
  </conditionalFormatting>
  <conditionalFormatting sqref="I34:I36 I38:I40 I42:I45">
    <cfRule type="containsText" dxfId="25" priority="2" operator="containsText" text="SEM VENDA">
      <formula>NOT(ISERROR(SEARCH("SEM VENDA",I34)))</formula>
    </cfRule>
  </conditionalFormatting>
  <conditionalFormatting sqref="I51:I54 I56:I60">
    <cfRule type="containsText" dxfId="24" priority="4" operator="containsText" text="SEM VENDA">
      <formula>NOT(ISERROR(SEARCH("SEM VENDA",I51)))</formula>
    </cfRule>
  </conditionalFormatting>
  <conditionalFormatting sqref="L4:L6 L8:L10 L12:L13 L15:L16 L18:L20 L22:L24 L26:L30">
    <cfRule type="containsText" dxfId="23" priority="12" operator="containsText" text="RUPTURA NO PERIODO">
      <formula>NOT(ISERROR(SEARCH("RUPTURA NO PERIODO",L4)))</formula>
    </cfRule>
  </conditionalFormatting>
  <conditionalFormatting sqref="L34:L36 L38:L40 L42:L45">
    <cfRule type="containsText" dxfId="22" priority="1" operator="containsText" text="RUPTURA NO PERIODO">
      <formula>NOT(ISERROR(SEARCH("RUPTURA NO PERIODO",L34)))</formula>
    </cfRule>
  </conditionalFormatting>
  <conditionalFormatting sqref="L51:L54">
    <cfRule type="containsText" dxfId="21" priority="5" operator="containsText" text="RUPTURA NO PERIODO">
      <formula>NOT(ISERROR(SEARCH("RUPTURA NO PERIODO",L51)))</formula>
    </cfRule>
  </conditionalFormatting>
  <conditionalFormatting sqref="L56:L60">
    <cfRule type="containsText" dxfId="20" priority="3" operator="containsText" text="RUPTURA NO PERIODO">
      <formula>NOT(ISERROR(SEARCH("RUPTURA NO PERIODO",L56)))</formula>
    </cfRule>
  </conditionalFormatting>
  <pageMargins left="0.25" right="0.25" top="0.75" bottom="0.75" header="0.3" footer="0.3"/>
  <pageSetup scale="34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6488-E22F-492E-BAA4-64D072D49981}">
  <sheetPr>
    <tabColor rgb="FF0070C0"/>
    <pageSetUpPr fitToPage="1"/>
  </sheetPr>
  <dimension ref="A1:S65"/>
  <sheetViews>
    <sheetView topLeftCell="G1" zoomScale="63" zoomScaleNormal="70" workbookViewId="0">
      <selection activeCell="N60" sqref="N60"/>
    </sheetView>
  </sheetViews>
  <sheetFormatPr defaultRowHeight="14.5" x14ac:dyDescent="0.35"/>
  <cols>
    <col min="1" max="1" width="17.1796875" bestFit="1" customWidth="1"/>
    <col min="2" max="2" width="69.08984375" bestFit="1" customWidth="1"/>
    <col min="3" max="3" width="8.453125" customWidth="1"/>
    <col min="4" max="4" width="8.1796875" customWidth="1"/>
    <col min="5" max="5" width="7" customWidth="1"/>
    <col min="6" max="6" width="9.7265625" bestFit="1" customWidth="1"/>
    <col min="7" max="7" width="11.26953125" style="2" bestFit="1" customWidth="1"/>
    <col min="8" max="8" width="10.08984375" bestFit="1" customWidth="1"/>
    <col min="9" max="9" width="13.7265625" bestFit="1" customWidth="1"/>
    <col min="10" max="11" width="10.90625" customWidth="1"/>
    <col min="12" max="12" width="20.08984375" bestFit="1" customWidth="1"/>
    <col min="16" max="16" width="8.7265625" customWidth="1"/>
    <col min="17" max="17" width="65" bestFit="1" customWidth="1"/>
    <col min="19" max="19" width="12.453125" bestFit="1" customWidth="1"/>
  </cols>
  <sheetData>
    <row r="1" spans="1:19" ht="21.5" thickBot="1" x14ac:dyDescent="0.55000000000000004">
      <c r="A1" s="205" t="s">
        <v>195</v>
      </c>
      <c r="B1" s="206"/>
      <c r="C1" s="206"/>
      <c r="D1" s="206"/>
      <c r="E1" s="206"/>
      <c r="F1" s="206"/>
      <c r="G1" s="206"/>
      <c r="H1" s="206"/>
      <c r="I1" s="206" t="s">
        <v>171</v>
      </c>
      <c r="J1" s="206"/>
      <c r="K1" s="206"/>
      <c r="L1" s="206"/>
      <c r="M1" s="207"/>
      <c r="P1" s="157" t="s">
        <v>195</v>
      </c>
      <c r="Q1" s="158"/>
      <c r="R1" s="132" t="s">
        <v>102</v>
      </c>
      <c r="S1" s="131">
        <v>46048</v>
      </c>
    </row>
    <row r="2" spans="1:19" ht="15" thickBot="1" x14ac:dyDescent="0.4">
      <c r="A2" s="186" t="s">
        <v>154</v>
      </c>
      <c r="B2" s="152"/>
      <c r="C2" s="145" t="s">
        <v>155</v>
      </c>
      <c r="D2" s="146"/>
      <c r="E2" s="146"/>
      <c r="F2" s="146"/>
      <c r="G2" s="146"/>
      <c r="H2" s="156"/>
      <c r="I2" s="146" t="s">
        <v>156</v>
      </c>
      <c r="J2" s="146"/>
      <c r="K2" s="146"/>
      <c r="L2" s="146"/>
      <c r="M2" s="146"/>
      <c r="P2" s="151" t="s">
        <v>192</v>
      </c>
      <c r="Q2" s="152"/>
      <c r="R2" s="145" t="s">
        <v>155</v>
      </c>
      <c r="S2" s="146"/>
    </row>
    <row r="3" spans="1:19" ht="15" thickBot="1" x14ac:dyDescent="0.4">
      <c r="A3" s="5" t="s">
        <v>8</v>
      </c>
      <c r="B3" s="6" t="s">
        <v>164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P3" s="85" t="s">
        <v>8</v>
      </c>
      <c r="Q3" s="6" t="s">
        <v>164</v>
      </c>
      <c r="R3" s="3" t="s">
        <v>2</v>
      </c>
      <c r="S3" s="3" t="s">
        <v>6</v>
      </c>
    </row>
    <row r="4" spans="1:19" ht="19" thickBot="1" x14ac:dyDescent="0.5">
      <c r="A4" s="28">
        <f>('[1]ESCALA DE PRODUÇÃO'!V3)</f>
        <v>9362</v>
      </c>
      <c r="B4" s="29" t="str">
        <f>_xlfn.XLOOKUP(A4,'[1]ESCALA DE PRODUÇÃO'!$AL$1:$AL$1048566,'[1]ESCALA DE PRODUÇÃO'!$AJ$1:$AJ$1048566,"NÃO ENCOTRADO")</f>
        <v>009362 - REFEICAO ISCA DE FRANGO A ACEBOLADA BENDITO UN</v>
      </c>
      <c r="C4" s="44">
        <v>10</v>
      </c>
      <c r="D4" s="28" t="str">
        <f>_xlfn.XLOOKUP(A4,'[1]ESCALA DE PRODUÇÃO'!$AL$1:$AL$1048566,'[1]ESCALA DE PRODUÇÃO'!$AK$1:$AK$1048566,"0")</f>
        <v>UN/0001</v>
      </c>
      <c r="E4" s="32">
        <f>('[1]ESCALA DE PRODUÇÃO'!X3)</f>
        <v>1</v>
      </c>
      <c r="F4" s="45">
        <f>IFERROR(C4/E4,"0")</f>
        <v>10</v>
      </c>
      <c r="G4" s="30">
        <f>_xlfn.XLOOKUP(A4,'[1]ESCALA DE PRODUÇÃO'!$AL$1:$AL$1048566,'[1]ESCALA DE PRODUÇÃO'!$AM$1:$AM$1048566,"SEM PREÇO")</f>
        <v>23.9</v>
      </c>
      <c r="H4" s="31">
        <f>IFERROR(C4*G4,"0")</f>
        <v>239</v>
      </c>
      <c r="I4" s="46">
        <f>_xlfn.XLOOKUP(A4,'DADOS DE VENDA'!Y:Y,'DADOS DE VENDA'!AB:AB,"SEM VENDA")</f>
        <v>10</v>
      </c>
      <c r="J4" s="47">
        <f>IFERROR(I4/E4,"0")</f>
        <v>10</v>
      </c>
      <c r="K4" s="48">
        <f>IFERROR(I4*G4,"0")</f>
        <v>239</v>
      </c>
      <c r="L4" s="49" t="str">
        <f>_xlfn.XLOOKUP(A4,'DADOS DE VENDA'!Y:Y,'DADOS DE VENDA'!AC:AC,"RUPTURA NO PERIODO")</f>
        <v>16/01 a 17/01</v>
      </c>
      <c r="M4" s="88" t="str" cm="1">
        <f t="array" ref="M4">_xlfn.IFS(C4&lt;I4,"ABAIXO",C4&gt;I4,"ACIMA",C4=I4,"OK")</f>
        <v>OK</v>
      </c>
      <c r="P4" s="87">
        <f>(A4)</f>
        <v>9362</v>
      </c>
      <c r="Q4" s="29" t="str">
        <f>_xlfn.XLOOKUP(P4,'[1]ESCALA DE PRODUÇÃO'!$AL$1:$AL$1048566,'[1]ESCALA DE PRODUÇÃO'!$AJ$1:$AJ$1048566,"NÃO ENCOTRADO")</f>
        <v>009362 - REFEICAO ISCA DE FRANGO A ACEBOLADA BENDITO UN</v>
      </c>
      <c r="R4" s="44">
        <f>C4</f>
        <v>10</v>
      </c>
      <c r="S4" s="45">
        <f>(F4)</f>
        <v>10</v>
      </c>
    </row>
    <row r="5" spans="1:19" ht="19" thickBot="1" x14ac:dyDescent="0.5">
      <c r="A5" s="28">
        <f>('[1]ESCALA DE PRODUÇÃO'!V4)</f>
        <v>7874</v>
      </c>
      <c r="B5" s="29" t="str">
        <f>_xlfn.XLOOKUP(A5,'[1]ESCALA DE PRODUÇÃO'!$AL$1:$AL$1048566,'[1]ESCALA DE PRODUÇÃO'!$AJ$1:$AJ$1048566,"NÃO ENCOTRADO")</f>
        <v>007874 - REFEICAO STROGONOFF CARNE BENDITO UN</v>
      </c>
      <c r="C5" s="44">
        <v>10</v>
      </c>
      <c r="D5" s="28" t="str">
        <f>_xlfn.XLOOKUP(A5,'[1]ESCALA DE PRODUÇÃO'!$AL$1:$AL$1048566,'[1]ESCALA DE PRODUÇÃO'!$AK$1:$AK$1048566,"0")</f>
        <v>UN/0001</v>
      </c>
      <c r="E5" s="32">
        <f>('[1]ESCALA DE PRODUÇÃO'!X4)</f>
        <v>1</v>
      </c>
      <c r="F5" s="45">
        <f>IFERROR(C5/E5,"0")</f>
        <v>10</v>
      </c>
      <c r="G5" s="30">
        <f>_xlfn.XLOOKUP(A5,'[1]ESCALA DE PRODUÇÃO'!$AL$1:$AL$1048566,'[1]ESCALA DE PRODUÇÃO'!$AM$1:$AM$1048566,"SEM PREÇO")</f>
        <v>24.9</v>
      </c>
      <c r="H5" s="33">
        <f>IFERROR(C5*G5,"0")</f>
        <v>249</v>
      </c>
      <c r="I5" s="46">
        <f>_xlfn.XLOOKUP(A5,'DADOS DE VENDA'!Y:Y,'DADOS DE VENDA'!AB:AB,"SEM VENDA")</f>
        <v>8</v>
      </c>
      <c r="J5" s="42">
        <f>IFERROR(I5/E5,"0")</f>
        <v>8</v>
      </c>
      <c r="K5" s="43">
        <f>IFERROR(I5*G5,"0")</f>
        <v>199.2</v>
      </c>
      <c r="L5" s="49" t="str">
        <f>_xlfn.XLOOKUP(A5,'DADOS DE VENDA'!Y:Y,'DADOS DE VENDA'!AC:AC,"RUPTURA NO PERIODO")</f>
        <v>16/01 a 17/01</v>
      </c>
      <c r="M5" s="88" t="str" cm="1">
        <f t="array" ref="M5">_xlfn.IFS(C5&lt;I5,"ABAIXO",C5&gt;I5,"ACIMA",C5=I5,"OK")</f>
        <v>ACIMA</v>
      </c>
      <c r="P5" s="87">
        <f t="shared" ref="P5:P27" si="0">(A5)</f>
        <v>7874</v>
      </c>
      <c r="Q5" s="29" t="str">
        <f>_xlfn.XLOOKUP(P5,'[1]ESCALA DE PRODUÇÃO'!$AL$1:$AL$1048566,'[1]ESCALA DE PRODUÇÃO'!$AJ$1:$AJ$1048566,"NÃO ENCOTRADO")</f>
        <v>007874 - REFEICAO STROGONOFF CARNE BENDITO UN</v>
      </c>
      <c r="R5" s="44">
        <f t="shared" ref="R5:R27" si="1">C5</f>
        <v>10</v>
      </c>
      <c r="S5" s="45">
        <f t="shared" ref="S5:S27" si="2">(F5)</f>
        <v>10</v>
      </c>
    </row>
    <row r="6" spans="1:19" ht="19" thickBot="1" x14ac:dyDescent="0.5">
      <c r="A6" s="28">
        <f>('[1]ESCALA DE PRODUÇÃO'!V5)</f>
        <v>0</v>
      </c>
      <c r="B6" s="29" t="str">
        <f>_xlfn.XLOOKUP(A6,'[1]ESCALA DE PRODUÇÃO'!$AL$1:$AL$1048566,'[1]ESCALA DE PRODUÇÃO'!$AJ$1:$AJ$1048566,"NÃO ENCOTRADO")</f>
        <v>NÃO ENCOTRADO</v>
      </c>
      <c r="C6" s="44">
        <v>0</v>
      </c>
      <c r="D6" s="28" t="str">
        <f>_xlfn.XLOOKUP(A6,'[1]ESCALA DE PRODUÇÃO'!$AL$1:$AL$1048566,'[1]ESCALA DE PRODUÇÃO'!$AK$1:$AK$1048566,"0")</f>
        <v>0</v>
      </c>
      <c r="E6" s="32">
        <f>('[1]ESCALA DE PRODUÇÃO'!X5)</f>
        <v>1</v>
      </c>
      <c r="F6" s="45">
        <f>IFERROR(C6/E6,"0")</f>
        <v>0</v>
      </c>
      <c r="G6" s="30" t="str">
        <f>_xlfn.XLOOKUP(A6,'[1]ESCALA DE PRODUÇÃO'!$AL$1:$AL$1048566,'[1]ESCALA DE PRODUÇÃO'!$AM$1:$AM$1048566,"SEM PREÇO")</f>
        <v>SEM PREÇO</v>
      </c>
      <c r="H6" s="33" t="str">
        <f>IFERROR(C6*G6,"0")</f>
        <v>0</v>
      </c>
      <c r="I6" s="46" t="str">
        <f>_xlfn.XLOOKUP(A6,'DADOS DE VENDA'!Y:Y,'DADOS DE VENDA'!AB:AB,"SEM VENDA")</f>
        <v>SEM VENDA</v>
      </c>
      <c r="J6" s="42" t="str">
        <f>IFERROR(I6/E6,"0")</f>
        <v>0</v>
      </c>
      <c r="K6" s="43" t="str">
        <f>IFERROR(I6*G6,"0")</f>
        <v>0</v>
      </c>
      <c r="L6" s="49" t="str">
        <f>_xlfn.XLOOKUP(A6,'DADOS DE VENDA'!Y:Y,'DADOS DE VENDA'!AC:AC,"RUPTURA NO PERIODO")</f>
        <v>RUPTURA NO PERIODO</v>
      </c>
      <c r="M6" s="88" t="str" cm="1">
        <f t="array" ref="M6">_xlfn.IFS(C6&lt;I6,"ABAIXO",C6&gt;I6,"ACIMA",C6=I6,"OK")</f>
        <v>ABAIXO</v>
      </c>
      <c r="P6" s="87">
        <f t="shared" si="0"/>
        <v>0</v>
      </c>
      <c r="Q6" s="29" t="str">
        <f>_xlfn.XLOOKUP(P6,'[1]ESCALA DE PRODUÇÃO'!$AL$1:$AL$1048566,'[1]ESCALA DE PRODUÇÃO'!$AJ$1:$AJ$1048566,"NÃO ENCOTRADO")</f>
        <v>NÃO ENCOTRADO</v>
      </c>
      <c r="R6" s="44">
        <f t="shared" si="1"/>
        <v>0</v>
      </c>
      <c r="S6" s="45">
        <f t="shared" si="2"/>
        <v>0</v>
      </c>
    </row>
    <row r="7" spans="1:19" ht="15" thickBot="1" x14ac:dyDescent="0.4">
      <c r="A7" s="85" t="s">
        <v>8</v>
      </c>
      <c r="B7" s="6" t="s">
        <v>165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P7" s="85" t="s">
        <v>8</v>
      </c>
      <c r="Q7" s="6" t="s">
        <v>165</v>
      </c>
      <c r="R7" s="3" t="s">
        <v>2</v>
      </c>
      <c r="S7" s="3" t="s">
        <v>6</v>
      </c>
    </row>
    <row r="8" spans="1:19" ht="19" thickBot="1" x14ac:dyDescent="0.5">
      <c r="A8" s="28">
        <f>('[1]ESCALA DE PRODUÇÃO'!V7)</f>
        <v>8480</v>
      </c>
      <c r="B8" s="29" t="str">
        <f>_xlfn.XLOOKUP(A8,'[1]ESCALA DE PRODUÇÃO'!$AL$1:$AL$1048566,'[1]ESCALA DE PRODUÇÃO'!$AJ$1:$AJ$1048566,"NÃO ENCOTRADO")</f>
        <v>008480 - ROTISSERIA MACARRONADA A BOLONHESA BENDITO KG</v>
      </c>
      <c r="C8" s="44">
        <v>5</v>
      </c>
      <c r="D8" s="28" t="str">
        <f>_xlfn.XLOOKUP(A8,'[1]ESCALA DE PRODUÇÃO'!$AL$1:$AL$1048566,'[1]ESCALA DE PRODUÇÃO'!$AK$1:$AK$1048566,"0")</f>
        <v>KG/0001</v>
      </c>
      <c r="E8" s="32">
        <f>('[1]ESCALA DE PRODUÇÃO'!X7)</f>
        <v>0.35</v>
      </c>
      <c r="F8" s="45">
        <f>IFERROR(C8/E8,"0")</f>
        <v>14.285714285714286</v>
      </c>
      <c r="G8" s="30">
        <f>_xlfn.XLOOKUP(A8,'[1]ESCALA DE PRODUÇÃO'!$AL$1:$AL$1048566,'[1]ESCALA DE PRODUÇÃO'!$AM$1:$AM$1048566,"SEM PREÇO")</f>
        <v>39.9</v>
      </c>
      <c r="H8" s="33">
        <f>IFERROR(C8*G8,"0")</f>
        <v>199.5</v>
      </c>
      <c r="I8" s="46">
        <f>_xlfn.XLOOKUP(A8,'DADOS DE VENDA'!Y:Y,'DADOS DE VENDA'!AB:AB,"SEM VENDA")</f>
        <v>3.25</v>
      </c>
      <c r="J8" s="42">
        <f>IFERROR(I8/E8,"0")</f>
        <v>9.2857142857142865</v>
      </c>
      <c r="K8" s="43">
        <f>IFERROR(I8*G8,"0")</f>
        <v>129.67499999999998</v>
      </c>
      <c r="L8" s="49" t="str">
        <f>_xlfn.XLOOKUP(A8,'DADOS DE VENDA'!Y:Y,'DADOS DE VENDA'!AC:AC,"RUPTURA NO PERIODO")</f>
        <v>16/01 a 17/01</v>
      </c>
      <c r="M8" s="88" t="str" cm="1">
        <f t="array" ref="M8">_xlfn.IFS(C8&lt;I8,"ABAIXO",C8&gt;I8,"ACIMA",C8=I8,"OK")</f>
        <v>ACIMA</v>
      </c>
      <c r="P8" s="87">
        <f t="shared" si="0"/>
        <v>8480</v>
      </c>
      <c r="Q8" s="29" t="str">
        <f>_xlfn.XLOOKUP(P8,'[1]ESCALA DE PRODUÇÃO'!$AL$1:$AL$1048566,'[1]ESCALA DE PRODUÇÃO'!$AJ$1:$AJ$1048566,"NÃO ENCOTRADO")</f>
        <v>008480 - ROTISSERIA MACARRONADA A BOLONHESA BENDITO KG</v>
      </c>
      <c r="R8" s="44">
        <f t="shared" si="1"/>
        <v>5</v>
      </c>
      <c r="S8" s="45">
        <f t="shared" si="2"/>
        <v>14.285714285714286</v>
      </c>
    </row>
    <row r="9" spans="1:19" ht="19" thickBot="1" x14ac:dyDescent="0.5">
      <c r="A9" s="28">
        <f>('[1]ESCALA DE PRODUÇÃO'!V8)</f>
        <v>8321</v>
      </c>
      <c r="B9" s="29" t="str">
        <f>_xlfn.XLOOKUP(A9,'[1]ESCALA DE PRODUÇÃO'!$AL$1:$AL$1048566,'[1]ESCALA DE PRODUÇÃO'!$AJ$1:$AJ$1048566,"NÃO ENCOTRADO")</f>
        <v>008321 - ROT.ESPAGUETE A BOLONHESA + POLPETONE RECHEADO BENDITO</v>
      </c>
      <c r="C9" s="44">
        <v>6</v>
      </c>
      <c r="D9" s="28" t="str">
        <f>_xlfn.XLOOKUP(A9,'[1]ESCALA DE PRODUÇÃO'!$AL$1:$AL$1048566,'[1]ESCALA DE PRODUÇÃO'!$AK$1:$AK$1048566,"0")</f>
        <v>UN/0001</v>
      </c>
      <c r="E9" s="32">
        <f>('[1]ESCALA DE PRODUÇÃO'!X8)</f>
        <v>1</v>
      </c>
      <c r="F9" s="45">
        <f>IFERROR(C9/E9,"0")</f>
        <v>6</v>
      </c>
      <c r="G9" s="30">
        <f>_xlfn.XLOOKUP(A9,'[1]ESCALA DE PRODUÇÃO'!$AL$1:$AL$1048566,'[1]ESCALA DE PRODUÇÃO'!$AM$1:$AM$1048566,"SEM PREÇO")</f>
        <v>25.9</v>
      </c>
      <c r="H9" s="33">
        <f>IFERROR(C9*G9,"0")</f>
        <v>155.39999999999998</v>
      </c>
      <c r="I9" s="46">
        <f>_xlfn.XLOOKUP(A9,'DADOS DE VENDA'!Y:Y,'DADOS DE VENDA'!AB:AB,"SEM VENDA")</f>
        <v>11</v>
      </c>
      <c r="J9" s="42">
        <f>IFERROR(I9/E9,"0")</f>
        <v>11</v>
      </c>
      <c r="K9" s="43">
        <f>IFERROR(I9*G9,"0")</f>
        <v>284.89999999999998</v>
      </c>
      <c r="L9" s="49" t="str">
        <f>_xlfn.XLOOKUP(A9,'DADOS DE VENDA'!Y:Y,'DADOS DE VENDA'!AC:AC,"RUPTURA NO PERIODO")</f>
        <v>16/01 a 17/01</v>
      </c>
      <c r="M9" s="88" t="str" cm="1">
        <f t="array" ref="M9">_xlfn.IFS(C9&lt;I9,"ABAIXO",C9&gt;I9,"ACIMA",C9=I9,"OK")</f>
        <v>ABAIXO</v>
      </c>
      <c r="P9" s="87">
        <f t="shared" si="0"/>
        <v>8321</v>
      </c>
      <c r="Q9" s="29" t="str">
        <f>_xlfn.XLOOKUP(P9,'[1]ESCALA DE PRODUÇÃO'!$AL$1:$AL$1048566,'[1]ESCALA DE PRODUÇÃO'!$AJ$1:$AJ$1048566,"NÃO ENCOTRADO")</f>
        <v>008321 - ROT.ESPAGUETE A BOLONHESA + POLPETONE RECHEADO BENDITO</v>
      </c>
      <c r="R9" s="44">
        <f t="shared" si="1"/>
        <v>6</v>
      </c>
      <c r="S9" s="45">
        <f t="shared" si="2"/>
        <v>6</v>
      </c>
    </row>
    <row r="10" spans="1:19" ht="19" thickBot="1" x14ac:dyDescent="0.5">
      <c r="A10" s="28">
        <f>('[1]ESCALA DE PRODUÇÃO'!V9)</f>
        <v>0</v>
      </c>
      <c r="B10" s="29" t="str">
        <f>_xlfn.XLOOKUP(A10,'[1]ESCALA DE PRODUÇÃO'!$AL$1:$AL$1048566,'[1]ESCALA DE PRODUÇÃO'!$AJ$1:$AJ$1048566,"NÃO ENCOTRADO")</f>
        <v>NÃO ENCOTRADO</v>
      </c>
      <c r="C10" s="44">
        <v>0</v>
      </c>
      <c r="D10" s="28" t="str">
        <f>_xlfn.XLOOKUP(A10,'[1]ESCALA DE PRODUÇÃO'!$AL$1:$AL$1048566,'[1]ESCALA DE PRODUÇÃO'!$AK$1:$AK$1048566,"0")</f>
        <v>0</v>
      </c>
      <c r="E10" s="32">
        <f>('[1]ESCALA DE PRODUÇÃO'!X9)</f>
        <v>0.35</v>
      </c>
      <c r="F10" s="45">
        <f>IFERROR(C10/E10,"0")</f>
        <v>0</v>
      </c>
      <c r="G10" s="30" t="str">
        <f>_xlfn.XLOOKUP(A10,'[1]ESCALA DE PRODUÇÃO'!$AL$1:$AL$1048566,'[1]ESCALA DE PRODUÇÃO'!$AM$1:$AM$1048566,"SEM PREÇO")</f>
        <v>SEM PREÇO</v>
      </c>
      <c r="H10" s="33" t="str">
        <f>IFERROR(C10*G10,"0")</f>
        <v>0</v>
      </c>
      <c r="I10" s="46" t="str">
        <f>_xlfn.XLOOKUP(A10,'DADOS DE VENDA'!Y:Y,'DADOS DE VENDA'!AB:AB,"SEM VENDA")</f>
        <v>SEM VENDA</v>
      </c>
      <c r="J10" s="42" t="str">
        <f>IFERROR(I10/E10,"0")</f>
        <v>0</v>
      </c>
      <c r="K10" s="43" t="str">
        <f>IFERROR(I10*G10,"0")</f>
        <v>0</v>
      </c>
      <c r="L10" s="49" t="str">
        <f>_xlfn.XLOOKUP(A10,'DADOS DE VENDA'!Y:Y,'DADOS DE VENDA'!AC:AC,"RUPTURA NO PERIODO")</f>
        <v>RUPTURA NO PERIODO</v>
      </c>
      <c r="M10" s="88" t="str" cm="1">
        <f t="array" ref="M10">_xlfn.IFS(C10&lt;I10,"ABAIXO",C10&gt;I10,"ACIMA",C10=I10,"OK")</f>
        <v>ABAIXO</v>
      </c>
      <c r="P10" s="87">
        <f t="shared" si="0"/>
        <v>0</v>
      </c>
      <c r="Q10" s="29" t="str">
        <f>_xlfn.XLOOKUP(P10,'[1]ESCALA DE PRODUÇÃO'!$AL$1:$AL$1048566,'[1]ESCALA DE PRODUÇÃO'!$AJ$1:$AJ$1048566,"NÃO ENCOTRADO")</f>
        <v>NÃO ENCOTRADO</v>
      </c>
      <c r="R10" s="44">
        <f t="shared" si="1"/>
        <v>0</v>
      </c>
      <c r="S10" s="45">
        <f t="shared" si="2"/>
        <v>0</v>
      </c>
    </row>
    <row r="11" spans="1:19" ht="15" thickBot="1" x14ac:dyDescent="0.4">
      <c r="A11" s="85" t="s">
        <v>8</v>
      </c>
      <c r="B11" s="6" t="s">
        <v>166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P11" s="85" t="s">
        <v>8</v>
      </c>
      <c r="Q11" s="6" t="s">
        <v>166</v>
      </c>
      <c r="R11" s="3" t="s">
        <v>2</v>
      </c>
      <c r="S11" s="3" t="s">
        <v>6</v>
      </c>
    </row>
    <row r="12" spans="1:19" ht="19" thickBot="1" x14ac:dyDescent="0.5">
      <c r="A12" s="28">
        <f>('[1]ESCALA DE PRODUÇÃO'!V11)</f>
        <v>8028</v>
      </c>
      <c r="B12" s="29" t="str">
        <f>_xlfn.XLOOKUP(A12,'[1]ESCALA DE PRODUÇÃO'!$AL$1:$AL$1048566,'[1]ESCALA DE PRODUÇÃO'!$AJ$1:$AJ$1048566,"NÃO ENCOTRADO")</f>
        <v>008028 - ROTISSERIA ARROZ BRANCO BENDITO KG</v>
      </c>
      <c r="C12" s="44">
        <v>1</v>
      </c>
      <c r="D12" s="28" t="str">
        <f>_xlfn.XLOOKUP(A12,'[1]ESCALA DE PRODUÇÃO'!$AL$1:$AL$1048566,'[1]ESCALA DE PRODUÇÃO'!$AK$1:$AK$1048566,"0")</f>
        <v>KG/0001</v>
      </c>
      <c r="E12" s="32">
        <f>('[1]ESCALA DE PRODUÇÃO'!X11)</f>
        <v>0.12</v>
      </c>
      <c r="F12" s="45">
        <f>IFERROR(C12/E12,"0")</f>
        <v>8.3333333333333339</v>
      </c>
      <c r="G12" s="30">
        <f>_xlfn.XLOOKUP(A12,'[1]ESCALA DE PRODUÇÃO'!$AL$1:$AL$1048566,'[1]ESCALA DE PRODUÇÃO'!$AM$1:$AM$1048566,"SEM PREÇO")</f>
        <v>28.9</v>
      </c>
      <c r="H12" s="33">
        <f>IFERROR(C12*G12,"0")</f>
        <v>28.9</v>
      </c>
      <c r="I12" s="46">
        <f>_xlfn.XLOOKUP(A12,'DADOS DE VENDA'!Y:Y,'DADOS DE VENDA'!AB:AB,"SEM VENDA")</f>
        <v>1.8</v>
      </c>
      <c r="J12" s="42">
        <f>IFERROR(I12/E12,"0")</f>
        <v>15.000000000000002</v>
      </c>
      <c r="K12" s="43">
        <f>IFERROR(I12*G12,"0")</f>
        <v>52.019999999999996</v>
      </c>
      <c r="L12" s="49" t="str">
        <f>_xlfn.XLOOKUP(A12,'DADOS DE VENDA'!Y:Y,'DADOS DE VENDA'!AC:AC,"RUPTURA NO PERIODO")</f>
        <v>16/01 a 17/01</v>
      </c>
      <c r="M12" s="88" t="str" cm="1">
        <f t="array" ref="M12">_xlfn.IFS(C12&lt;I12,"ABAIXO",C12&gt;I12,"ACIMA",C12=I12,"OK")</f>
        <v>ABAIXO</v>
      </c>
      <c r="P12" s="87">
        <f t="shared" si="0"/>
        <v>8028</v>
      </c>
      <c r="Q12" s="29" t="str">
        <f>_xlfn.XLOOKUP(P12,'[1]ESCALA DE PRODUÇÃO'!$AL$1:$AL$1048566,'[1]ESCALA DE PRODUÇÃO'!$AJ$1:$AJ$1048566,"NÃO ENCOTRADO")</f>
        <v>008028 - ROTISSERIA ARROZ BRANCO BENDITO KG</v>
      </c>
      <c r="R12" s="44">
        <f t="shared" si="1"/>
        <v>1</v>
      </c>
      <c r="S12" s="45">
        <f t="shared" si="2"/>
        <v>8.3333333333333339</v>
      </c>
    </row>
    <row r="13" spans="1:19" ht="19" thickBot="1" x14ac:dyDescent="0.5">
      <c r="A13" s="28">
        <f>('[1]ESCALA DE PRODUÇÃO'!V12)</f>
        <v>0</v>
      </c>
      <c r="B13" s="29" t="str">
        <f>_xlfn.XLOOKUP(A13,'[1]ESCALA DE PRODUÇÃO'!$AL$1:$AL$1048566,'[1]ESCALA DE PRODUÇÃO'!$AJ$1:$AJ$1048566,"NÃO ENCOTRADO")</f>
        <v>NÃO ENCOTRADO</v>
      </c>
      <c r="C13" s="44">
        <v>0</v>
      </c>
      <c r="D13" s="28" t="str">
        <f>_xlfn.XLOOKUP(A13,'[1]ESCALA DE PRODUÇÃO'!$AL$1:$AL$1048566,'[1]ESCALA DE PRODUÇÃO'!$AK$1:$AK$1048566,"0")</f>
        <v>0</v>
      </c>
      <c r="E13" s="32">
        <f>('[1]ESCALA DE PRODUÇÃO'!X12)</f>
        <v>1</v>
      </c>
      <c r="F13" s="45">
        <f>IFERROR(C13/E13,"0")</f>
        <v>0</v>
      </c>
      <c r="G13" s="30" t="str">
        <f>_xlfn.XLOOKUP(A13,'[1]ESCALA DE PRODUÇÃO'!$AL$1:$AL$1048566,'[1]ESCALA DE PRODUÇÃO'!$AM$1:$AM$1048566,"SEM PREÇO")</f>
        <v>SEM PREÇO</v>
      </c>
      <c r="H13" s="33" t="str">
        <f>IFERROR(C13*G13,"0")</f>
        <v>0</v>
      </c>
      <c r="I13" s="46" t="str">
        <f>_xlfn.XLOOKUP(A13,'DADOS DE VENDA'!Y:Y,'DADOS DE VENDA'!AB:AB,"SEM VENDA")</f>
        <v>SEM VENDA</v>
      </c>
      <c r="J13" s="42" t="str">
        <f>IFERROR(I13/E13,"0")</f>
        <v>0</v>
      </c>
      <c r="K13" s="43" t="str">
        <f>IFERROR(I13*G13,"0")</f>
        <v>0</v>
      </c>
      <c r="L13" s="49" t="str">
        <f>_xlfn.XLOOKUP(A13,'DADOS DE VENDA'!Y:Y,'DADOS DE VENDA'!AC:AC,"RUPTURA NO PERIODO")</f>
        <v>RUPTURA NO PERIODO</v>
      </c>
      <c r="M13" s="88" t="str" cm="1">
        <f t="array" ref="M13">_xlfn.IFS(C13&lt;I13,"ABAIXO",C13&gt;I13,"ACIMA",C13=I13,"OK")</f>
        <v>ABAIXO</v>
      </c>
      <c r="P13" s="87">
        <f t="shared" si="0"/>
        <v>0</v>
      </c>
      <c r="Q13" s="29" t="str">
        <f>_xlfn.XLOOKUP(P13,'[1]ESCALA DE PRODUÇÃO'!$AL$1:$AL$1048566,'[1]ESCALA DE PRODUÇÃO'!$AJ$1:$AJ$1048566,"NÃO ENCOTRADO")</f>
        <v>NÃO ENCOTRADO</v>
      </c>
      <c r="R13" s="44">
        <f t="shared" si="1"/>
        <v>0</v>
      </c>
      <c r="S13" s="45">
        <f t="shared" si="2"/>
        <v>0</v>
      </c>
    </row>
    <row r="14" spans="1:19" ht="15" thickBot="1" x14ac:dyDescent="0.4">
      <c r="A14" s="85" t="s">
        <v>8</v>
      </c>
      <c r="B14" s="6" t="s">
        <v>167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P14" s="85" t="s">
        <v>8</v>
      </c>
      <c r="Q14" s="6" t="s">
        <v>167</v>
      </c>
      <c r="R14" s="3" t="s">
        <v>2</v>
      </c>
      <c r="S14" s="3" t="s">
        <v>6</v>
      </c>
    </row>
    <row r="15" spans="1:19" ht="19" thickBot="1" x14ac:dyDescent="0.5">
      <c r="A15" s="28">
        <f>('[1]ESCALA DE PRODUÇÃO'!V14)</f>
        <v>8328</v>
      </c>
      <c r="B15" s="29" t="str">
        <f>_xlfn.XLOOKUP(A15,'[1]ESCALA DE PRODUÇÃO'!$AL$1:$AL$1048566,'[1]ESCALA DE PRODUÇÃO'!$AJ$1:$AJ$1048566,"NÃO ENCOTRADO")</f>
        <v>008328 - ROTISSERIA FEIJAO BENDITO KG</v>
      </c>
      <c r="C15" s="44">
        <v>1.2</v>
      </c>
      <c r="D15" s="28" t="str">
        <f>_xlfn.XLOOKUP(A15,'[1]ESCALA DE PRODUÇÃO'!$AL$1:$AL$1048566,'[1]ESCALA DE PRODUÇÃO'!$AK$1:$AK$1048566,"0")</f>
        <v>KG/0001</v>
      </c>
      <c r="E15" s="32">
        <f>('[1]ESCALA DE PRODUÇÃO'!X14)</f>
        <v>0.18</v>
      </c>
      <c r="F15" s="45">
        <f>IFERROR(C15/E15,"0")</f>
        <v>6.666666666666667</v>
      </c>
      <c r="G15" s="30">
        <f>_xlfn.XLOOKUP(A15,'[1]ESCALA DE PRODUÇÃO'!$AL$1:$AL$1048566,'[1]ESCALA DE PRODUÇÃO'!$AM$1:$AM$1048566,"SEM PREÇO")</f>
        <v>34.9</v>
      </c>
      <c r="H15" s="33">
        <f>IFERROR(C15*G15,"0")</f>
        <v>41.879999999999995</v>
      </c>
      <c r="I15" s="46">
        <f>_xlfn.XLOOKUP(A15,'DADOS DE VENDA'!Y:Y,'DADOS DE VENDA'!AB:AB,"SEM VENDA")</f>
        <v>0.61</v>
      </c>
      <c r="J15" s="42">
        <f>IFERROR(I15/E15,"0")</f>
        <v>3.3888888888888888</v>
      </c>
      <c r="K15" s="43">
        <f>IFERROR(I15*G15,"0")</f>
        <v>21.288999999999998</v>
      </c>
      <c r="L15" s="49" t="str">
        <f>_xlfn.XLOOKUP(A15,'DADOS DE VENDA'!Y:Y,'DADOS DE VENDA'!AC:AC,"RUPTURA NO PERIODO")</f>
        <v>16/01 a 17/01</v>
      </c>
      <c r="M15" s="88" t="str" cm="1">
        <f t="array" ref="M15">_xlfn.IFS(C15&lt;I15,"ABAIXO",C15&gt;I15,"ACIMA",C15=I15,"OK")</f>
        <v>ACIMA</v>
      </c>
      <c r="P15" s="87">
        <f t="shared" si="0"/>
        <v>8328</v>
      </c>
      <c r="Q15" s="29" t="str">
        <f>_xlfn.XLOOKUP(P15,'[1]ESCALA DE PRODUÇÃO'!$AL$1:$AL$1048566,'[1]ESCALA DE PRODUÇÃO'!$AJ$1:$AJ$1048566,"NÃO ENCOTRADO")</f>
        <v>008328 - ROTISSERIA FEIJAO BENDITO KG</v>
      </c>
      <c r="R15" s="44">
        <f t="shared" si="1"/>
        <v>1.2</v>
      </c>
      <c r="S15" s="45">
        <f t="shared" si="2"/>
        <v>6.666666666666667</v>
      </c>
    </row>
    <row r="16" spans="1:19" ht="19" thickBot="1" x14ac:dyDescent="0.5">
      <c r="A16" s="28">
        <f>('[1]ESCALA DE PRODUÇÃO'!V15)</f>
        <v>0</v>
      </c>
      <c r="B16" s="29" t="str">
        <f>_xlfn.XLOOKUP(A16,'[1]ESCALA DE PRODUÇÃO'!$AL$1:$AL$1048566,'[1]ESCALA DE PRODUÇÃO'!$AJ$1:$AJ$1048566,"NÃO ENCOTRADO")</f>
        <v>NÃO ENCOTRADO</v>
      </c>
      <c r="C16" s="44">
        <v>0</v>
      </c>
      <c r="D16" s="28" t="str">
        <f>_xlfn.XLOOKUP(A16,'[1]ESCALA DE PRODUÇÃO'!$AL$1:$AL$1048566,'[1]ESCALA DE PRODUÇÃO'!$AK$1:$AK$1048566,"0")</f>
        <v>0</v>
      </c>
      <c r="E16" s="32">
        <f>('[1]ESCALA DE PRODUÇÃO'!X15)</f>
        <v>0</v>
      </c>
      <c r="F16" s="45" t="str">
        <f>IFERROR(C16/E16,"0")</f>
        <v>0</v>
      </c>
      <c r="G16" s="30" t="str">
        <f>_xlfn.XLOOKUP(A16,'[1]ESCALA DE PRODUÇÃO'!$AL$1:$AL$1048566,'[1]ESCALA DE PRODUÇÃO'!$AM$1:$AM$1048566,"SEM PREÇO")</f>
        <v>SEM PREÇO</v>
      </c>
      <c r="H16" s="33" t="str">
        <f>IFERROR(C16*G16,"0")</f>
        <v>0</v>
      </c>
      <c r="I16" s="46" t="str">
        <f>_xlfn.XLOOKUP(A16,'DADOS DE VENDA'!Y:Y,'DADOS DE VENDA'!AB:AB,"SEM VENDA")</f>
        <v>SEM VENDA</v>
      </c>
      <c r="J16" s="42" t="str">
        <f>IFERROR(I16/E16,"0")</f>
        <v>0</v>
      </c>
      <c r="K16" s="43" t="str">
        <f>IFERROR(I16*G16,"0")</f>
        <v>0</v>
      </c>
      <c r="L16" s="49" t="str">
        <f>_xlfn.XLOOKUP(A16,'DADOS DE VENDA'!Y:Y,'DADOS DE VENDA'!AC:AC,"RUPTURA NO PERIODO")</f>
        <v>RUPTURA NO PERIODO</v>
      </c>
      <c r="M16" s="88" t="str" cm="1">
        <f t="array" ref="M16">_xlfn.IFS(C16&lt;I16,"ABAIXO",C16&gt;I16,"ACIMA",C16=I16,"OK")</f>
        <v>ABAIXO</v>
      </c>
      <c r="P16" s="87">
        <f t="shared" si="0"/>
        <v>0</v>
      </c>
      <c r="Q16" s="29" t="str">
        <f>_xlfn.XLOOKUP(P16,'[1]ESCALA DE PRODUÇÃO'!$AL$1:$AL$1048566,'[1]ESCALA DE PRODUÇÃO'!$AJ$1:$AJ$1048566,"NÃO ENCOTRADO")</f>
        <v>NÃO ENCOTRADO</v>
      </c>
      <c r="R16" s="44">
        <f t="shared" si="1"/>
        <v>0</v>
      </c>
      <c r="S16" s="45" t="str">
        <f t="shared" si="2"/>
        <v>0</v>
      </c>
    </row>
    <row r="17" spans="1:19" ht="15" thickBot="1" x14ac:dyDescent="0.4">
      <c r="A17" s="85" t="s">
        <v>8</v>
      </c>
      <c r="B17" s="6" t="s">
        <v>168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P17" s="85" t="s">
        <v>8</v>
      </c>
      <c r="Q17" s="6" t="s">
        <v>168</v>
      </c>
      <c r="R17" s="3" t="s">
        <v>2</v>
      </c>
      <c r="S17" s="3" t="s">
        <v>6</v>
      </c>
    </row>
    <row r="18" spans="1:19" ht="19" thickBot="1" x14ac:dyDescent="0.5">
      <c r="A18" s="28">
        <f>('[1]ESCALA DE PRODUÇÃO'!V17)</f>
        <v>8279</v>
      </c>
      <c r="B18" s="29" t="str">
        <f>_xlfn.XLOOKUP(A18,'[1]ESCALA DE PRODUÇÃO'!$AL$1:$AL$1048566,'[1]ESCALA DE PRODUÇÃO'!$AJ$1:$AJ$1048566,"NÃO ENCOTRADO")</f>
        <v>008279 - ROTISSERIA COUVE FLOR EMPANADA BENDITO KG</v>
      </c>
      <c r="C18" s="44">
        <v>2</v>
      </c>
      <c r="D18" s="28" t="str">
        <f>_xlfn.XLOOKUP(A18,'[1]ESCALA DE PRODUÇÃO'!$AL$1:$AL$1048566,'[1]ESCALA DE PRODUÇÃO'!$AK$1:$AK$1048566,"0")</f>
        <v>KG/0001</v>
      </c>
      <c r="E18" s="32">
        <f>('[1]ESCALA DE PRODUÇÃO'!X17)</f>
        <v>0.15</v>
      </c>
      <c r="F18" s="45">
        <f>IFERROR(C18/E18,"0")</f>
        <v>13.333333333333334</v>
      </c>
      <c r="G18" s="30">
        <f>_xlfn.XLOOKUP(A18,'[1]ESCALA DE PRODUÇÃO'!$AL$1:$AL$1048566,'[1]ESCALA DE PRODUÇÃO'!$AM$1:$AM$1048566,"SEM PREÇO")</f>
        <v>34.9</v>
      </c>
      <c r="H18" s="33">
        <f>IFERROR(C18*G18,"0")</f>
        <v>69.8</v>
      </c>
      <c r="I18" s="46" t="str">
        <f>_xlfn.XLOOKUP(A18,'DADOS DE VENDA'!Y:Y,'DADOS DE VENDA'!AB:AB,"SEM VENDA")</f>
        <v>SEM VENDA</v>
      </c>
      <c r="J18" s="42" t="str">
        <f>IFERROR(I18/E18,"0")</f>
        <v>0</v>
      </c>
      <c r="K18" s="43" t="str">
        <f>IFERROR(I18*G18,"0")</f>
        <v>0</v>
      </c>
      <c r="L18" s="49" t="str">
        <f>_xlfn.XLOOKUP(A18,'DADOS DE VENDA'!Y:Y,'DADOS DE VENDA'!AC:AC,"RUPTURA NO PERIODO")</f>
        <v>RUPTURA NO PERIODO</v>
      </c>
      <c r="M18" s="88" t="str" cm="1">
        <f t="array" ref="M18">_xlfn.IFS(C18&lt;I18,"ABAIXO",C18&gt;I18,"ACIMA",C18=I18,"OK")</f>
        <v>ABAIXO</v>
      </c>
      <c r="P18" s="87">
        <f t="shared" si="0"/>
        <v>8279</v>
      </c>
      <c r="Q18" s="29" t="str">
        <f>_xlfn.XLOOKUP(P18,'[1]ESCALA DE PRODUÇÃO'!$AL$1:$AL$1048566,'[1]ESCALA DE PRODUÇÃO'!$AJ$1:$AJ$1048566,"NÃO ENCOTRADO")</f>
        <v>008279 - ROTISSERIA COUVE FLOR EMPANADA BENDITO KG</v>
      </c>
      <c r="R18" s="44">
        <f t="shared" si="1"/>
        <v>2</v>
      </c>
      <c r="S18" s="45">
        <f t="shared" si="2"/>
        <v>13.333333333333334</v>
      </c>
    </row>
    <row r="19" spans="1:19" ht="19" thickBot="1" x14ac:dyDescent="0.5">
      <c r="A19" s="28">
        <f>('[1]ESCALA DE PRODUÇÃO'!V18)</f>
        <v>8089</v>
      </c>
      <c r="B19" s="29" t="str">
        <f>_xlfn.XLOOKUP(A19,'[1]ESCALA DE PRODUÇÃO'!$AL$1:$AL$1048566,'[1]ESCALA DE PRODUÇÃO'!$AJ$1:$AJ$1048566,"NÃO ENCOTRADO")</f>
        <v>008089 - ROTISSERIA BATATA ASSADA BENDITO KG</v>
      </c>
      <c r="C19" s="44">
        <v>2</v>
      </c>
      <c r="D19" s="28" t="str">
        <f>_xlfn.XLOOKUP(A19,'[1]ESCALA DE PRODUÇÃO'!$AL$1:$AL$1048566,'[1]ESCALA DE PRODUÇÃO'!$AK$1:$AK$1048566,"0")</f>
        <v>KG/0001</v>
      </c>
      <c r="E19" s="32">
        <f>('[1]ESCALA DE PRODUÇÃO'!X18)</f>
        <v>0.15</v>
      </c>
      <c r="F19" s="45">
        <f>IFERROR(C19/E19,"0")</f>
        <v>13.333333333333334</v>
      </c>
      <c r="G19" s="30">
        <f>_xlfn.XLOOKUP(A19,'[1]ESCALA DE PRODUÇÃO'!$AL$1:$AL$1048566,'[1]ESCALA DE PRODUÇÃO'!$AM$1:$AM$1048566,"SEM PREÇO")</f>
        <v>49.9</v>
      </c>
      <c r="H19" s="33">
        <f>IFERROR(C19*G19,"0")</f>
        <v>99.8</v>
      </c>
      <c r="I19" s="46">
        <f>_xlfn.XLOOKUP(A19,'DADOS DE VENDA'!Y:Y,'DADOS DE VENDA'!AB:AB,"SEM VENDA")</f>
        <v>0.5</v>
      </c>
      <c r="J19" s="42">
        <f>IFERROR(I19/E19,"0")</f>
        <v>3.3333333333333335</v>
      </c>
      <c r="K19" s="43">
        <f>IFERROR(I19*G19,"0")</f>
        <v>24.95</v>
      </c>
      <c r="L19" s="49" t="str">
        <f>_xlfn.XLOOKUP(A19,'DADOS DE VENDA'!Y:Y,'DADOS DE VENDA'!AC:AC,"RUPTURA NO PERIODO")</f>
        <v>16/01 a 17/01</v>
      </c>
      <c r="M19" s="88" t="str" cm="1">
        <f t="array" ref="M19">_xlfn.IFS(C19&lt;I19,"ABAIXO",C19&gt;I19,"ACIMA",C19=I19,"OK")</f>
        <v>ACIMA</v>
      </c>
      <c r="P19" s="87">
        <f t="shared" si="0"/>
        <v>8089</v>
      </c>
      <c r="Q19" s="29" t="str">
        <f>_xlfn.XLOOKUP(P19,'[1]ESCALA DE PRODUÇÃO'!$AL$1:$AL$1048566,'[1]ESCALA DE PRODUÇÃO'!$AJ$1:$AJ$1048566,"NÃO ENCOTRADO")</f>
        <v>008089 - ROTISSERIA BATATA ASSADA BENDITO KG</v>
      </c>
      <c r="R19" s="44">
        <f t="shared" si="1"/>
        <v>2</v>
      </c>
      <c r="S19" s="45">
        <f t="shared" si="2"/>
        <v>13.333333333333334</v>
      </c>
    </row>
    <row r="20" spans="1:19" ht="19" thickBot="1" x14ac:dyDescent="0.5">
      <c r="A20" s="28">
        <f>('[1]ESCALA DE PRODUÇÃO'!V19)</f>
        <v>8292</v>
      </c>
      <c r="B20" s="29" t="str">
        <f>_xlfn.XLOOKUP(A20,'[1]ESCALA DE PRODUÇÃO'!$AL$1:$AL$1048566,'[1]ESCALA DE PRODUÇÃO'!$AJ$1:$AJ$1048566,"NÃO ENCOTRADO")</f>
        <v>008292 - ROTISSERIA CREME DE MILHO BENDITO KG</v>
      </c>
      <c r="C20" s="44">
        <v>0</v>
      </c>
      <c r="D20" s="28" t="str">
        <f>_xlfn.XLOOKUP(A20,'[1]ESCALA DE PRODUÇÃO'!$AL$1:$AL$1048566,'[1]ESCALA DE PRODUÇÃO'!$AK$1:$AK$1048566,"0")</f>
        <v>KG/0001</v>
      </c>
      <c r="E20" s="32">
        <f>('[1]ESCALA DE PRODUÇÃO'!X19)</f>
        <v>0</v>
      </c>
      <c r="F20" s="45" t="str">
        <f>IFERROR(C20/E20,"0")</f>
        <v>0</v>
      </c>
      <c r="G20" s="30">
        <f>_xlfn.XLOOKUP(A20,'[1]ESCALA DE PRODUÇÃO'!$AL$1:$AL$1048566,'[1]ESCALA DE PRODUÇÃO'!$AM$1:$AM$1048566,"SEM PREÇO")</f>
        <v>41.9</v>
      </c>
      <c r="H20" s="33">
        <f>IFERROR(C20*G20,"0")</f>
        <v>0</v>
      </c>
      <c r="I20" s="46" t="str">
        <f>_xlfn.XLOOKUP(A20,'DADOS DE VENDA'!Y:Y,'DADOS DE VENDA'!AB:AB,"SEM VENDA")</f>
        <v>SEM VENDA</v>
      </c>
      <c r="J20" s="42" t="str">
        <f>IFERROR(I20/E20,"0")</f>
        <v>0</v>
      </c>
      <c r="K20" s="43" t="str">
        <f>IFERROR(I20*G20,"0")</f>
        <v>0</v>
      </c>
      <c r="L20" s="49" t="str">
        <f>_xlfn.XLOOKUP(A20,'DADOS DE VENDA'!Y:Y,'DADOS DE VENDA'!AC:AC,"RUPTURA NO PERIODO")</f>
        <v>RUPTURA NO PERIODO</v>
      </c>
      <c r="M20" s="88" t="str" cm="1">
        <f t="array" ref="M20">_xlfn.IFS(C20&lt;I20,"ABAIXO",C20&gt;I20,"ACIMA",C20=I20,"OK")</f>
        <v>ABAIXO</v>
      </c>
      <c r="P20" s="87">
        <f t="shared" si="0"/>
        <v>8292</v>
      </c>
      <c r="Q20" s="29" t="str">
        <f>_xlfn.XLOOKUP(P20,'[1]ESCALA DE PRODUÇÃO'!$AL$1:$AL$1048566,'[1]ESCALA DE PRODUÇÃO'!$AJ$1:$AJ$1048566,"NÃO ENCOTRADO")</f>
        <v>008292 - ROTISSERIA CREME DE MILHO BENDITO KG</v>
      </c>
      <c r="R20" s="44">
        <f t="shared" si="1"/>
        <v>0</v>
      </c>
      <c r="S20" s="45" t="str">
        <f t="shared" si="2"/>
        <v>0</v>
      </c>
    </row>
    <row r="21" spans="1:19" ht="15" thickBot="1" x14ac:dyDescent="0.4">
      <c r="A21" s="85" t="s">
        <v>8</v>
      </c>
      <c r="B21" s="6" t="s">
        <v>169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P21" s="85" t="s">
        <v>8</v>
      </c>
      <c r="Q21" s="6" t="s">
        <v>169</v>
      </c>
      <c r="R21" s="3" t="s">
        <v>2</v>
      </c>
      <c r="S21" s="3" t="s">
        <v>6</v>
      </c>
    </row>
    <row r="22" spans="1:19" ht="19" thickBot="1" x14ac:dyDescent="0.5">
      <c r="A22" s="28">
        <f>('[1]ESCALA DE PRODUÇÃO'!V21)</f>
        <v>8381</v>
      </c>
      <c r="B22" s="29" t="str">
        <f>_xlfn.XLOOKUP(A22,'[1]ESCALA DE PRODUÇÃO'!$AL$1:$AL$1048566,'[1]ESCALA DE PRODUÇÃO'!$AJ$1:$AJ$1048566,"NÃO ENCOTRADO")</f>
        <v>008381 - ROTISSERIA FRANGO XADREZ BENDITO KG</v>
      </c>
      <c r="C22" s="44">
        <v>2.1</v>
      </c>
      <c r="D22" s="28" t="str">
        <f>_xlfn.XLOOKUP(A22,'[1]ESCALA DE PRODUÇÃO'!$AL$1:$AL$1048566,'[1]ESCALA DE PRODUÇÃO'!$AK$1:$AK$1048566,"0")</f>
        <v>KG/0001</v>
      </c>
      <c r="E22" s="32">
        <f>('[1]ESCALA DE PRODUÇÃO'!X21)</f>
        <v>0.15</v>
      </c>
      <c r="F22" s="45">
        <f>IFERROR(C22/E22,"0")</f>
        <v>14.000000000000002</v>
      </c>
      <c r="G22" s="30">
        <f>_xlfn.XLOOKUP(A22,'[1]ESCALA DE PRODUÇÃO'!$AL$1:$AL$1048566,'[1]ESCALA DE PRODUÇÃO'!$AM$1:$AM$1048566,"SEM PREÇO")</f>
        <v>49.9</v>
      </c>
      <c r="H22" s="33">
        <f>IFERROR(C22*G22,"0")</f>
        <v>104.79</v>
      </c>
      <c r="I22" s="46">
        <f>_xlfn.XLOOKUP(A22,'DADOS DE VENDA'!Y:Y,'DADOS DE VENDA'!AB:AB,"SEM VENDA")</f>
        <v>1.47</v>
      </c>
      <c r="J22" s="42">
        <f>IFERROR(I22/E22,"0")</f>
        <v>9.8000000000000007</v>
      </c>
      <c r="K22" s="43">
        <f>IFERROR(I22*G22,"0")</f>
        <v>73.352999999999994</v>
      </c>
      <c r="L22" s="49" t="str">
        <f>_xlfn.XLOOKUP(A22,'DADOS DE VENDA'!Y:Y,'DADOS DE VENDA'!AC:AC,"RUPTURA NO PERIODO")</f>
        <v>16/01 a 17/01</v>
      </c>
      <c r="M22" s="88" t="str" cm="1">
        <f t="array" ref="M22">_xlfn.IFS(C22&lt;I22,"ABAIXO",C22&gt;I22,"ACIMA",C22=I22,"OK")</f>
        <v>ACIMA</v>
      </c>
      <c r="P22" s="87">
        <f t="shared" si="0"/>
        <v>8381</v>
      </c>
      <c r="Q22" s="29" t="str">
        <f>_xlfn.XLOOKUP(P22,'[1]ESCALA DE PRODUÇÃO'!$AL$1:$AL$1048566,'[1]ESCALA DE PRODUÇÃO'!$AJ$1:$AJ$1048566,"NÃO ENCOTRADO")</f>
        <v>008381 - ROTISSERIA FRANGO XADREZ BENDITO KG</v>
      </c>
      <c r="R22" s="44">
        <f t="shared" si="1"/>
        <v>2.1</v>
      </c>
      <c r="S22" s="45">
        <f t="shared" si="2"/>
        <v>14.000000000000002</v>
      </c>
    </row>
    <row r="23" spans="1:19" ht="19" thickBot="1" x14ac:dyDescent="0.5">
      <c r="A23" s="28">
        <f>('[1]ESCALA DE PRODUÇÃO'!V22)</f>
        <v>8834</v>
      </c>
      <c r="B23" s="29" t="str">
        <f>_xlfn.XLOOKUP(A23,'[1]ESCALA DE PRODUÇÃO'!$AL$1:$AL$1048566,'[1]ESCALA DE PRODUÇÃO'!$AJ$1:$AJ$1048566,"NÃO ENCOTRADO")</f>
        <v>008834 - ROTISSERIA STROGONOFF DE CARNE BENDITO KG</v>
      </c>
      <c r="C23" s="44">
        <v>2</v>
      </c>
      <c r="D23" s="28" t="str">
        <f>_xlfn.XLOOKUP(A23,'[1]ESCALA DE PRODUÇÃO'!$AL$1:$AL$1048566,'[1]ESCALA DE PRODUÇÃO'!$AK$1:$AK$1048566,"0")</f>
        <v>KG/0001</v>
      </c>
      <c r="E23" s="32">
        <f>('[1]ESCALA DE PRODUÇÃO'!X22)</f>
        <v>0.15</v>
      </c>
      <c r="F23" s="45">
        <f>IFERROR(C23/E23,"0")</f>
        <v>13.333333333333334</v>
      </c>
      <c r="G23" s="30">
        <f>_xlfn.XLOOKUP(A23,'[1]ESCALA DE PRODUÇÃO'!$AL$1:$AL$1048566,'[1]ESCALA DE PRODUÇÃO'!$AM$1:$AM$1048566,"SEM PREÇO")</f>
        <v>63.9</v>
      </c>
      <c r="H23" s="33">
        <f>IFERROR(C23*G23,"0")</f>
        <v>127.8</v>
      </c>
      <c r="I23" s="46">
        <f>_xlfn.XLOOKUP(A23,'DADOS DE VENDA'!Y:Y,'DADOS DE VENDA'!AB:AB,"SEM VENDA")</f>
        <v>0.99</v>
      </c>
      <c r="J23" s="42">
        <f>IFERROR(I23/E23,"0")</f>
        <v>6.6000000000000005</v>
      </c>
      <c r="K23" s="43">
        <f>IFERROR(I23*G23,"0")</f>
        <v>63.260999999999996</v>
      </c>
      <c r="L23" s="49" t="str">
        <f>_xlfn.XLOOKUP(A23,'DADOS DE VENDA'!Y:Y,'DADOS DE VENDA'!AC:AC,"RUPTURA NO PERIODO")</f>
        <v>16/01 a 17/01</v>
      </c>
      <c r="M23" s="88" t="str" cm="1">
        <f t="array" ref="M23">_xlfn.IFS(C23&lt;I23,"ABAIXO",C23&gt;I23,"ACIMA",C23=I23,"OK")</f>
        <v>ACIMA</v>
      </c>
      <c r="P23" s="87">
        <f t="shared" si="0"/>
        <v>8834</v>
      </c>
      <c r="Q23" s="29" t="str">
        <f>_xlfn.XLOOKUP(P23,'[1]ESCALA DE PRODUÇÃO'!$AL$1:$AL$1048566,'[1]ESCALA DE PRODUÇÃO'!$AJ$1:$AJ$1048566,"NÃO ENCOTRADO")</f>
        <v>008834 - ROTISSERIA STROGONOFF DE CARNE BENDITO KG</v>
      </c>
      <c r="R23" s="44">
        <f t="shared" si="1"/>
        <v>2</v>
      </c>
      <c r="S23" s="45">
        <f t="shared" si="2"/>
        <v>13.333333333333334</v>
      </c>
    </row>
    <row r="24" spans="1:19" ht="19" thickBot="1" x14ac:dyDescent="0.5">
      <c r="A24" s="28">
        <f>('[1]ESCALA DE PRODUÇÃO'!V23)</f>
        <v>0</v>
      </c>
      <c r="B24" s="29" t="str">
        <f>_xlfn.XLOOKUP(A24,'[1]ESCALA DE PRODUÇÃO'!$AL$1:$AL$1048566,'[1]ESCALA DE PRODUÇÃO'!$AJ$1:$AJ$1048566,"NÃO ENCOTRADO")</f>
        <v>NÃO ENCOTRADO</v>
      </c>
      <c r="C24" s="44">
        <v>2</v>
      </c>
      <c r="D24" s="28" t="str">
        <f>_xlfn.XLOOKUP(A24,'[1]ESCALA DE PRODUÇÃO'!$AL$1:$AL$1048566,'[1]ESCALA DE PRODUÇÃO'!$AK$1:$AK$1048566,"0")</f>
        <v>0</v>
      </c>
      <c r="E24" s="32">
        <f>('[1]ESCALA DE PRODUÇÃO'!X23)</f>
        <v>0</v>
      </c>
      <c r="F24" s="45" t="str">
        <f>IFERROR(C24/E24,"0")</f>
        <v>0</v>
      </c>
      <c r="G24" s="30" t="str">
        <f>_xlfn.XLOOKUP(A24,'[1]ESCALA DE PRODUÇÃO'!$AL$1:$AL$1048566,'[1]ESCALA DE PRODUÇÃO'!$AM$1:$AM$1048566,"SEM PREÇO")</f>
        <v>SEM PREÇO</v>
      </c>
      <c r="H24" s="33" t="str">
        <f>IFERROR(C24*G24,"0")</f>
        <v>0</v>
      </c>
      <c r="I24" s="46" t="str">
        <f>_xlfn.XLOOKUP(A24,'DADOS DE VENDA'!Y:Y,'DADOS DE VENDA'!AB:AB,"SEM VENDA")</f>
        <v>SEM VENDA</v>
      </c>
      <c r="J24" s="42" t="str">
        <f>IFERROR(I24/E24,"0")</f>
        <v>0</v>
      </c>
      <c r="K24" s="43" t="str">
        <f>IFERROR(I24*G24,"0")</f>
        <v>0</v>
      </c>
      <c r="L24" s="49" t="str">
        <f>_xlfn.XLOOKUP(A24,'DADOS DE VENDA'!Y:Y,'DADOS DE VENDA'!AC:AC,"RUPTURA NO PERIODO")</f>
        <v>RUPTURA NO PERIODO</v>
      </c>
      <c r="M24" s="88" t="str" cm="1">
        <f t="array" ref="M24">_xlfn.IFS(C24&lt;I24,"ABAIXO",C24&gt;I24,"ACIMA",C24=I24,"OK")</f>
        <v>ABAIXO</v>
      </c>
      <c r="P24" s="87">
        <f t="shared" si="0"/>
        <v>0</v>
      </c>
      <c r="Q24" s="29" t="str">
        <f>_xlfn.XLOOKUP(P24,'[1]ESCALA DE PRODUÇÃO'!$AL$1:$AL$1048566,'[1]ESCALA DE PRODUÇÃO'!$AJ$1:$AJ$1048566,"NÃO ENCOTRADO")</f>
        <v>NÃO ENCOTRADO</v>
      </c>
      <c r="R24" s="44">
        <f t="shared" si="1"/>
        <v>2</v>
      </c>
      <c r="S24" s="45" t="str">
        <f t="shared" si="2"/>
        <v>0</v>
      </c>
    </row>
    <row r="25" spans="1:19" ht="15" thickBot="1" x14ac:dyDescent="0.4">
      <c r="A25" s="85" t="s">
        <v>8</v>
      </c>
      <c r="B25" s="6" t="s">
        <v>170</v>
      </c>
      <c r="C25" s="3" t="s">
        <v>2</v>
      </c>
      <c r="D25" s="3" t="s">
        <v>106</v>
      </c>
      <c r="E25" s="3" t="s">
        <v>4</v>
      </c>
      <c r="F25" s="3" t="s">
        <v>6</v>
      </c>
      <c r="G25" s="4" t="s">
        <v>3</v>
      </c>
      <c r="H25" s="3" t="s">
        <v>5</v>
      </c>
      <c r="I25" s="7" t="s">
        <v>157</v>
      </c>
      <c r="J25" s="7" t="s">
        <v>152</v>
      </c>
      <c r="K25" s="7" t="s">
        <v>153</v>
      </c>
      <c r="L25" s="3" t="s">
        <v>104</v>
      </c>
      <c r="M25" s="86" t="s">
        <v>105</v>
      </c>
      <c r="P25" s="85" t="s">
        <v>8</v>
      </c>
      <c r="Q25" s="6" t="s">
        <v>170</v>
      </c>
      <c r="R25" s="3" t="s">
        <v>2</v>
      </c>
      <c r="S25" s="3" t="s">
        <v>6</v>
      </c>
    </row>
    <row r="26" spans="1:19" ht="19" thickBot="1" x14ac:dyDescent="0.5">
      <c r="A26" s="28">
        <f>('[1]ESCALA DE PRODUÇÃO'!V26)</f>
        <v>0</v>
      </c>
      <c r="B26" s="29" t="str">
        <f>_xlfn.XLOOKUP(A26,'[1]ESCALA DE PRODUÇÃO'!$AL$1:$AL$1048566,'[1]ESCALA DE PRODUÇÃO'!$AJ$1:$AJ$1048566,"NÃO ENCOTRADO")</f>
        <v>NÃO ENCOTRADO</v>
      </c>
      <c r="C26" s="44">
        <v>0</v>
      </c>
      <c r="D26" s="28" t="str">
        <f>_xlfn.XLOOKUP(A26,'[1]ESCALA DE PRODUÇÃO'!$AL$1:$AL$1048566,'[1]ESCALA DE PRODUÇÃO'!$AK$1:$AK$1048566,"0")</f>
        <v>0</v>
      </c>
      <c r="E26" s="32">
        <f>('[1]ESCALA DE PRODUÇÃO'!X25)</f>
        <v>0</v>
      </c>
      <c r="F26" s="45" t="str">
        <f>IFERROR(C26/E26,"0")</f>
        <v>0</v>
      </c>
      <c r="G26" s="30" t="str">
        <f>_xlfn.XLOOKUP(A26,'[1]ESCALA DE PRODUÇÃO'!$AL$1:$AL$1048566,'[1]ESCALA DE PRODUÇÃO'!$AM$1:$AM$1048566,"SEM PREÇO")</f>
        <v>SEM PREÇO</v>
      </c>
      <c r="H26" s="33" t="str">
        <f>IFERROR(C26*G26,"0")</f>
        <v>0</v>
      </c>
      <c r="I26" s="46" t="str">
        <f>_xlfn.XLOOKUP(A26,'DADOS DE VENDA'!Y:Y,'DADOS DE VENDA'!AB:AB,"SEM VENDA")</f>
        <v>SEM VENDA</v>
      </c>
      <c r="J26" s="42" t="str">
        <f>IFERROR(I26/E26,"0")</f>
        <v>0</v>
      </c>
      <c r="K26" s="43" t="str">
        <f>IFERROR(I26*G26,"0")</f>
        <v>0</v>
      </c>
      <c r="L26" s="49" t="str">
        <f>_xlfn.XLOOKUP(A26,'DADOS DE VENDA'!Y:Y,'DADOS DE VENDA'!AC:AC,"RUPTURA NO PERIODO")</f>
        <v>RUPTURA NO PERIODO</v>
      </c>
      <c r="M26" s="88" t="str" cm="1">
        <f t="array" ref="M26">_xlfn.IFS(C26&lt;I26,"ABAIXO",C26&gt;I26,"ACIMA",C26=I26,"OK")</f>
        <v>ABAIXO</v>
      </c>
      <c r="P26" s="87">
        <f t="shared" si="0"/>
        <v>0</v>
      </c>
      <c r="Q26" s="29" t="str">
        <f>_xlfn.XLOOKUP(P26,'[1]ESCALA DE PRODUÇÃO'!$AL$1:$AL$1048566,'[1]ESCALA DE PRODUÇÃO'!$AJ$1:$AJ$1048566,"NÃO ENCOTRADO")</f>
        <v>NÃO ENCOTRADO</v>
      </c>
      <c r="R26" s="44">
        <f t="shared" si="1"/>
        <v>0</v>
      </c>
      <c r="S26" s="45" t="str">
        <f t="shared" si="2"/>
        <v>0</v>
      </c>
    </row>
    <row r="27" spans="1:19" ht="19" thickBot="1" x14ac:dyDescent="0.5">
      <c r="A27" s="67">
        <v>0</v>
      </c>
      <c r="B27" s="68" t="str">
        <f>_xlfn.XLOOKUP(A27,'[1]ESCALA DE PRODUÇÃO'!$AL$1:$AL$1048566,'[1]ESCALA DE PRODUÇÃO'!$AJ$1:$AJ$1048566,"NÃO ENCOTRADO")</f>
        <v>NÃO ENCOTRADO</v>
      </c>
      <c r="C27" s="69">
        <v>0</v>
      </c>
      <c r="D27" s="67" t="str">
        <f>_xlfn.XLOOKUP(A27,'[1]ESCALA DE PRODUÇÃO'!$AL$1:$AL$1048566,'[1]ESCALA DE PRODUÇÃO'!$AK$1:$AK$1048566,"0")</f>
        <v>0</v>
      </c>
      <c r="E27" s="32">
        <f>('[1]ESCALA DE PRODUÇÃO'!X26)</f>
        <v>0</v>
      </c>
      <c r="F27" s="71" t="str">
        <f>IFERROR(C27/E27,"0")</f>
        <v>0</v>
      </c>
      <c r="G27" s="72" t="str">
        <f>_xlfn.XLOOKUP(A27,'[1]ESCALA DE PRODUÇÃO'!$AL$1:$AL$1048566,'[1]ESCALA DE PRODUÇÃO'!$AM$1:$AM$1048566,"SEM PREÇO")</f>
        <v>SEM PREÇO</v>
      </c>
      <c r="H27" s="73" t="str">
        <f>IFERROR(C27*G27,"0")</f>
        <v>0</v>
      </c>
      <c r="I27" s="46" t="str">
        <f>_xlfn.XLOOKUP(A27,'DADOS DE VENDA'!Y:Y,'DADOS DE VENDA'!AB:AB,"SEM VENDA")</f>
        <v>SEM VENDA</v>
      </c>
      <c r="J27" s="75" t="str">
        <f>IFERROR(I27/E27,"0")</f>
        <v>0</v>
      </c>
      <c r="K27" s="76" t="str">
        <f>IFERROR(I27*G27,"0")</f>
        <v>0</v>
      </c>
      <c r="L27" s="49" t="str">
        <f>_xlfn.XLOOKUP(A27,'DADOS DE VENDA'!Y:Y,'DADOS DE VENDA'!AC:AC,"RUPTURA NO PERIODO")</f>
        <v>RUPTURA NO PERIODO</v>
      </c>
      <c r="M27" s="102" t="str" cm="1">
        <f t="array" ref="M27">_xlfn.IFS(C27&lt;I27,"ABAIXO",C27&gt;I27,"ACIMA",C27=I27,"OK")</f>
        <v>ABAIXO</v>
      </c>
      <c r="P27" s="87">
        <f t="shared" si="0"/>
        <v>0</v>
      </c>
      <c r="Q27" s="90" t="str">
        <f>_xlfn.XLOOKUP(P27,'[1]ESCALA DE PRODUÇÃO'!$AL$1:$AL$1048566,'[1]ESCALA DE PRODUÇÃO'!$AJ$1:$AJ$1048566,"NÃO ENCOTRADO")</f>
        <v>NÃO ENCOTRADO</v>
      </c>
      <c r="R27" s="69">
        <f t="shared" si="1"/>
        <v>0</v>
      </c>
      <c r="S27" s="45" t="str">
        <f t="shared" si="2"/>
        <v>0</v>
      </c>
    </row>
    <row r="28" spans="1:19" ht="19" thickBot="1" x14ac:dyDescent="0.5">
      <c r="A28" s="109"/>
      <c r="B28" s="110" t="s">
        <v>176</v>
      </c>
      <c r="C28" s="110" t="s">
        <v>173</v>
      </c>
      <c r="D28" s="187"/>
      <c r="E28" s="188"/>
      <c r="F28" s="111" t="s">
        <v>174</v>
      </c>
      <c r="G28" s="189">
        <f>SUM(H4+H5+H6+H8+H9+H10+H12+H13+H15+H16+H18+H19+H20+H22+H24+H26+H27)</f>
        <v>1188.07</v>
      </c>
      <c r="H28" s="190"/>
      <c r="I28" s="46">
        <f>_xlfn.XLOOKUP(A28,'DADOS DE VENDA'!Y:Y,'DADOS DE VENDA'!AB:AB,"SEM VENDA")</f>
        <v>0</v>
      </c>
      <c r="J28" s="191">
        <f>SUM(K4+K5+K6+K8+K9+K10+K12+K13+K15+K16+K18+K19+K20+K22+K24+K26+K27)</f>
        <v>1024.3869999999999</v>
      </c>
      <c r="K28" s="192"/>
      <c r="L28" s="112"/>
      <c r="M28" s="113"/>
      <c r="P28" s="147" t="s">
        <v>5</v>
      </c>
      <c r="Q28" s="148"/>
      <c r="R28" s="149">
        <f>G28</f>
        <v>1188.07</v>
      </c>
      <c r="S28" s="150"/>
    </row>
    <row r="29" spans="1:19" ht="18.5" x14ac:dyDescent="0.45">
      <c r="C29" s="78"/>
      <c r="E29" s="114"/>
      <c r="F29" s="79"/>
      <c r="G29" s="80"/>
      <c r="H29" s="80"/>
      <c r="I29" s="81"/>
      <c r="J29" s="115"/>
      <c r="K29" s="83"/>
      <c r="M29" s="84"/>
      <c r="R29" s="78"/>
      <c r="S29" s="79"/>
    </row>
    <row r="30" spans="1:19" ht="19" thickBot="1" x14ac:dyDescent="0.5">
      <c r="C30" s="78"/>
      <c r="E30" s="114"/>
      <c r="F30" s="79"/>
      <c r="G30" s="80"/>
      <c r="H30" s="80"/>
      <c r="I30" s="81"/>
      <c r="J30" s="115"/>
      <c r="K30" s="83"/>
      <c r="M30" s="84"/>
      <c r="R30" s="78"/>
      <c r="S30" s="79"/>
    </row>
    <row r="31" spans="1:19" ht="21.5" thickBot="1" x14ac:dyDescent="0.55000000000000004">
      <c r="A31" s="205" t="s">
        <v>195</v>
      </c>
      <c r="B31" s="206"/>
      <c r="C31" s="206"/>
      <c r="D31" s="206"/>
      <c r="E31" s="206"/>
      <c r="F31" s="206"/>
      <c r="G31" s="206"/>
      <c r="H31" s="206"/>
      <c r="I31" s="206" t="s">
        <v>171</v>
      </c>
      <c r="J31" s="206"/>
      <c r="K31" s="206"/>
      <c r="L31" s="206"/>
      <c r="M31" s="207"/>
      <c r="P31" s="157" t="str">
        <f>P1</f>
        <v>SEXTA (LOJA 1 DESCONTÃO-ROTISSERIA)</v>
      </c>
      <c r="Q31" s="158"/>
      <c r="R31" s="132" t="s">
        <v>102</v>
      </c>
      <c r="S31" s="131">
        <f>S1</f>
        <v>46048</v>
      </c>
    </row>
    <row r="32" spans="1:19" ht="15" thickBot="1" x14ac:dyDescent="0.4">
      <c r="A32" s="151" t="s">
        <v>178</v>
      </c>
      <c r="B32" s="152"/>
      <c r="C32" s="145" t="s">
        <v>155</v>
      </c>
      <c r="D32" s="146"/>
      <c r="E32" s="146"/>
      <c r="F32" s="146"/>
      <c r="G32" s="146"/>
      <c r="H32" s="156"/>
      <c r="I32" s="146" t="s">
        <v>156</v>
      </c>
      <c r="J32" s="146"/>
      <c r="K32" s="146"/>
      <c r="L32" s="146"/>
      <c r="M32" s="153"/>
      <c r="P32" s="151" t="s">
        <v>178</v>
      </c>
      <c r="Q32" s="152"/>
      <c r="R32" s="145" t="s">
        <v>155</v>
      </c>
      <c r="S32" s="146"/>
    </row>
    <row r="33" spans="1:19" ht="15" thickBot="1" x14ac:dyDescent="0.4">
      <c r="A33" s="85" t="s">
        <v>8</v>
      </c>
      <c r="B33" s="6" t="s">
        <v>177</v>
      </c>
      <c r="C33" s="3" t="s">
        <v>2</v>
      </c>
      <c r="D33" s="3" t="s">
        <v>106</v>
      </c>
      <c r="E33" s="3" t="s">
        <v>4</v>
      </c>
      <c r="F33" s="3" t="s">
        <v>6</v>
      </c>
      <c r="G33" s="4" t="s">
        <v>3</v>
      </c>
      <c r="H33" s="3" t="s">
        <v>5</v>
      </c>
      <c r="I33" s="7" t="s">
        <v>157</v>
      </c>
      <c r="J33" s="7" t="s">
        <v>152</v>
      </c>
      <c r="K33" s="7" t="s">
        <v>153</v>
      </c>
      <c r="L33" s="3" t="s">
        <v>104</v>
      </c>
      <c r="M33" s="86" t="s">
        <v>105</v>
      </c>
      <c r="P33" s="85" t="s">
        <v>8</v>
      </c>
      <c r="Q33" s="6" t="s">
        <v>177</v>
      </c>
      <c r="R33" s="3" t="s">
        <v>2</v>
      </c>
      <c r="S33" s="3" t="s">
        <v>6</v>
      </c>
    </row>
    <row r="34" spans="1:19" ht="19" thickBot="1" x14ac:dyDescent="0.5">
      <c r="A34" s="87" t="str">
        <f>'[1]ESCALA DE PRODUÇÃO'!V28</f>
        <v>COD</v>
      </c>
      <c r="B34" s="29" t="str">
        <f>_xlfn.XLOOKUP(A34,'[1]ESCALA DE PRODUÇÃO'!$AL$1:$AL$1048566,'[1]ESCALA DE PRODUÇÃO'!$AJ$1:$AJ$1048566,"NÃO ENCOTRADO")</f>
        <v>NÃO ENCOTRADO</v>
      </c>
      <c r="C34" s="44">
        <v>8</v>
      </c>
      <c r="D34" s="28" t="str">
        <f>_xlfn.XLOOKUP(A34,'[1]ESCALA DE PRODUÇÃO'!$AL$1:$AL$1048566,'[1]ESCALA DE PRODUÇÃO'!$AK$1:$AK$1048566,"0")</f>
        <v>0</v>
      </c>
      <c r="E34" s="32" t="str">
        <f>('[1]ESCALA DE PRODUÇÃO'!$X$28)</f>
        <v>PESO  P/PCT</v>
      </c>
      <c r="F34" s="45">
        <v>10</v>
      </c>
      <c r="G34" s="30" t="str">
        <f>_xlfn.XLOOKUP(A34,'[1]ESCALA DE PRODUÇÃO'!$AL$1:$AL$1048566,'[1]ESCALA DE PRODUÇÃO'!$AM$1:$AM$1048566,"SEM PREÇO")</f>
        <v>SEM PREÇO</v>
      </c>
      <c r="H34" s="33" t="str">
        <f>IFERROR(C34*G34,"0")</f>
        <v>0</v>
      </c>
      <c r="I34" s="50" t="str">
        <f>_xlfn.XLOOKUP(A34,'DADOS DE VENDA'!Y:Y,'DADOS DE VENDA'!AB:AB,"SEM VENDA")</f>
        <v>SEM VENDA</v>
      </c>
      <c r="J34" s="42" t="str">
        <f>IFERROR(I34/E34,"0")</f>
        <v>0</v>
      </c>
      <c r="K34" s="43" t="str">
        <f>IFERROR(I34*G34,"0")</f>
        <v>0</v>
      </c>
      <c r="L34" s="51" t="str">
        <f>_xlfn.XLOOKUP(A34,'DADOS DE VENDA'!Y:Y,'DADOS DE VENDA'!AC:AC,"RUPTURA NO PERIODO")</f>
        <v>RUPTURA NO PERIODO</v>
      </c>
      <c r="M34" s="88" t="str" cm="1">
        <f t="array" ref="M34">_xlfn.IFS(C34&lt;I34,"ABAIXO",C34&gt;I34,"ACIMA",C34=I34,"OK")</f>
        <v>ABAIXO</v>
      </c>
      <c r="P34" s="87" t="str">
        <f>(A34)</f>
        <v>COD</v>
      </c>
      <c r="Q34" s="29" t="str">
        <f>_xlfn.XLOOKUP(P34,'[1]ESCALA DE PRODUÇÃO'!$AL$1:$AL$1048566,'[1]ESCALA DE PRODUÇÃO'!$AJ$1:$AJ$1048566,"NÃO ENCOTRADO")</f>
        <v>NÃO ENCOTRADO</v>
      </c>
      <c r="R34" s="44">
        <f>C34</f>
        <v>8</v>
      </c>
      <c r="S34" s="45">
        <f>F34</f>
        <v>10</v>
      </c>
    </row>
    <row r="35" spans="1:19" ht="19" thickBot="1" x14ac:dyDescent="0.5">
      <c r="A35" s="87">
        <f>'[1]ESCALA DE PRODUÇÃO'!V29</f>
        <v>8963</v>
      </c>
      <c r="B35" s="29" t="str">
        <f>_xlfn.XLOOKUP(A35,'[1]ESCALA DE PRODUÇÃO'!$AL$1:$AL$1048566,'[1]ESCALA DE PRODUÇÃO'!$AJ$1:$AJ$1048566,"NÃO ENCOTRADO")</f>
        <v>008963 - ROTISSERIA SALADA CEASER C/FRANGO BENDITO</v>
      </c>
      <c r="C35" s="44">
        <v>0</v>
      </c>
      <c r="D35" s="28" t="str">
        <f>_xlfn.XLOOKUP(A35,'[1]ESCALA DE PRODUÇÃO'!$AL$1:$AL$1048566,'[1]ESCALA DE PRODUÇÃO'!$AK$1:$AK$1048566,"0")</f>
        <v>UN/0001</v>
      </c>
      <c r="E35" s="32" t="str">
        <f>('[1]ESCALA DE PRODUÇÃO'!$X$28)</f>
        <v>PESO  P/PCT</v>
      </c>
      <c r="F35" s="45" t="str">
        <f>IFERROR(C35/E35,"0")</f>
        <v>0</v>
      </c>
      <c r="G35" s="30">
        <f>_xlfn.XLOOKUP(A35,'[1]ESCALA DE PRODUÇÃO'!$AL$1:$AL$1048566,'[1]ESCALA DE PRODUÇÃO'!$AM$1:$AM$1048566,"SEM PREÇO")</f>
        <v>24.9</v>
      </c>
      <c r="H35" s="33">
        <f>IFERROR(C35*G35,"0")</f>
        <v>0</v>
      </c>
      <c r="I35" s="50">
        <f>_xlfn.XLOOKUP(A35,'DADOS DE VENDA'!Y:Y,'DADOS DE VENDA'!AB:AB,"SEM VENDA")</f>
        <v>3</v>
      </c>
      <c r="J35" s="42" t="str">
        <f>IFERROR(I35/E35,"0")</f>
        <v>0</v>
      </c>
      <c r="K35" s="43">
        <f>IFERROR(I35*G35,"0")</f>
        <v>74.699999999999989</v>
      </c>
      <c r="L35" s="51" t="str">
        <f>_xlfn.XLOOKUP(A35,'DADOS DE VENDA'!Y:Y,'DADOS DE VENDA'!AC:AC,"RUPTURA NO PERIODO")</f>
        <v>16/01 a 17/01</v>
      </c>
      <c r="M35" s="88" t="str" cm="1">
        <f t="array" ref="M35">_xlfn.IFS(C35&lt;I35,"ABAIXO",C35&gt;I35,"ACIMA",C35=I35,"OK")</f>
        <v>ABAIXO</v>
      </c>
      <c r="P35" s="87">
        <f t="shared" ref="P35:P44" si="3">(A35)</f>
        <v>8963</v>
      </c>
      <c r="Q35" s="29" t="str">
        <f>_xlfn.XLOOKUP(P35,'[1]ESCALA DE PRODUÇÃO'!$AL$1:$AL$1048566,'[1]ESCALA DE PRODUÇÃO'!$AJ$1:$AJ$1048566,"NÃO ENCOTRADO")</f>
        <v>008963 - ROTISSERIA SALADA CEASER C/FRANGO BENDITO</v>
      </c>
      <c r="R35" s="44">
        <f t="shared" ref="R35:R44" si="4">C35</f>
        <v>0</v>
      </c>
      <c r="S35" s="45" t="str">
        <f t="shared" ref="S35:S44" si="5">F35</f>
        <v>0</v>
      </c>
    </row>
    <row r="36" spans="1:19" ht="19" thickBot="1" x14ac:dyDescent="0.5">
      <c r="A36" s="87">
        <f>'[1]ESCALA DE PRODUÇÃO'!V30</f>
        <v>0</v>
      </c>
      <c r="B36" s="29" t="str">
        <f>_xlfn.XLOOKUP(A36,'[1]ESCALA DE PRODUÇÃO'!$AL$1:$AL$1048566,'[1]ESCALA DE PRODUÇÃO'!$AJ$1:$AJ$1048566,"NÃO ENCOTRADO")</f>
        <v>NÃO ENCOTRADO</v>
      </c>
      <c r="C36" s="44">
        <v>0</v>
      </c>
      <c r="D36" s="28" t="str">
        <f>_xlfn.XLOOKUP(A36,'[1]ESCALA DE PRODUÇÃO'!$AL$1:$AL$1048566,'[1]ESCALA DE PRODUÇÃO'!$AK$1:$AK$1048566,"0")</f>
        <v>0</v>
      </c>
      <c r="E36" s="32" t="str">
        <f>('[1]ESCALA DE PRODUÇÃO'!$X$28)</f>
        <v>PESO  P/PCT</v>
      </c>
      <c r="F36" s="45" t="str">
        <f>IFERROR(C36/E36,"0")</f>
        <v>0</v>
      </c>
      <c r="G36" s="30" t="str">
        <f>_xlfn.XLOOKUP(A36,'[1]ESCALA DE PRODUÇÃO'!$AL$1:$AL$1048566,'[1]ESCALA DE PRODUÇÃO'!$AM$1:$AM$1048566,"SEM PREÇO")</f>
        <v>SEM PREÇO</v>
      </c>
      <c r="H36" s="33" t="str">
        <f>IFERROR(C36*G36,"0")</f>
        <v>0</v>
      </c>
      <c r="I36" s="50" t="str">
        <f>_xlfn.XLOOKUP(A36,'DADOS DE VENDA'!Y:Y,'DADOS DE VENDA'!AB:AB,"SEM VENDA")</f>
        <v>SEM VENDA</v>
      </c>
      <c r="J36" s="42" t="str">
        <f>IFERROR(I36/E36,"0")</f>
        <v>0</v>
      </c>
      <c r="K36" s="43" t="str">
        <f>IFERROR(I36*G36,"0")</f>
        <v>0</v>
      </c>
      <c r="L36" s="51" t="str">
        <f>_xlfn.XLOOKUP(A36,'DADOS DE VENDA'!Y:Y,'DADOS DE VENDA'!AC:AC,"RUPTURA NO PERIODO")</f>
        <v>RUPTURA NO PERIODO</v>
      </c>
      <c r="M36" s="88" t="str" cm="1">
        <f t="array" ref="M36">_xlfn.IFS(C36&lt;I36,"ABAIXO",C36&gt;I36,"ACIMA",C36=I36,"OK")</f>
        <v>ABAIXO</v>
      </c>
      <c r="P36" s="87">
        <f t="shared" si="3"/>
        <v>0</v>
      </c>
      <c r="Q36" s="29" t="str">
        <f>_xlfn.XLOOKUP(P36,'[1]ESCALA DE PRODUÇÃO'!$AL$1:$AL$1048566,'[1]ESCALA DE PRODUÇÃO'!$AJ$1:$AJ$1048566,"NÃO ENCOTRADO")</f>
        <v>NÃO ENCOTRADO</v>
      </c>
      <c r="R36" s="44">
        <f t="shared" si="4"/>
        <v>0</v>
      </c>
      <c r="S36" s="45" t="str">
        <f t="shared" si="5"/>
        <v>0</v>
      </c>
    </row>
    <row r="37" spans="1:19" ht="15" thickBot="1" x14ac:dyDescent="0.4">
      <c r="A37" s="85" t="s">
        <v>8</v>
      </c>
      <c r="B37" s="6" t="s">
        <v>179</v>
      </c>
      <c r="C37" s="3" t="s">
        <v>2</v>
      </c>
      <c r="D37" s="3" t="s">
        <v>106</v>
      </c>
      <c r="E37" s="3" t="s">
        <v>4</v>
      </c>
      <c r="F37" s="3" t="s">
        <v>6</v>
      </c>
      <c r="G37" s="4" t="s">
        <v>3</v>
      </c>
      <c r="H37" s="3" t="s">
        <v>5</v>
      </c>
      <c r="I37" s="7" t="s">
        <v>157</v>
      </c>
      <c r="J37" s="7" t="s">
        <v>152</v>
      </c>
      <c r="K37" s="7" t="s">
        <v>153</v>
      </c>
      <c r="L37" s="3" t="s">
        <v>104</v>
      </c>
      <c r="M37" s="86" t="s">
        <v>105</v>
      </c>
      <c r="P37" s="85" t="s">
        <v>8</v>
      </c>
      <c r="Q37" s="6" t="s">
        <v>179</v>
      </c>
      <c r="R37" s="3" t="s">
        <v>2</v>
      </c>
      <c r="S37" s="3" t="s">
        <v>6</v>
      </c>
    </row>
    <row r="38" spans="1:19" ht="19" thickBot="1" x14ac:dyDescent="0.5">
      <c r="A38" s="87">
        <f>'[1]ESCALA DE PRODUÇÃO'!V32</f>
        <v>0</v>
      </c>
      <c r="B38" s="29" t="str">
        <f>_xlfn.XLOOKUP(A38,'[1]ESCALA DE PRODUÇÃO'!$AL$1:$AL$1048566,'[1]ESCALA DE PRODUÇÃO'!$AJ$1:$AJ$1048566,"NÃO ENCOTRADO")</f>
        <v>NÃO ENCOTRADO</v>
      </c>
      <c r="C38" s="44">
        <v>12</v>
      </c>
      <c r="D38" s="28" t="str">
        <f>_xlfn.XLOOKUP(A38,'[1]ESCALA DE PRODUÇÃO'!$AL$1:$AL$1048566,'[1]ESCALA DE PRODUÇÃO'!$AK$1:$AK$1048566,"0")</f>
        <v>0</v>
      </c>
      <c r="E38" s="32" t="str">
        <f>('[1]ESCALA DE PRODUÇÃO'!$X$28)</f>
        <v>PESO  P/PCT</v>
      </c>
      <c r="F38" s="45" t="str">
        <f>IFERROR(C38/E38,"0")</f>
        <v>0</v>
      </c>
      <c r="G38" s="30" t="str">
        <f>_xlfn.XLOOKUP(A38,'[1]ESCALA DE PRODUÇÃO'!$AL$1:$AL$1048566,'[1]ESCALA DE PRODUÇÃO'!$AM$1:$AM$1048566,"SEM PREÇO")</f>
        <v>SEM PREÇO</v>
      </c>
      <c r="H38" s="33" t="str">
        <f>IFERROR(C38*G38,"0")</f>
        <v>0</v>
      </c>
      <c r="I38" s="50" t="str">
        <f>_xlfn.XLOOKUP(A38,'DADOS DE VENDA'!Y:Y,'DADOS DE VENDA'!AB:AB,"SEM VENDA")</f>
        <v>SEM VENDA</v>
      </c>
      <c r="J38" s="42" t="str">
        <f>IFERROR(I38/E38,"0")</f>
        <v>0</v>
      </c>
      <c r="K38" s="43" t="str">
        <f>IFERROR(I38*G38,"0")</f>
        <v>0</v>
      </c>
      <c r="L38" s="51" t="str">
        <f>_xlfn.XLOOKUP(A38,'DADOS DE VENDA'!Y:Y,'DADOS DE VENDA'!AC:AC,"RUPTURA NO PERIODO")</f>
        <v>RUPTURA NO PERIODO</v>
      </c>
      <c r="M38" s="88" t="str" cm="1">
        <f t="array" ref="M38">_xlfn.IFS(C38&lt;I38,"ABAIXO",C38&gt;I38,"ACIMA",C38=I38,"OK")</f>
        <v>ABAIXO</v>
      </c>
      <c r="P38" s="87">
        <f t="shared" si="3"/>
        <v>0</v>
      </c>
      <c r="Q38" s="29" t="str">
        <f>_xlfn.XLOOKUP(P38,'[1]ESCALA DE PRODUÇÃO'!$AL$1:$AL$1048566,'[1]ESCALA DE PRODUÇÃO'!$AJ$1:$AJ$1048566,"NÃO ENCOTRADO")</f>
        <v>NÃO ENCOTRADO</v>
      </c>
      <c r="R38" s="44">
        <f t="shared" si="4"/>
        <v>12</v>
      </c>
      <c r="S38" s="45" t="str">
        <f t="shared" si="5"/>
        <v>0</v>
      </c>
    </row>
    <row r="39" spans="1:19" ht="19" thickBot="1" x14ac:dyDescent="0.5">
      <c r="A39" s="87">
        <f>'[1]ESCALA DE PRODUÇÃO'!V33</f>
        <v>9119</v>
      </c>
      <c r="B39" s="29" t="str">
        <f>_xlfn.XLOOKUP(A39,'[1]ESCALA DE PRODUÇÃO'!$AL$1:$AL$1048566,'[1]ESCALA DE PRODUÇÃO'!$AJ$1:$AJ$1048566,"NÃO ENCOTRADO")</f>
        <v xml:space="preserve">009119 - ROTISSERIA CALIFORNIA BENDITO UN </v>
      </c>
      <c r="C39" s="44">
        <v>8</v>
      </c>
      <c r="D39" s="28" t="str">
        <f>_xlfn.XLOOKUP(A39,'[1]ESCALA DE PRODUÇÃO'!$AL$1:$AL$1048566,'[1]ESCALA DE PRODUÇÃO'!$AK$1:$AK$1048566,"0")</f>
        <v>UN/0001</v>
      </c>
      <c r="E39" s="32" t="str">
        <f>('[1]ESCALA DE PRODUÇÃO'!$X$28)</f>
        <v>PESO  P/PCT</v>
      </c>
      <c r="F39" s="45" t="str">
        <f>IFERROR(C39/E39,"0")</f>
        <v>0</v>
      </c>
      <c r="G39" s="30">
        <f>_xlfn.XLOOKUP(A39,'[1]ESCALA DE PRODUÇÃO'!$AL$1:$AL$1048566,'[1]ESCALA DE PRODUÇÃO'!$AM$1:$AM$1048566,"SEM PREÇO")</f>
        <v>19.899999999999999</v>
      </c>
      <c r="H39" s="33">
        <f>IFERROR(C39*G39,"0")</f>
        <v>159.19999999999999</v>
      </c>
      <c r="I39" s="50" t="str">
        <f>_xlfn.XLOOKUP(A39,'DADOS DE VENDA'!Y:Y,'DADOS DE VENDA'!AB:AB,"SEM VENDA")</f>
        <v>SEM VENDA</v>
      </c>
      <c r="J39" s="42" t="str">
        <f>IFERROR(I39/E39,"0")</f>
        <v>0</v>
      </c>
      <c r="K39" s="43" t="str">
        <f>IFERROR(I39*G39,"0")</f>
        <v>0</v>
      </c>
      <c r="L39" s="51" t="str">
        <f>_xlfn.XLOOKUP(A39,'DADOS DE VENDA'!Y:Y,'DADOS DE VENDA'!AC:AC,"RUPTURA NO PERIODO")</f>
        <v>RUPTURA NO PERIODO</v>
      </c>
      <c r="M39" s="88" t="str" cm="1">
        <f t="array" ref="M39">_xlfn.IFS(C39&lt;I39,"ABAIXO",C39&gt;I39,"ACIMA",C39=I39,"OK")</f>
        <v>ABAIXO</v>
      </c>
      <c r="P39" s="87">
        <f t="shared" si="3"/>
        <v>9119</v>
      </c>
      <c r="Q39" s="29" t="str">
        <f>_xlfn.XLOOKUP(P39,'[1]ESCALA DE PRODUÇÃO'!$AL$1:$AL$1048566,'[1]ESCALA DE PRODUÇÃO'!$AJ$1:$AJ$1048566,"NÃO ENCOTRADO")</f>
        <v xml:space="preserve">009119 - ROTISSERIA CALIFORNIA BENDITO UN </v>
      </c>
      <c r="R39" s="44">
        <f t="shared" si="4"/>
        <v>8</v>
      </c>
      <c r="S39" s="45" t="str">
        <f t="shared" si="5"/>
        <v>0</v>
      </c>
    </row>
    <row r="40" spans="1:19" ht="19" thickBot="1" x14ac:dyDescent="0.5">
      <c r="A40" s="87">
        <f>'[1]ESCALA DE PRODUÇÃO'!V34</f>
        <v>9124</v>
      </c>
      <c r="B40" s="29" t="str">
        <f>_xlfn.XLOOKUP(A40,'[1]ESCALA DE PRODUÇÃO'!$AL$1:$AL$1048566,'[1]ESCALA DE PRODUÇÃO'!$AJ$1:$AJ$1048566,"NÃO ENCOTRADO")</f>
        <v>009124 - ROTISSERIA HOT HOLL BENDITO UN</v>
      </c>
      <c r="C40" s="44">
        <v>0</v>
      </c>
      <c r="D40" s="28" t="str">
        <f>_xlfn.XLOOKUP(A40,'[1]ESCALA DE PRODUÇÃO'!$AL$1:$AL$1048566,'[1]ESCALA DE PRODUÇÃO'!$AK$1:$AK$1048566,"0")</f>
        <v>UN/0001</v>
      </c>
      <c r="E40" s="32" t="str">
        <f>('[1]ESCALA DE PRODUÇÃO'!$X$28)</f>
        <v>PESO  P/PCT</v>
      </c>
      <c r="F40" s="45" t="str">
        <f>IFERROR(C40/E40,"0")</f>
        <v>0</v>
      </c>
      <c r="G40" s="30">
        <f>_xlfn.XLOOKUP(A40,'[1]ESCALA DE PRODUÇÃO'!$AL$1:$AL$1048566,'[1]ESCALA DE PRODUÇÃO'!$AM$1:$AM$1048566,"SEM PREÇO")</f>
        <v>25.9</v>
      </c>
      <c r="H40" s="33">
        <f>IFERROR(C40*G40,"0")</f>
        <v>0</v>
      </c>
      <c r="I40" s="50">
        <f>_xlfn.XLOOKUP(A40,'DADOS DE VENDA'!Y:Y,'DADOS DE VENDA'!AB:AB,"SEM VENDA")</f>
        <v>11</v>
      </c>
      <c r="J40" s="42" t="str">
        <f>IFERROR(I40/E40,"0")</f>
        <v>0</v>
      </c>
      <c r="K40" s="43">
        <f>IFERROR(I40*G40,"0")</f>
        <v>284.89999999999998</v>
      </c>
      <c r="L40" s="51" t="str">
        <f>_xlfn.XLOOKUP(A40,'DADOS DE VENDA'!Y:Y,'DADOS DE VENDA'!AC:AC,"RUPTURA NO PERIODO")</f>
        <v>16/01 a 17/01</v>
      </c>
      <c r="M40" s="88" t="str" cm="1">
        <f t="array" ref="M40">_xlfn.IFS(C40&lt;I40,"ABAIXO",C40&gt;I40,"ACIMA",C40=I40,"OK")</f>
        <v>ABAIXO</v>
      </c>
      <c r="P40" s="87">
        <f t="shared" si="3"/>
        <v>9124</v>
      </c>
      <c r="Q40" s="29" t="str">
        <f>_xlfn.XLOOKUP(P40,'[1]ESCALA DE PRODUÇÃO'!$AL$1:$AL$1048566,'[1]ESCALA DE PRODUÇÃO'!$AJ$1:$AJ$1048566,"NÃO ENCOTRADO")</f>
        <v>009124 - ROTISSERIA HOT HOLL BENDITO UN</v>
      </c>
      <c r="R40" s="44">
        <f t="shared" si="4"/>
        <v>0</v>
      </c>
      <c r="S40" s="45" t="str">
        <f t="shared" si="5"/>
        <v>0</v>
      </c>
    </row>
    <row r="41" spans="1:19" ht="15" thickBot="1" x14ac:dyDescent="0.4">
      <c r="A41" s="85" t="s">
        <v>8</v>
      </c>
      <c r="B41" s="6" t="s">
        <v>180</v>
      </c>
      <c r="C41" s="3" t="s">
        <v>2</v>
      </c>
      <c r="D41" s="3" t="s">
        <v>106</v>
      </c>
      <c r="E41" s="3" t="s">
        <v>4</v>
      </c>
      <c r="F41" s="3" t="s">
        <v>6</v>
      </c>
      <c r="G41" s="4" t="s">
        <v>3</v>
      </c>
      <c r="H41" s="3" t="s">
        <v>5</v>
      </c>
      <c r="I41" s="7" t="s">
        <v>157</v>
      </c>
      <c r="J41" s="7" t="s">
        <v>152</v>
      </c>
      <c r="K41" s="7" t="s">
        <v>153</v>
      </c>
      <c r="L41" s="3" t="s">
        <v>104</v>
      </c>
      <c r="M41" s="86" t="s">
        <v>105</v>
      </c>
      <c r="P41" s="85" t="s">
        <v>8</v>
      </c>
      <c r="Q41" s="6" t="s">
        <v>180</v>
      </c>
      <c r="R41" s="3" t="s">
        <v>2</v>
      </c>
      <c r="S41" s="3" t="s">
        <v>6</v>
      </c>
    </row>
    <row r="42" spans="1:19" ht="19" thickBot="1" x14ac:dyDescent="0.5">
      <c r="A42" s="87">
        <f>'[1]ESCALA DE PRODUÇÃO'!V36</f>
        <v>0</v>
      </c>
      <c r="B42" s="29" t="str">
        <f>_xlfn.XLOOKUP(A42,'[1]ESCALA DE PRODUÇÃO'!$AL$1:$AL$1048566,'[1]ESCALA DE PRODUÇÃO'!$AJ$1:$AJ$1048566,"NÃO ENCOTRADO")</f>
        <v>NÃO ENCOTRADO</v>
      </c>
      <c r="C42" s="44">
        <v>0</v>
      </c>
      <c r="D42" s="28" t="str">
        <f>_xlfn.XLOOKUP(A42,'[1]ESCALA DE PRODUÇÃO'!$AL$1:$AL$1048566,'[1]ESCALA DE PRODUÇÃO'!$AK$1:$AK$1048566,"0")</f>
        <v>0</v>
      </c>
      <c r="E42" s="32" t="str">
        <f>('[1]ESCALA DE PRODUÇÃO'!$X$28)</f>
        <v>PESO  P/PCT</v>
      </c>
      <c r="F42" s="45" t="str">
        <f>IFERROR(C42/E42,"0")</f>
        <v>0</v>
      </c>
      <c r="G42" s="30" t="str">
        <f>_xlfn.XLOOKUP(A42,'[1]ESCALA DE PRODUÇÃO'!$AL$1:$AL$1048566,'[1]ESCALA DE PRODUÇÃO'!$AM$1:$AM$1048566,"SEM PREÇO")</f>
        <v>SEM PREÇO</v>
      </c>
      <c r="H42" s="33" t="str">
        <f>IFERROR(C42*G42,"0")</f>
        <v>0</v>
      </c>
      <c r="I42" s="50" t="str">
        <f>_xlfn.XLOOKUP(A42,'DADOS DE VENDA'!Y:Y,'DADOS DE VENDA'!AB:AB,"SEM VENDA")</f>
        <v>SEM VENDA</v>
      </c>
      <c r="J42" s="42" t="str">
        <f>IFERROR(I42/E42,"0")</f>
        <v>0</v>
      </c>
      <c r="K42" s="43" t="str">
        <f>IFERROR(I42*G42,"0")</f>
        <v>0</v>
      </c>
      <c r="L42" s="51" t="str">
        <f>_xlfn.XLOOKUP(A42,'DADOS DE VENDA'!Y:Y,'DADOS DE VENDA'!AC:AC,"RUPTURA NO PERIODO")</f>
        <v>RUPTURA NO PERIODO</v>
      </c>
      <c r="M42" s="88" t="str" cm="1">
        <f t="array" ref="M42">_xlfn.IFS(C42&lt;I42,"ABAIXO",C42&gt;I42,"ACIMA",C42=I42,"OK")</f>
        <v>ABAIXO</v>
      </c>
      <c r="P42" s="87">
        <f t="shared" si="3"/>
        <v>0</v>
      </c>
      <c r="Q42" s="29" t="str">
        <f>_xlfn.XLOOKUP(P42,'[1]ESCALA DE PRODUÇÃO'!$AL$1:$AL$1048566,'[1]ESCALA DE PRODUÇÃO'!$AJ$1:$AJ$1048566,"NÃO ENCOTRADO")</f>
        <v>NÃO ENCOTRADO</v>
      </c>
      <c r="R42" s="44">
        <f t="shared" si="4"/>
        <v>0</v>
      </c>
      <c r="S42" s="45" t="str">
        <f t="shared" si="5"/>
        <v>0</v>
      </c>
    </row>
    <row r="43" spans="1:19" ht="19" thickBot="1" x14ac:dyDescent="0.5">
      <c r="A43" s="87">
        <f>'[1]ESCALA DE PRODUÇÃO'!V37</f>
        <v>9129</v>
      </c>
      <c r="B43" s="29" t="str">
        <f>_xlfn.XLOOKUP(A43,'[1]ESCALA DE PRODUÇÃO'!$AL$1:$AL$1048566,'[1]ESCALA DE PRODUÇÃO'!$AJ$1:$AJ$1048566,"NÃO ENCOTRADO")</f>
        <v>009129 - ROTISSERIA SALADA POKE DE SHIMEJI BENDITO UN</v>
      </c>
      <c r="C43" s="44">
        <v>0</v>
      </c>
      <c r="D43" s="28" t="str">
        <f>_xlfn.XLOOKUP(A43,'[1]ESCALA DE PRODUÇÃO'!$AL$1:$AL$1048566,'[1]ESCALA DE PRODUÇÃO'!$AK$1:$AK$1048566,"0")</f>
        <v>UN/0001</v>
      </c>
      <c r="E43" s="32" t="str">
        <f>('[1]ESCALA DE PRODUÇÃO'!$X$28)</f>
        <v>PESO  P/PCT</v>
      </c>
      <c r="F43" s="45" t="str">
        <f>IFERROR(C43/E43,"0")</f>
        <v>0</v>
      </c>
      <c r="G43" s="30">
        <f>_xlfn.XLOOKUP(A43,'[1]ESCALA DE PRODUÇÃO'!$AL$1:$AL$1048566,'[1]ESCALA DE PRODUÇÃO'!$AM$1:$AM$1048566,"SEM PREÇO")</f>
        <v>29.9</v>
      </c>
      <c r="H43" s="33">
        <f>IFERROR(C43*G43,"0")</f>
        <v>0</v>
      </c>
      <c r="I43" s="50" t="str">
        <f>_xlfn.XLOOKUP(A43,'DADOS DE VENDA'!Y:Y,'DADOS DE VENDA'!AB:AB,"SEM VENDA")</f>
        <v>SEM VENDA</v>
      </c>
      <c r="J43" s="42" t="str">
        <f>IFERROR(I43/E43,"0")</f>
        <v>0</v>
      </c>
      <c r="K43" s="43" t="str">
        <f>IFERROR(I43*G43,"0")</f>
        <v>0</v>
      </c>
      <c r="L43" s="51" t="str">
        <f>_xlfn.XLOOKUP(A43,'DADOS DE VENDA'!Y:Y,'DADOS DE VENDA'!AC:AC,"RUPTURA NO PERIODO")</f>
        <v>RUPTURA NO PERIODO</v>
      </c>
      <c r="M43" s="88" t="str" cm="1">
        <f t="array" ref="M43">_xlfn.IFS(C43&lt;I43,"ABAIXO",C43&gt;I43,"ACIMA",C43=I43,"OK")</f>
        <v>ABAIXO</v>
      </c>
      <c r="P43" s="87">
        <f t="shared" si="3"/>
        <v>9129</v>
      </c>
      <c r="Q43" s="29" t="str">
        <f>_xlfn.XLOOKUP(P43,'[1]ESCALA DE PRODUÇÃO'!$AL$1:$AL$1048566,'[1]ESCALA DE PRODUÇÃO'!$AJ$1:$AJ$1048566,"NÃO ENCOTRADO")</f>
        <v>009129 - ROTISSERIA SALADA POKE DE SHIMEJI BENDITO UN</v>
      </c>
      <c r="R43" s="44">
        <f t="shared" si="4"/>
        <v>0</v>
      </c>
      <c r="S43" s="45" t="str">
        <f t="shared" si="5"/>
        <v>0</v>
      </c>
    </row>
    <row r="44" spans="1:19" ht="19" thickBot="1" x14ac:dyDescent="0.5">
      <c r="A44" s="87">
        <f>'[1]ESCALA DE PRODUÇÃO'!V38</f>
        <v>0</v>
      </c>
      <c r="B44" s="90" t="str">
        <f>_xlfn.XLOOKUP(A44,'[1]ESCALA DE PRODUÇÃO'!$AL$1:$AL$1048566,'[1]ESCALA DE PRODUÇÃO'!$AJ$1:$AJ$1048566,"NÃO ENCOTRADO")</f>
        <v>NÃO ENCOTRADO</v>
      </c>
      <c r="C44" s="91">
        <v>0</v>
      </c>
      <c r="D44" s="92" t="str">
        <f>_xlfn.XLOOKUP(A44,'[1]ESCALA DE PRODUÇÃO'!$AL$1:$AL$1048566,'[1]ESCALA DE PRODUÇÃO'!$AK$1:$AK$1048566,"0")</f>
        <v>0</v>
      </c>
      <c r="E44" s="32" t="str">
        <f>('[1]ESCALA DE PRODUÇÃO'!$X$28)</f>
        <v>PESO  P/PCT</v>
      </c>
      <c r="F44" s="94" t="str">
        <f>IFERROR(C44/E44,"0")</f>
        <v>0</v>
      </c>
      <c r="G44" s="95" t="str">
        <f>_xlfn.XLOOKUP(A44,'[1]ESCALA DE PRODUÇÃO'!$AL$1:$AL$1048566,'[1]ESCALA DE PRODUÇÃO'!$AM$1:$AM$1048566,"SEM PREÇO")</f>
        <v>SEM PREÇO</v>
      </c>
      <c r="H44" s="96" t="str">
        <f>IFERROR(C44*G44,"0")</f>
        <v>0</v>
      </c>
      <c r="I44" s="50" t="str">
        <f>_xlfn.XLOOKUP(A44,'DADOS DE VENDA'!Y:Y,'DADOS DE VENDA'!AB:AB,"SEM VENDA")</f>
        <v>SEM VENDA</v>
      </c>
      <c r="J44" s="98" t="str">
        <f>IFERROR(I44/E44,"0")</f>
        <v>0</v>
      </c>
      <c r="K44" s="99" t="str">
        <f>IFERROR(I44*G44,"0")</f>
        <v>0</v>
      </c>
      <c r="L44" s="51" t="str">
        <f>_xlfn.XLOOKUP(A44,'DADOS DE VENDA'!Y:Y,'DADOS DE VENDA'!AC:AC,"RUPTURA NO PERIODO")</f>
        <v>RUPTURA NO PERIODO</v>
      </c>
      <c r="M44" s="101" t="str" cm="1">
        <f t="array" ref="M44">_xlfn.IFS(C44&lt;I44,"ABAIXO",C44&gt;I44,"ACIMA",C44=I44,"OK")</f>
        <v>ABAIXO</v>
      </c>
      <c r="P44" s="87">
        <f t="shared" si="3"/>
        <v>0</v>
      </c>
      <c r="Q44" s="90" t="str">
        <f>_xlfn.XLOOKUP(P44,'[1]ESCALA DE PRODUÇÃO'!$AL$1:$AL$1048566,'[1]ESCALA DE PRODUÇÃO'!$AJ$1:$AJ$1048566,"NÃO ENCOTRADO")</f>
        <v>NÃO ENCOTRADO</v>
      </c>
      <c r="R44" s="44">
        <f t="shared" si="4"/>
        <v>0</v>
      </c>
      <c r="S44" s="45" t="str">
        <f t="shared" si="5"/>
        <v>0</v>
      </c>
    </row>
    <row r="45" spans="1:19" ht="19" thickBot="1" x14ac:dyDescent="0.5">
      <c r="A45" s="106"/>
      <c r="B45" s="103" t="s">
        <v>176</v>
      </c>
      <c r="C45" s="103" t="s">
        <v>173</v>
      </c>
      <c r="D45" s="159"/>
      <c r="E45" s="160"/>
      <c r="F45" s="105" t="s">
        <v>174</v>
      </c>
      <c r="G45" s="161">
        <f>SUM(H34,H35,H36,H38,H39,H40,H42,H43,H44)</f>
        <v>159.19999999999999</v>
      </c>
      <c r="H45" s="162"/>
      <c r="I45" s="50">
        <f>_xlfn.XLOOKUP(A45,'DADOS DE VENDA'!Y:Y,'DADOS DE VENDA'!AB:AB,"SEM VENDA")</f>
        <v>0</v>
      </c>
      <c r="J45" s="208">
        <f>SUM(K34,K35,K36,K38,K39,K40,K42,K43,K44)</f>
        <v>359.59999999999997</v>
      </c>
      <c r="K45" s="164"/>
      <c r="L45" s="104"/>
      <c r="M45" s="107"/>
      <c r="P45" s="147" t="s">
        <v>5</v>
      </c>
      <c r="Q45" s="148"/>
      <c r="R45" s="149">
        <f>G45</f>
        <v>159.19999999999999</v>
      </c>
      <c r="S45" s="150"/>
    </row>
    <row r="46" spans="1:19" ht="18.5" x14ac:dyDescent="0.45">
      <c r="R46" s="78"/>
      <c r="S46" s="79"/>
    </row>
    <row r="47" spans="1:19" ht="15" thickBot="1" x14ac:dyDescent="0.4"/>
    <row r="48" spans="1:19" ht="21.5" thickBot="1" x14ac:dyDescent="0.55000000000000004">
      <c r="A48" s="205" t="s">
        <v>195</v>
      </c>
      <c r="B48" s="206"/>
      <c r="C48" s="206"/>
      <c r="D48" s="206"/>
      <c r="E48" s="206"/>
      <c r="F48" s="206"/>
      <c r="G48" s="206"/>
      <c r="H48" s="206"/>
      <c r="I48" s="206" t="s">
        <v>171</v>
      </c>
      <c r="J48" s="206"/>
      <c r="K48" s="206"/>
      <c r="L48" s="206"/>
      <c r="M48" s="207"/>
      <c r="P48" s="157" t="str">
        <f>P31</f>
        <v>SEXTA (LOJA 1 DESCONTÃO-ROTISSERIA)</v>
      </c>
      <c r="Q48" s="158"/>
      <c r="R48" s="132" t="s">
        <v>102</v>
      </c>
      <c r="S48" s="131">
        <f>S31</f>
        <v>46048</v>
      </c>
    </row>
    <row r="49" spans="1:19" ht="15" thickBot="1" x14ac:dyDescent="0.4">
      <c r="A49" s="151" t="s">
        <v>181</v>
      </c>
      <c r="B49" s="152"/>
      <c r="C49" s="145" t="s">
        <v>155</v>
      </c>
      <c r="D49" s="146"/>
      <c r="E49" s="146"/>
      <c r="F49" s="146"/>
      <c r="G49" s="146"/>
      <c r="H49" s="156"/>
      <c r="I49" s="146" t="s">
        <v>156</v>
      </c>
      <c r="J49" s="146"/>
      <c r="K49" s="146"/>
      <c r="L49" s="146"/>
      <c r="M49" s="153"/>
      <c r="P49" s="180" t="s">
        <v>181</v>
      </c>
      <c r="Q49" s="181"/>
      <c r="R49" s="178" t="s">
        <v>155</v>
      </c>
      <c r="S49" s="179"/>
    </row>
    <row r="50" spans="1:19" ht="15" thickBot="1" x14ac:dyDescent="0.4">
      <c r="A50" s="85" t="s">
        <v>8</v>
      </c>
      <c r="B50" s="6" t="s">
        <v>182</v>
      </c>
      <c r="C50" s="3" t="s">
        <v>2</v>
      </c>
      <c r="D50" s="3" t="s">
        <v>106</v>
      </c>
      <c r="E50" s="3" t="s">
        <v>4</v>
      </c>
      <c r="F50" s="3" t="s">
        <v>6</v>
      </c>
      <c r="G50" s="4" t="s">
        <v>3</v>
      </c>
      <c r="H50" s="3" t="s">
        <v>5</v>
      </c>
      <c r="I50" s="7" t="s">
        <v>157</v>
      </c>
      <c r="J50" s="7" t="s">
        <v>152</v>
      </c>
      <c r="K50" s="7" t="s">
        <v>153</v>
      </c>
      <c r="L50" s="3" t="s">
        <v>104</v>
      </c>
      <c r="M50" s="86" t="s">
        <v>105</v>
      </c>
      <c r="P50" s="85" t="s">
        <v>8</v>
      </c>
      <c r="Q50" s="6" t="s">
        <v>182</v>
      </c>
      <c r="R50" s="3" t="s">
        <v>2</v>
      </c>
      <c r="S50" s="3" t="s">
        <v>6</v>
      </c>
    </row>
    <row r="51" spans="1:19" ht="19" thickBot="1" x14ac:dyDescent="0.5">
      <c r="A51" s="87" t="str">
        <f>('[1]ESCALA DE PRODUÇÃO'!V40)</f>
        <v>COD</v>
      </c>
      <c r="B51" s="29" t="str">
        <f>_xlfn.XLOOKUP(A51,'[1]ESCALA DE PRODUÇÃO'!$AL$1:$AL$1048566,'[1]ESCALA DE PRODUÇÃO'!$AJ$1:$AJ$1048566,"NÃO ENCOTRADO")</f>
        <v>NÃO ENCOTRADO</v>
      </c>
      <c r="C51" s="44">
        <v>4.5</v>
      </c>
      <c r="D51" s="28" t="str">
        <f>_xlfn.XLOOKUP(A51,'[1]ESCALA DE PRODUÇÃO'!$AL$1:$AL$1048566,'[1]ESCALA DE PRODUÇÃO'!$AK$1:$AK$1048566,"0")</f>
        <v>0</v>
      </c>
      <c r="E51" s="32" t="str">
        <f>('[1]ESCALA DE PRODUÇÃO'!X40)</f>
        <v>PESO  P/PCT</v>
      </c>
      <c r="F51" s="45" t="str">
        <f>IFERROR(C51/E51,"0")</f>
        <v>0</v>
      </c>
      <c r="G51" s="30" t="str">
        <f>_xlfn.XLOOKUP(A51,'[1]ESCALA DE PRODUÇÃO'!$AL$1:$AL$1048566,'[1]ESCALA DE PRODUÇÃO'!$AM$1:$AM$1048566,"SEM PREÇO")</f>
        <v>SEM PREÇO</v>
      </c>
      <c r="H51" s="33" t="str">
        <f>IFERROR(C51*G51,"0")</f>
        <v>0</v>
      </c>
      <c r="I51" s="50" t="str">
        <f>_xlfn.XLOOKUP(A51,'DADOS DE VENDA'!Y:Y,'DADOS DE VENDA'!AB:AB,"SEM VENDA")</f>
        <v>SEM VENDA</v>
      </c>
      <c r="J51" s="42" t="str">
        <f>IFERROR(I51/E51,"0")</f>
        <v>0</v>
      </c>
      <c r="K51" s="43" t="str">
        <f>IFERROR(I51*G51,"0")</f>
        <v>0</v>
      </c>
      <c r="L51" s="51" t="str">
        <f>_xlfn.XLOOKUP(A51,'DADOS DE VENDA'!Y:Y,'DADOS DE VENDA'!AC:AC,"RUPTURA NO PERIODO")</f>
        <v>RUPTURA NO PERIODO</v>
      </c>
      <c r="M51" s="88" t="str" cm="1">
        <f t="array" ref="M51">_xlfn.IFS(C51&lt;I51,"ABAIXO",C51&gt;I51,"ACIMA",C51=I51,"OK")</f>
        <v>ABAIXO</v>
      </c>
      <c r="P51" s="87" t="str">
        <f>(A51)</f>
        <v>COD</v>
      </c>
      <c r="Q51" s="29" t="str">
        <f>_xlfn.XLOOKUP(P51,'[1]ESCALA DE PRODUÇÃO'!$AL$1:$AL$1048566,'[1]ESCALA DE PRODUÇÃO'!$AJ$1:$AJ$1048566,"NÃO ENCOTRADO")</f>
        <v>NÃO ENCOTRADO</v>
      </c>
      <c r="R51" s="44">
        <f>C51</f>
        <v>4.5</v>
      </c>
      <c r="S51" s="45" t="str">
        <f>(F51)</f>
        <v>0</v>
      </c>
    </row>
    <row r="52" spans="1:19" ht="19" thickBot="1" x14ac:dyDescent="0.5">
      <c r="A52" s="87">
        <f>('[1]ESCALA DE PRODUÇÃO'!V41)</f>
        <v>8400</v>
      </c>
      <c r="B52" s="29" t="str">
        <f>_xlfn.XLOOKUP(A52,'[1]ESCALA DE PRODUÇÃO'!$AL$1:$AL$1048566,'[1]ESCALA DE PRODUÇÃO'!$AJ$1:$AJ$1048566,"NÃO ENCOTRADO")</f>
        <v>008400 - ROTISSERIA LASANHA A BOLONHESA BENDITO  KG</v>
      </c>
      <c r="C52" s="44">
        <v>4.5</v>
      </c>
      <c r="D52" s="28" t="str">
        <f>_xlfn.XLOOKUP(A52,'[1]ESCALA DE PRODUÇÃO'!$AL$1:$AL$1048566,'[1]ESCALA DE PRODUÇÃO'!$AK$1:$AK$1048566,"0")</f>
        <v>KG/0001</v>
      </c>
      <c r="E52" s="32">
        <f>('[1]ESCALA DE PRODUÇÃO'!X41)</f>
        <v>0.45</v>
      </c>
      <c r="F52" s="45">
        <f>IFERROR(C52/E52,"0")</f>
        <v>10</v>
      </c>
      <c r="G52" s="30">
        <f>_xlfn.XLOOKUP(A52,'[1]ESCALA DE PRODUÇÃO'!$AL$1:$AL$1048566,'[1]ESCALA DE PRODUÇÃO'!$AM$1:$AM$1048566,"SEM PREÇO")</f>
        <v>56.9</v>
      </c>
      <c r="H52" s="33">
        <f>IFERROR(C52*G52,"0")</f>
        <v>256.05</v>
      </c>
      <c r="I52" s="50" t="str">
        <f>_xlfn.XLOOKUP(A52,'DADOS DE VENDA'!Y:Y,'DADOS DE VENDA'!AB:AB,"SEM VENDA")</f>
        <v>SEM VENDA</v>
      </c>
      <c r="J52" s="42" t="str">
        <f>IFERROR(I52/E52,"0")</f>
        <v>0</v>
      </c>
      <c r="K52" s="43" t="str">
        <f>IFERROR(I52*G52,"0")</f>
        <v>0</v>
      </c>
      <c r="L52" s="51" t="str">
        <f>_xlfn.XLOOKUP(A52,'DADOS DE VENDA'!Y:Y,'DADOS DE VENDA'!AC:AC,"RUPTURA NO PERIODO")</f>
        <v>RUPTURA NO PERIODO</v>
      </c>
      <c r="M52" s="88" t="str" cm="1">
        <f t="array" ref="M52">_xlfn.IFS(C52&lt;I52,"ABAIXO",C52&gt;I52,"ACIMA",C52=I52,"OK")</f>
        <v>ABAIXO</v>
      </c>
      <c r="P52" s="87">
        <f t="shared" ref="P52:P59" si="6">(A52)</f>
        <v>8400</v>
      </c>
      <c r="Q52" s="29" t="str">
        <f>_xlfn.XLOOKUP(P52,'[1]ESCALA DE PRODUÇÃO'!$AL$1:$AL$1048566,'[1]ESCALA DE PRODUÇÃO'!$AJ$1:$AJ$1048566,"NÃO ENCOTRADO")</f>
        <v>008400 - ROTISSERIA LASANHA A BOLONHESA BENDITO  KG</v>
      </c>
      <c r="R52" s="44">
        <f>C52</f>
        <v>4.5</v>
      </c>
      <c r="S52" s="45">
        <f>(F52)</f>
        <v>10</v>
      </c>
    </row>
    <row r="53" spans="1:19" ht="19" thickBot="1" x14ac:dyDescent="0.5">
      <c r="A53" s="87">
        <f>('[1]ESCALA DE PRODUÇÃO'!V42)</f>
        <v>8316</v>
      </c>
      <c r="B53" s="29" t="str">
        <f>_xlfn.XLOOKUP(A53,'[1]ESCALA DE PRODUÇÃO'!$AL$1:$AL$1048566,'[1]ESCALA DE PRODUÇÃO'!$AJ$1:$AJ$1048566,"NÃO ENCOTRADO")</f>
        <v>008316 - ROTISSERIA ESCONDIDINHO FRANGO BENDITO KG</v>
      </c>
      <c r="C53" s="44">
        <v>4.5</v>
      </c>
      <c r="D53" s="28" t="str">
        <f>_xlfn.XLOOKUP(A53,'[1]ESCALA DE PRODUÇÃO'!$AL$1:$AL$1048566,'[1]ESCALA DE PRODUÇÃO'!$AK$1:$AK$1048566,"0")</f>
        <v>KG/0001</v>
      </c>
      <c r="E53" s="32">
        <f>('[1]ESCALA DE PRODUÇÃO'!X42)</f>
        <v>0.45</v>
      </c>
      <c r="F53" s="45">
        <f>IFERROR(C53/E53,"0")</f>
        <v>10</v>
      </c>
      <c r="G53" s="30">
        <f>_xlfn.XLOOKUP(A53,'[1]ESCALA DE PRODUÇÃO'!$AL$1:$AL$1048566,'[1]ESCALA DE PRODUÇÃO'!$AM$1:$AM$1048566,"SEM PREÇO")</f>
        <v>57.9</v>
      </c>
      <c r="H53" s="33">
        <f>IFERROR(C53*G53,"0")</f>
        <v>260.55</v>
      </c>
      <c r="I53" s="50" t="str">
        <f>_xlfn.XLOOKUP(A53,'DADOS DE VENDA'!Y:Y,'DADOS DE VENDA'!AB:AB,"SEM VENDA")</f>
        <v>SEM VENDA</v>
      </c>
      <c r="J53" s="42" t="str">
        <f>IFERROR(I53/E53,"0")</f>
        <v>0</v>
      </c>
      <c r="K53" s="43" t="str">
        <f>IFERROR(I53*G53,"0")</f>
        <v>0</v>
      </c>
      <c r="L53" s="51" t="str">
        <f>_xlfn.XLOOKUP(A53,'DADOS DE VENDA'!Y:Y,'DADOS DE VENDA'!AC:AC,"RUPTURA NO PERIODO")</f>
        <v>RUPTURA NO PERIODO</v>
      </c>
      <c r="M53" s="88" t="str" cm="1">
        <f t="array" ref="M53">_xlfn.IFS(C53&lt;I53,"ABAIXO",C53&gt;I53,"ACIMA",C53=I53,"OK")</f>
        <v>ABAIXO</v>
      </c>
      <c r="P53" s="87">
        <f t="shared" si="6"/>
        <v>8316</v>
      </c>
      <c r="Q53" s="29" t="str">
        <f>_xlfn.XLOOKUP(P53,'[1]ESCALA DE PRODUÇÃO'!$AL$1:$AL$1048566,'[1]ESCALA DE PRODUÇÃO'!$AJ$1:$AJ$1048566,"NÃO ENCOTRADO")</f>
        <v>008316 - ROTISSERIA ESCONDIDINHO FRANGO BENDITO KG</v>
      </c>
      <c r="R53" s="44">
        <f>C53</f>
        <v>4.5</v>
      </c>
      <c r="S53" s="45">
        <f>(F53)</f>
        <v>10</v>
      </c>
    </row>
    <row r="54" spans="1:19" ht="19" thickBot="1" x14ac:dyDescent="0.5">
      <c r="A54" s="87">
        <f>('[1]ESCALA DE PRODUÇÃO'!V43)</f>
        <v>6960</v>
      </c>
      <c r="B54" s="29" t="str">
        <f>_xlfn.XLOOKUP(A54,'[1]ESCALA DE PRODUÇÃO'!$AL$1:$AL$1048566,'[1]ESCALA DE PRODUÇÃO'!$AJ$1:$AJ$1048566,"NÃO ENCOTRADO")</f>
        <v>006960 - ROTISSERIA NHOQUE AO MOLHO SUGO KG</v>
      </c>
      <c r="C54" s="44">
        <v>3</v>
      </c>
      <c r="D54" s="28" t="str">
        <f>_xlfn.XLOOKUP(A54,'[1]ESCALA DE PRODUÇÃO'!$AL$1:$AL$1048566,'[1]ESCALA DE PRODUÇÃO'!$AK$1:$AK$1048566,"0")</f>
        <v>KG/0001</v>
      </c>
      <c r="E54" s="32">
        <f>('[1]ESCALA DE PRODUÇÃO'!X43)</f>
        <v>0.45</v>
      </c>
      <c r="F54" s="45">
        <f>IFERROR(C54/E54,"0")</f>
        <v>6.6666666666666661</v>
      </c>
      <c r="G54" s="30">
        <f>_xlfn.XLOOKUP(A54,'[1]ESCALA DE PRODUÇÃO'!$AL$1:$AL$1048566,'[1]ESCALA DE PRODUÇÃO'!$AM$1:$AM$1048566,"SEM PREÇO")</f>
        <v>39.9</v>
      </c>
      <c r="H54" s="33">
        <f>IFERROR(C54*G54,"0")</f>
        <v>119.69999999999999</v>
      </c>
      <c r="I54" s="50">
        <f>_xlfn.XLOOKUP(A54,'DADOS DE VENDA'!Y:Y,'DADOS DE VENDA'!AB:AB,"SEM VENDA")</f>
        <v>1.1399999999999999</v>
      </c>
      <c r="J54" s="42">
        <f>IFERROR(I54/E54,"0")</f>
        <v>2.5333333333333332</v>
      </c>
      <c r="K54" s="43">
        <f>IFERROR(I54*G54,"0")</f>
        <v>45.485999999999997</v>
      </c>
      <c r="L54" s="51" t="str">
        <f>_xlfn.XLOOKUP(A54,'DADOS DE VENDA'!Y:Y,'DADOS DE VENDA'!AC:AC,"RUPTURA NO PERIODO")</f>
        <v>16/01 a 17/01</v>
      </c>
      <c r="M54" s="88" t="str" cm="1">
        <f t="array" ref="M54">_xlfn.IFS(C54&lt;I54,"ABAIXO",C54&gt;I54,"ACIMA",C54=I54,"OK")</f>
        <v>ACIMA</v>
      </c>
      <c r="P54" s="87">
        <f t="shared" si="6"/>
        <v>6960</v>
      </c>
      <c r="Q54" s="29" t="str">
        <f>_xlfn.XLOOKUP(P54,'[1]ESCALA DE PRODUÇÃO'!$AL$1:$AL$1048566,'[1]ESCALA DE PRODUÇÃO'!$AJ$1:$AJ$1048566,"NÃO ENCOTRADO")</f>
        <v>006960 - ROTISSERIA NHOQUE AO MOLHO SUGO KG</v>
      </c>
      <c r="R54" s="44">
        <f>C54</f>
        <v>3</v>
      </c>
      <c r="S54" s="45">
        <f>(F54)</f>
        <v>6.6666666666666661</v>
      </c>
    </row>
    <row r="55" spans="1:19" ht="15" thickBot="1" x14ac:dyDescent="0.4">
      <c r="A55" s="85" t="s">
        <v>8</v>
      </c>
      <c r="B55" s="6" t="s">
        <v>182</v>
      </c>
      <c r="C55" s="3" t="s">
        <v>2</v>
      </c>
      <c r="D55" s="3" t="s">
        <v>106</v>
      </c>
      <c r="E55" s="3" t="s">
        <v>4</v>
      </c>
      <c r="F55" s="3" t="s">
        <v>6</v>
      </c>
      <c r="G55" s="4" t="s">
        <v>3</v>
      </c>
      <c r="H55" s="3" t="s">
        <v>5</v>
      </c>
      <c r="I55" s="7" t="s">
        <v>157</v>
      </c>
      <c r="J55" s="7" t="s">
        <v>152</v>
      </c>
      <c r="K55" s="7" t="s">
        <v>153</v>
      </c>
      <c r="L55" s="3" t="s">
        <v>104</v>
      </c>
      <c r="M55" s="86" t="s">
        <v>105</v>
      </c>
      <c r="P55" s="85" t="s">
        <v>8</v>
      </c>
      <c r="Q55" s="6" t="s">
        <v>182</v>
      </c>
      <c r="R55" s="3" t="s">
        <v>2</v>
      </c>
      <c r="S55" s="3" t="s">
        <v>6</v>
      </c>
    </row>
    <row r="56" spans="1:19" ht="19" thickBot="1" x14ac:dyDescent="0.5">
      <c r="A56" s="87">
        <f>('[1]ESCALA DE PRODUÇÃO'!V44)</f>
        <v>8663</v>
      </c>
      <c r="B56" s="29" t="str">
        <f>_xlfn.XLOOKUP(A56,'[1]ESCALA DE PRODUÇÃO'!$AL$1:$AL$1048566,'[1]ESCALA DE PRODUÇÃO'!$AJ$1:$AJ$1048566,"NÃO ENCOTRADO")</f>
        <v>008663 - ROTISSERIA RONDELE FRANGO REQUEIJAO BENDITO KG</v>
      </c>
      <c r="C56" s="44">
        <v>5</v>
      </c>
      <c r="D56" s="28" t="str">
        <f>_xlfn.XLOOKUP(A56,'[1]ESCALA DE PRODUÇÃO'!$AL$1:$AL$1048566,'[1]ESCALA DE PRODUÇÃO'!$AK$1:$AK$1048566,"0")</f>
        <v>KG/0001</v>
      </c>
      <c r="E56" s="32">
        <f>('[1]ESCALA DE PRODUÇÃO'!X44)</f>
        <v>0</v>
      </c>
      <c r="F56" s="45" t="str">
        <f>IFERROR(C56/E56,"0")</f>
        <v>0</v>
      </c>
      <c r="G56" s="30">
        <f>_xlfn.XLOOKUP(A56,'[1]ESCALA DE PRODUÇÃO'!$AL$1:$AL$1048566,'[1]ESCALA DE PRODUÇÃO'!$AM$1:$AM$1048566,"SEM PREÇO")</f>
        <v>69.900000000000006</v>
      </c>
      <c r="H56" s="33">
        <f>IFERROR(C56*G56,"0")</f>
        <v>349.5</v>
      </c>
      <c r="I56" s="50" t="str">
        <f>_xlfn.XLOOKUP(A56,'DADOS DE VENDA'!Y:Y,'DADOS DE VENDA'!AB:AB,"SEM VENDA")</f>
        <v>SEM VENDA</v>
      </c>
      <c r="J56" s="42" t="str">
        <f>IFERROR(I56/E56,"0")</f>
        <v>0</v>
      </c>
      <c r="K56" s="43" t="str">
        <f>IFERROR(I56*G56,"0")</f>
        <v>0</v>
      </c>
      <c r="L56" s="51" t="str">
        <f>_xlfn.XLOOKUP(A56,'DADOS DE VENDA'!Y:Y,'DADOS DE VENDA'!AC:AC,"RUPTURA NO PERIODO")</f>
        <v>RUPTURA NO PERIODO</v>
      </c>
      <c r="M56" s="88" t="str" cm="1">
        <f t="array" ref="M56">_xlfn.IFS(C56&lt;I56,"ABAIXO",C56&gt;I56,"ACIMA",C56=I56,"OK")</f>
        <v>ABAIXO</v>
      </c>
      <c r="P56" s="87">
        <f t="shared" si="6"/>
        <v>8663</v>
      </c>
      <c r="Q56" s="29" t="str">
        <f>_xlfn.XLOOKUP(P56,'[1]ESCALA DE PRODUÇÃO'!$AL$1:$AL$1048566,'[1]ESCALA DE PRODUÇÃO'!$AJ$1:$AJ$1048566,"NÃO ENCOTRADO")</f>
        <v>008663 - ROTISSERIA RONDELE FRANGO REQUEIJAO BENDITO KG</v>
      </c>
      <c r="R56" s="44">
        <f>C56</f>
        <v>5</v>
      </c>
      <c r="S56" s="45" t="str">
        <f>F56</f>
        <v>0</v>
      </c>
    </row>
    <row r="57" spans="1:19" ht="19" thickBot="1" x14ac:dyDescent="0.5">
      <c r="A57" s="87">
        <f>('[1]ESCALA DE PRODUÇÃO'!V45)</f>
        <v>0</v>
      </c>
      <c r="B57" s="29" t="str">
        <f>_xlfn.XLOOKUP(A57,'[1]ESCALA DE PRODUÇÃO'!$AL$1:$AL$1048566,'[1]ESCALA DE PRODUÇÃO'!$AJ$1:$AJ$1048566,"NÃO ENCOTRADO")</f>
        <v>NÃO ENCOTRADO</v>
      </c>
      <c r="C57" s="44">
        <v>6</v>
      </c>
      <c r="D57" s="28" t="str">
        <f>_xlfn.XLOOKUP(A57,'[1]ESCALA DE PRODUÇÃO'!$AL$1:$AL$1048566,'[1]ESCALA DE PRODUÇÃO'!$AK$1:$AK$1048566,"0")</f>
        <v>0</v>
      </c>
      <c r="E57" s="32">
        <f>('[1]ESCALA DE PRODUÇÃO'!X45)</f>
        <v>0</v>
      </c>
      <c r="F57" s="45" t="str">
        <f>IFERROR(C57/E57,"0")</f>
        <v>0</v>
      </c>
      <c r="G57" s="30" t="str">
        <f>_xlfn.XLOOKUP(A57,'[1]ESCALA DE PRODUÇÃO'!$AL$1:$AL$1048566,'[1]ESCALA DE PRODUÇÃO'!$AM$1:$AM$1048566,"SEM PREÇO")</f>
        <v>SEM PREÇO</v>
      </c>
      <c r="H57" s="33" t="str">
        <f>IFERROR(C57*G57,"0")</f>
        <v>0</v>
      </c>
      <c r="I57" s="50" t="str">
        <f>_xlfn.XLOOKUP(A57,'DADOS DE VENDA'!Y:Y,'DADOS DE VENDA'!AB:AB,"SEM VENDA")</f>
        <v>SEM VENDA</v>
      </c>
      <c r="J57" s="42" t="str">
        <f>IFERROR(I57/E57,"0")</f>
        <v>0</v>
      </c>
      <c r="K57" s="43" t="str">
        <f>IFERROR(I57*G57,"0")</f>
        <v>0</v>
      </c>
      <c r="L57" s="51" t="str">
        <f>_xlfn.XLOOKUP(A57,'DADOS DE VENDA'!Y:Y,'DADOS DE VENDA'!AC:AC,"RUPTURA NO PERIODO")</f>
        <v>RUPTURA NO PERIODO</v>
      </c>
      <c r="M57" s="88" t="str" cm="1">
        <f t="array" ref="M57">_xlfn.IFS(C57&lt;I57,"ABAIXO",C57&gt;I57,"ACIMA",C57=I57,"OK")</f>
        <v>ABAIXO</v>
      </c>
      <c r="P57" s="87">
        <f t="shared" si="6"/>
        <v>0</v>
      </c>
      <c r="Q57" s="29" t="str">
        <f>_xlfn.XLOOKUP(P57,'[1]ESCALA DE PRODUÇÃO'!$AL$1:$AL$1048566,'[1]ESCALA DE PRODUÇÃO'!$AJ$1:$AJ$1048566,"NÃO ENCOTRADO")</f>
        <v>NÃO ENCOTRADO</v>
      </c>
      <c r="R57" s="44">
        <f>C57</f>
        <v>6</v>
      </c>
      <c r="S57" s="45" t="str">
        <f>F57</f>
        <v>0</v>
      </c>
    </row>
    <row r="58" spans="1:19" ht="19" thickBot="1" x14ac:dyDescent="0.5">
      <c r="A58" s="87">
        <f>('[1]ESCALA DE PRODUÇÃO'!V46)</f>
        <v>0</v>
      </c>
      <c r="B58" s="29" t="str">
        <f>_xlfn.XLOOKUP(A58,'[1]ESCALA DE PRODUÇÃO'!$AL$1:$AL$1048566,'[1]ESCALA DE PRODUÇÃO'!$AJ$1:$AJ$1048566,"NÃO ENCOTRADO")</f>
        <v>NÃO ENCOTRADO</v>
      </c>
      <c r="C58" s="44">
        <v>7</v>
      </c>
      <c r="D58" s="28" t="str">
        <f>_xlfn.XLOOKUP(A58,'[1]ESCALA DE PRODUÇÃO'!$AL$1:$AL$1048566,'[1]ESCALA DE PRODUÇÃO'!$AK$1:$AK$1048566,"0")</f>
        <v>0</v>
      </c>
      <c r="E58" s="32">
        <f>('[1]ESCALA DE PRODUÇÃO'!X46)</f>
        <v>4</v>
      </c>
      <c r="F58" s="45">
        <f>IFERROR(C58/E58,"0")</f>
        <v>1.75</v>
      </c>
      <c r="G58" s="30" t="str">
        <f>_xlfn.XLOOKUP(A58,'[1]ESCALA DE PRODUÇÃO'!$AL$1:$AL$1048566,'[1]ESCALA DE PRODUÇÃO'!$AM$1:$AM$1048566,"SEM PREÇO")</f>
        <v>SEM PREÇO</v>
      </c>
      <c r="H58" s="33" t="str">
        <f>IFERROR(C58*G58,"0")</f>
        <v>0</v>
      </c>
      <c r="I58" s="50" t="str">
        <f>_xlfn.XLOOKUP(A58,'DADOS DE VENDA'!Y:Y,'DADOS DE VENDA'!AB:AB,"SEM VENDA")</f>
        <v>SEM VENDA</v>
      </c>
      <c r="J58" s="42" t="str">
        <f>IFERROR(I58/E58,"0")</f>
        <v>0</v>
      </c>
      <c r="K58" s="43" t="str">
        <f>IFERROR(I58*G58,"0")</f>
        <v>0</v>
      </c>
      <c r="L58" s="51" t="str">
        <f>_xlfn.XLOOKUP(A58,'DADOS DE VENDA'!Y:Y,'DADOS DE VENDA'!AC:AC,"RUPTURA NO PERIODO")</f>
        <v>RUPTURA NO PERIODO</v>
      </c>
      <c r="M58" s="88" t="str" cm="1">
        <f t="array" ref="M58">_xlfn.IFS(C58&lt;I58,"ABAIXO",C58&gt;I58,"ACIMA",C58=I58,"OK")</f>
        <v>ABAIXO</v>
      </c>
      <c r="P58" s="87">
        <f t="shared" si="6"/>
        <v>0</v>
      </c>
      <c r="Q58" s="29" t="str">
        <f>_xlfn.XLOOKUP(P58,'[1]ESCALA DE PRODUÇÃO'!$AL$1:$AL$1048566,'[1]ESCALA DE PRODUÇÃO'!$AJ$1:$AJ$1048566,"NÃO ENCOTRADO")</f>
        <v>NÃO ENCOTRADO</v>
      </c>
      <c r="R58" s="44">
        <f>C58</f>
        <v>7</v>
      </c>
      <c r="S58" s="45">
        <f>F58</f>
        <v>1.75</v>
      </c>
    </row>
    <row r="59" spans="1:19" ht="19" thickBot="1" x14ac:dyDescent="0.5">
      <c r="A59" s="87">
        <f>('[1]ESCALA DE PRODUÇÃO'!V47)</f>
        <v>0</v>
      </c>
      <c r="B59" s="29" t="str">
        <f>_xlfn.XLOOKUP(A59,'[1]ESCALA DE PRODUÇÃO'!$AL$1:$AL$1048566,'[1]ESCALA DE PRODUÇÃO'!$AJ$1:$AJ$1048566,"NÃO ENCOTRADO")</f>
        <v>NÃO ENCOTRADO</v>
      </c>
      <c r="C59" s="44">
        <v>8</v>
      </c>
      <c r="D59" s="28" t="str">
        <f>_xlfn.XLOOKUP(A59,'[1]ESCALA DE PRODUÇÃO'!$AL$1:$AL$1048566,'[1]ESCALA DE PRODUÇÃO'!$AK$1:$AK$1048566,"0")</f>
        <v>0</v>
      </c>
      <c r="E59" s="32">
        <f>('[1]ESCALA DE PRODUÇÃO'!X47)</f>
        <v>5</v>
      </c>
      <c r="F59" s="45">
        <f>IFERROR(C59/E59,"0")</f>
        <v>1.6</v>
      </c>
      <c r="G59" s="30" t="str">
        <f>_xlfn.XLOOKUP(A59,'[1]ESCALA DE PRODUÇÃO'!$AL$1:$AL$1048566,'[1]ESCALA DE PRODUÇÃO'!$AM$1:$AM$1048566,"SEM PREÇO")</f>
        <v>SEM PREÇO</v>
      </c>
      <c r="H59" s="33" t="str">
        <f>IFERROR(C59*G59,"0")</f>
        <v>0</v>
      </c>
      <c r="I59" s="50" t="str">
        <f>_xlfn.XLOOKUP(A59,'DADOS DE VENDA'!Y:Y,'DADOS DE VENDA'!AB:AB,"SEM VENDA")</f>
        <v>SEM VENDA</v>
      </c>
      <c r="J59" s="42" t="str">
        <f>IFERROR(I59/E59,"0")</f>
        <v>0</v>
      </c>
      <c r="K59" s="43" t="str">
        <f>IFERROR(I59*G59,"0")</f>
        <v>0</v>
      </c>
      <c r="L59" s="51" t="str">
        <f>_xlfn.XLOOKUP(A59,'DADOS DE VENDA'!Y:Y,'DADOS DE VENDA'!AC:AC,"RUPTURA NO PERIODO")</f>
        <v>RUPTURA NO PERIODO</v>
      </c>
      <c r="M59" s="88" t="str" cm="1">
        <f t="array" ref="M59">_xlfn.IFS(C59&lt;I59,"ABAIXO",C59&gt;I59,"ACIMA",C59=I59,"OK")</f>
        <v>ABAIXO</v>
      </c>
      <c r="P59" s="87">
        <f t="shared" si="6"/>
        <v>0</v>
      </c>
      <c r="Q59" s="29" t="str">
        <f>_xlfn.XLOOKUP(P59,'[1]ESCALA DE PRODUÇÃO'!$AL$1:$AL$1048566,'[1]ESCALA DE PRODUÇÃO'!$AJ$1:$AJ$1048566,"NÃO ENCOTRADO")</f>
        <v>NÃO ENCOTRADO</v>
      </c>
      <c r="R59" s="44">
        <f>C59</f>
        <v>8</v>
      </c>
      <c r="S59" s="45">
        <f>F59</f>
        <v>1.6</v>
      </c>
    </row>
    <row r="60" spans="1:19" ht="19" thickBot="1" x14ac:dyDescent="0.5">
      <c r="A60" s="87"/>
      <c r="B60" s="103" t="s">
        <v>176</v>
      </c>
      <c r="C60" s="103" t="s">
        <v>173</v>
      </c>
      <c r="D60" s="159"/>
      <c r="E60" s="160"/>
      <c r="F60" s="105" t="s">
        <v>174</v>
      </c>
      <c r="G60" s="161">
        <f>SUM(H51,H52,H53,H54,H56,H57,H58,H59)</f>
        <v>985.8</v>
      </c>
      <c r="H60" s="162"/>
      <c r="I60" s="50">
        <f>_xlfn.XLOOKUP(A60,'DADOS DE VENDA'!Y:Y,'DADOS DE VENDA'!AB:AB,"SEM VENDA")</f>
        <v>0</v>
      </c>
      <c r="J60" s="163">
        <f>SUM(H51,H52,H53,H54,H56,H57,H58,H59)</f>
        <v>985.8</v>
      </c>
      <c r="K60" s="164"/>
      <c r="L60" s="104"/>
      <c r="M60" s="107"/>
      <c r="P60" s="147" t="s">
        <v>5</v>
      </c>
      <c r="Q60" s="148"/>
      <c r="R60" s="149">
        <f>G60</f>
        <v>985.8</v>
      </c>
      <c r="S60" s="150"/>
    </row>
    <row r="62" spans="1:19" ht="15" thickBot="1" x14ac:dyDescent="0.4"/>
    <row r="63" spans="1:19" x14ac:dyDescent="0.35">
      <c r="P63" s="166" t="s">
        <v>225</v>
      </c>
      <c r="Q63" s="167"/>
      <c r="R63" s="172">
        <f>SUM(R28,R45,R60)</f>
        <v>2333.0699999999997</v>
      </c>
      <c r="S63" s="173"/>
    </row>
    <row r="64" spans="1:19" x14ac:dyDescent="0.35">
      <c r="P64" s="168"/>
      <c r="Q64" s="169"/>
      <c r="R64" s="174"/>
      <c r="S64" s="175"/>
    </row>
    <row r="65" spans="16:19" ht="15" thickBot="1" x14ac:dyDescent="0.4">
      <c r="P65" s="170"/>
      <c r="Q65" s="171"/>
      <c r="R65" s="176"/>
      <c r="S65" s="177"/>
    </row>
  </sheetData>
  <mergeCells count="41">
    <mergeCell ref="A2:B2"/>
    <mergeCell ref="C2:H2"/>
    <mergeCell ref="I2:M2"/>
    <mergeCell ref="A49:B49"/>
    <mergeCell ref="D28:E28"/>
    <mergeCell ref="G28:H28"/>
    <mergeCell ref="J28:K28"/>
    <mergeCell ref="C49:H49"/>
    <mergeCell ref="I49:M49"/>
    <mergeCell ref="P63:Q65"/>
    <mergeCell ref="R63:S65"/>
    <mergeCell ref="A31:H31"/>
    <mergeCell ref="I31:M31"/>
    <mergeCell ref="A32:B32"/>
    <mergeCell ref="C32:H32"/>
    <mergeCell ref="I32:M32"/>
    <mergeCell ref="D45:E45"/>
    <mergeCell ref="G45:H45"/>
    <mergeCell ref="J45:K45"/>
    <mergeCell ref="A48:H48"/>
    <mergeCell ref="I48:M48"/>
    <mergeCell ref="D60:E60"/>
    <mergeCell ref="P31:Q31"/>
    <mergeCell ref="G60:H60"/>
    <mergeCell ref="J60:K60"/>
    <mergeCell ref="A1:H1"/>
    <mergeCell ref="I1:M1"/>
    <mergeCell ref="P60:Q60"/>
    <mergeCell ref="R60:S60"/>
    <mergeCell ref="P48:Q48"/>
    <mergeCell ref="P49:Q49"/>
    <mergeCell ref="R49:S49"/>
    <mergeCell ref="P1:Q1"/>
    <mergeCell ref="P2:Q2"/>
    <mergeCell ref="R2:S2"/>
    <mergeCell ref="P28:Q28"/>
    <mergeCell ref="R28:S28"/>
    <mergeCell ref="P32:Q32"/>
    <mergeCell ref="R32:S32"/>
    <mergeCell ref="P45:Q45"/>
    <mergeCell ref="R45:S45"/>
  </mergeCells>
  <conditionalFormatting sqref="I4:I6 I8:I10 I12:I13 I15:I16 I18:I20 I22:I24 I26:I28">
    <cfRule type="containsText" dxfId="19" priority="9" operator="containsText" text="SEM VENDA">
      <formula>NOT(ISERROR(SEARCH("SEM VENDA",I4)))</formula>
    </cfRule>
  </conditionalFormatting>
  <conditionalFormatting sqref="I29:I30">
    <cfRule type="containsText" dxfId="18" priority="12" operator="containsText" text="SEM VENDAS">
      <formula>NOT(ISERROR(SEARCH("SEM VENDAS",I29)))</formula>
    </cfRule>
  </conditionalFormatting>
  <conditionalFormatting sqref="I34:I36 I38:I40 I42:I45">
    <cfRule type="containsText" dxfId="17" priority="7" operator="containsText" text="SEM VENDA">
      <formula>NOT(ISERROR(SEARCH("SEM VENDA",I34)))</formula>
    </cfRule>
  </conditionalFormatting>
  <conditionalFormatting sqref="I51:I54 I56:I60">
    <cfRule type="containsText" dxfId="16" priority="2" operator="containsText" text="SEM VENDA">
      <formula>NOT(ISERROR(SEARCH("SEM VENDA",I51)))</formula>
    </cfRule>
  </conditionalFormatting>
  <conditionalFormatting sqref="L4:L6 L8:L10 L12:L13 L15:L16 L18:L20 L22:L24 L26:L30">
    <cfRule type="containsText" dxfId="15" priority="10" operator="containsText" text="RUPTURA NO PERIODO">
      <formula>NOT(ISERROR(SEARCH("RUPTURA NO PERIODO",L4)))</formula>
    </cfRule>
  </conditionalFormatting>
  <conditionalFormatting sqref="L34:L36 L38:L40 L42:L45">
    <cfRule type="containsText" dxfId="14" priority="8" operator="containsText" text="RUPTURA NO PERIODO">
      <formula>NOT(ISERROR(SEARCH("RUPTURA NO PERIODO",L34)))</formula>
    </cfRule>
  </conditionalFormatting>
  <conditionalFormatting sqref="L51:L54">
    <cfRule type="containsText" dxfId="13" priority="3" operator="containsText" text="RUPTURA NO PERIODO">
      <formula>NOT(ISERROR(SEARCH("RUPTURA NO PERIODO",L51)))</formula>
    </cfRule>
  </conditionalFormatting>
  <conditionalFormatting sqref="L56:L60">
    <cfRule type="containsText" dxfId="12" priority="1" operator="containsText" text="RUPTURA NO PERIODO">
      <formula>NOT(ISERROR(SEARCH("RUPTURA NO PERIODO",L56)))</formula>
    </cfRule>
  </conditionalFormatting>
  <pageMargins left="0.25" right="0.25" top="0.75" bottom="0.75" header="0.3" footer="0.3"/>
  <pageSetup scale="32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193C-4848-4CF9-8E16-9110DC232407}">
  <sheetPr>
    <tabColor rgb="FFFFC000"/>
    <pageSetUpPr fitToPage="1"/>
  </sheetPr>
  <dimension ref="A1:S74"/>
  <sheetViews>
    <sheetView topLeftCell="J56" zoomScale="73" workbookViewId="0">
      <selection activeCell="P40" sqref="P40:S74"/>
    </sheetView>
  </sheetViews>
  <sheetFormatPr defaultRowHeight="14.5" x14ac:dyDescent="0.35"/>
  <cols>
    <col min="2" max="2" width="54.7265625" bestFit="1" customWidth="1"/>
    <col min="3" max="3" width="8.453125" customWidth="1"/>
    <col min="4" max="4" width="8.1796875" customWidth="1"/>
    <col min="5" max="5" width="7" customWidth="1"/>
    <col min="6" max="6" width="9.26953125" bestFit="1" customWidth="1"/>
    <col min="7" max="7" width="11.26953125" style="2" bestFit="1" customWidth="1"/>
    <col min="8" max="8" width="11.6328125" bestFit="1" customWidth="1"/>
    <col min="9" max="9" width="14" bestFit="1" customWidth="1"/>
    <col min="10" max="10" width="10.90625" customWidth="1"/>
    <col min="11" max="11" width="15.453125" bestFit="1" customWidth="1"/>
    <col min="12" max="12" width="26.26953125" bestFit="1" customWidth="1"/>
    <col min="17" max="17" width="86" bestFit="1" customWidth="1"/>
    <col min="19" max="19" width="12" bestFit="1" customWidth="1"/>
  </cols>
  <sheetData>
    <row r="1" spans="1:19" ht="21.5" thickBot="1" x14ac:dyDescent="0.55000000000000004">
      <c r="A1" s="209" t="s">
        <v>194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P1" s="157" t="s">
        <v>194</v>
      </c>
      <c r="Q1" s="158"/>
      <c r="R1" s="132" t="s">
        <v>102</v>
      </c>
      <c r="S1" s="131">
        <v>46032</v>
      </c>
    </row>
    <row r="2" spans="1:19" ht="15" thickBot="1" x14ac:dyDescent="0.4">
      <c r="A2" s="186" t="s">
        <v>154</v>
      </c>
      <c r="B2" s="152"/>
      <c r="C2" s="145" t="s">
        <v>155</v>
      </c>
      <c r="D2" s="146"/>
      <c r="E2" s="146"/>
      <c r="F2" s="146"/>
      <c r="G2" s="146"/>
      <c r="H2" s="156"/>
      <c r="I2" s="146" t="s">
        <v>156</v>
      </c>
      <c r="J2" s="146"/>
      <c r="K2" s="146"/>
      <c r="L2" s="146"/>
      <c r="M2" s="146"/>
      <c r="P2" s="151" t="s">
        <v>192</v>
      </c>
      <c r="Q2" s="152"/>
      <c r="R2" s="145" t="s">
        <v>155</v>
      </c>
      <c r="S2" s="146"/>
    </row>
    <row r="3" spans="1:19" ht="15" thickBot="1" x14ac:dyDescent="0.4">
      <c r="A3" s="5" t="s">
        <v>8</v>
      </c>
      <c r="B3" s="6" t="s">
        <v>164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P3" s="85" t="s">
        <v>8</v>
      </c>
      <c r="Q3" s="6" t="s">
        <v>164</v>
      </c>
      <c r="R3" s="3" t="s">
        <v>2</v>
      </c>
      <c r="S3" s="3" t="s">
        <v>6</v>
      </c>
    </row>
    <row r="4" spans="1:19" ht="19" thickBot="1" x14ac:dyDescent="0.5">
      <c r="A4" s="28">
        <f>('[1]ESCALA DE PRODUÇÃO'!AA3)</f>
        <v>7673</v>
      </c>
      <c r="B4" s="29" t="str">
        <f>_xlfn.XLOOKUP(A4,'[1]ESCALA DE PRODUÇÃO'!$AL$1:$AL$1048566,'[1]ESCALA DE PRODUÇÃO'!$AJ$1:$AJ$1048566,"NÃO ENCOTRADO")</f>
        <v>007673 - REFEICAO FILE FRANGO PARMEGIANA BENDITO UN</v>
      </c>
      <c r="C4" s="44">
        <v>24</v>
      </c>
      <c r="D4" s="28" t="str">
        <f>_xlfn.XLOOKUP(A4,'[1]ESCALA DE PRODUÇÃO'!$AL$1:$AL$1048566,'[1]ESCALA DE PRODUÇÃO'!$AK$1:$AK$1048566,"0")</f>
        <v>UN/0001</v>
      </c>
      <c r="E4" s="32">
        <f>('[1]ESCALA DE PRODUÇÃO'!AC3)</f>
        <v>1</v>
      </c>
      <c r="F4" s="45">
        <f>IFERROR(C4/E4,"0")</f>
        <v>24</v>
      </c>
      <c r="G4" s="30">
        <f>_xlfn.XLOOKUP(A4,'[1]ESCALA DE PRODUÇÃO'!$AL$1:$AL$1048566,'[1]ESCALA DE PRODUÇÃO'!$AM$1:$AM$1048566,"SEM PREÇO")</f>
        <v>25.9</v>
      </c>
      <c r="H4" s="31">
        <f>IFERROR(C4*G4,"0")</f>
        <v>621.59999999999991</v>
      </c>
      <c r="I4" s="46">
        <f>_xlfn.XLOOKUP(A4,'DADOS DE VENDA'!AE:AE,'DADOS DE VENDA'!AH:AH,"SEM VENDA")</f>
        <v>15</v>
      </c>
      <c r="J4" s="47">
        <f>IFERROR(I4/E4,"0")</f>
        <v>15</v>
      </c>
      <c r="K4" s="48">
        <f>IFERROR(I4*G4,"0")</f>
        <v>388.5</v>
      </c>
      <c r="L4" s="49" t="str">
        <f>_xlfn.XLOOKUP(A4,'DADOS DE VENDA'!A:A,'DADOS DE VENDA'!E:E,"RUPTURA NO PERIODO")</f>
        <v>RUPTURA NO PERIODO</v>
      </c>
      <c r="M4" s="88" t="str" cm="1">
        <f t="array" ref="M4">_xlfn.IFS(C4&lt;I4,"ABAIXO",C4&gt;I4,"ACIMA",C4=I4,"OK")</f>
        <v>ACIMA</v>
      </c>
      <c r="P4" s="87">
        <f>(A4)</f>
        <v>7673</v>
      </c>
      <c r="Q4" s="29" t="str">
        <f>_xlfn.XLOOKUP(P4,'[1]ESCALA DE PRODUÇÃO'!$AL$1:$AL$1048566,'[1]ESCALA DE PRODUÇÃO'!$AJ$1:$AJ$1048566,"NÃO ENCOTRADO")</f>
        <v>007673 - REFEICAO FILE FRANGO PARMEGIANA BENDITO UN</v>
      </c>
      <c r="R4" s="44">
        <f>C4</f>
        <v>24</v>
      </c>
      <c r="S4" s="45">
        <f>(F4)</f>
        <v>24</v>
      </c>
    </row>
    <row r="5" spans="1:19" ht="19" thickBot="1" x14ac:dyDescent="0.5">
      <c r="A5" s="28">
        <f>('[1]ESCALA DE PRODUÇÃO'!AA4)</f>
        <v>7660</v>
      </c>
      <c r="B5" s="29" t="str">
        <f>_xlfn.XLOOKUP(A5,'[1]ESCALA DE PRODUÇÃO'!$AL$1:$AL$1048566,'[1]ESCALA DE PRODUÇÃO'!$AJ$1:$AJ$1048566,"NÃO ENCOTRADO")</f>
        <v>007660 - REFEICAO FEIJOADA BENDITO UN</v>
      </c>
      <c r="C5" s="44">
        <v>16</v>
      </c>
      <c r="D5" s="28" t="str">
        <f>_xlfn.XLOOKUP(A5,'[1]ESCALA DE PRODUÇÃO'!$AL$1:$AL$1048566,'[1]ESCALA DE PRODUÇÃO'!$AK$1:$AK$1048566,"0")</f>
        <v>UN/0001</v>
      </c>
      <c r="E5" s="32">
        <f>('[1]ESCALA DE PRODUÇÃO'!AC4)</f>
        <v>1</v>
      </c>
      <c r="F5" s="45">
        <f>IFERROR(C5/E5,"0")</f>
        <v>16</v>
      </c>
      <c r="G5" s="30">
        <f>_xlfn.XLOOKUP(A5,'[1]ESCALA DE PRODUÇÃO'!$AL$1:$AL$1048566,'[1]ESCALA DE PRODUÇÃO'!$AM$1:$AM$1048566,"SEM PREÇO")</f>
        <v>25.9</v>
      </c>
      <c r="H5" s="33">
        <f>IFERROR(C5*G5,"0")</f>
        <v>414.4</v>
      </c>
      <c r="I5" s="46">
        <f>_xlfn.XLOOKUP(A5,'DADOS DE VENDA'!AE:AE,'DADOS DE VENDA'!AH:AH,"SEM VENDA")</f>
        <v>12</v>
      </c>
      <c r="J5" s="42">
        <f>IFERROR(I5/E5,"0")</f>
        <v>12</v>
      </c>
      <c r="K5" s="43">
        <f>IFERROR(I5*G5,"0")</f>
        <v>310.79999999999995</v>
      </c>
      <c r="L5" s="51" t="str">
        <f>_xlfn.XLOOKUP(A5,'DADOS DE VENDA'!A:A,'DADOS DE VENDA'!E:E,"RUPTURA NO PERIODO")</f>
        <v>RUPTURA NO PERIODO</v>
      </c>
      <c r="M5" s="88" t="str" cm="1">
        <f t="array" ref="M5">_xlfn.IFS(C5&lt;I5,"ABAIXO",C5&gt;I5,"ACIMA",C5=I5,"OK")</f>
        <v>ACIMA</v>
      </c>
      <c r="P5" s="87">
        <f t="shared" ref="P5:P27" si="0">(A5)</f>
        <v>7660</v>
      </c>
      <c r="Q5" s="29" t="str">
        <f>_xlfn.XLOOKUP(P5,'[1]ESCALA DE PRODUÇÃO'!$AL$1:$AL$1048566,'[1]ESCALA DE PRODUÇÃO'!$AJ$1:$AJ$1048566,"NÃO ENCOTRADO")</f>
        <v>007660 - REFEICAO FEIJOADA BENDITO UN</v>
      </c>
      <c r="R5" s="44">
        <f t="shared" ref="R5:R27" si="1">C5</f>
        <v>16</v>
      </c>
      <c r="S5" s="45">
        <f t="shared" ref="S5:S27" si="2">(F5)</f>
        <v>16</v>
      </c>
    </row>
    <row r="6" spans="1:19" ht="19" thickBot="1" x14ac:dyDescent="0.5">
      <c r="A6" s="28">
        <f>('[1]ESCALA DE PRODUÇÃO'!AA5)</f>
        <v>7305</v>
      </c>
      <c r="B6" s="29" t="str">
        <f>_xlfn.XLOOKUP(A6,'[1]ESCALA DE PRODUÇÃO'!$AL$1:$AL$1048566,'[1]ESCALA DE PRODUÇÃO'!$AJ$1:$AJ$1048566,"NÃO ENCOTRADO")</f>
        <v>NÃO ENCOTRADO</v>
      </c>
      <c r="C6" s="44">
        <v>0</v>
      </c>
      <c r="D6" s="28" t="str">
        <f>_xlfn.XLOOKUP(A6,'[1]ESCALA DE PRODUÇÃO'!$AL$1:$AL$1048566,'[1]ESCALA DE PRODUÇÃO'!$AK$1:$AK$1048566,"0")</f>
        <v>0</v>
      </c>
      <c r="E6" s="32">
        <f>('[1]ESCALA DE PRODUÇÃO'!AC5)</f>
        <v>1</v>
      </c>
      <c r="F6" s="45">
        <f>IFERROR(C6/E6,"0")</f>
        <v>0</v>
      </c>
      <c r="G6" s="30" t="str">
        <f>_xlfn.XLOOKUP(A6,'[1]ESCALA DE PRODUÇÃO'!$AL$1:$AL$1048566,'[1]ESCALA DE PRODUÇÃO'!$AM$1:$AM$1048566,"SEM PREÇO")</f>
        <v>SEM PREÇO</v>
      </c>
      <c r="H6" s="33" t="str">
        <f>IFERROR(C6*G6,"0")</f>
        <v>0</v>
      </c>
      <c r="I6" s="46" t="str">
        <f>_xlfn.XLOOKUP(A6,'DADOS DE VENDA'!AE:AE,'DADOS DE VENDA'!AH:AH,"SEM VENDA")</f>
        <v>SEM VENDA</v>
      </c>
      <c r="J6" s="42" t="str">
        <f>IFERROR(I6/E6,"0")</f>
        <v>0</v>
      </c>
      <c r="K6" s="43" t="str">
        <f>IFERROR(I6*G6,"0")</f>
        <v>0</v>
      </c>
      <c r="L6" s="51" t="str">
        <f>_xlfn.XLOOKUP(A6,'DADOS DE VENDA'!A:A,'DADOS DE VENDA'!E:E,"RUPTURA NO PERIODO")</f>
        <v>RUPTURA NO PERIODO</v>
      </c>
      <c r="M6" s="88" t="str" cm="1">
        <f t="array" ref="M6">_xlfn.IFS(C6&lt;I6,"ABAIXO",C6&gt;I6,"ACIMA",C6=I6,"OK")</f>
        <v>ABAIXO</v>
      </c>
      <c r="P6" s="87">
        <f t="shared" si="0"/>
        <v>7305</v>
      </c>
      <c r="Q6" s="29" t="str">
        <f>_xlfn.XLOOKUP(P6,'[1]ESCALA DE PRODUÇÃO'!$AL$1:$AL$1048566,'[1]ESCALA DE PRODUÇÃO'!$AJ$1:$AJ$1048566,"NÃO ENCOTRADO")</f>
        <v>NÃO ENCOTRADO</v>
      </c>
      <c r="R6" s="44">
        <f t="shared" si="1"/>
        <v>0</v>
      </c>
      <c r="S6" s="45">
        <f t="shared" si="2"/>
        <v>0</v>
      </c>
    </row>
    <row r="7" spans="1:19" ht="15" thickBot="1" x14ac:dyDescent="0.4">
      <c r="A7" s="5" t="s">
        <v>8</v>
      </c>
      <c r="B7" s="6" t="s">
        <v>165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P7" s="85" t="s">
        <v>8</v>
      </c>
      <c r="Q7" s="6" t="s">
        <v>165</v>
      </c>
      <c r="R7" s="3" t="s">
        <v>2</v>
      </c>
      <c r="S7" s="3" t="s">
        <v>6</v>
      </c>
    </row>
    <row r="8" spans="1:19" ht="19" thickBot="1" x14ac:dyDescent="0.5">
      <c r="A8" s="28">
        <f>('[1]ESCALA DE PRODUÇÃO'!AA7)</f>
        <v>8900</v>
      </c>
      <c r="B8" s="29" t="str">
        <f>_xlfn.XLOOKUP(A8,'[1]ESCALA DE PRODUÇÃO'!$AL$1:$AL$1048566,'[1]ESCALA DE PRODUÇÃO'!$AJ$1:$AJ$1048566,"NÃO ENCOTRADO")</f>
        <v>008900 - ROTISSERIA YAKISSOBA BENDITO KG</v>
      </c>
      <c r="C8" s="44">
        <v>4.5</v>
      </c>
      <c r="D8" s="28" t="str">
        <f>_xlfn.XLOOKUP(A8,'[1]ESCALA DE PRODUÇÃO'!$AL$1:$AL$1048566,'[1]ESCALA DE PRODUÇÃO'!$AK$1:$AK$1048566,"0")</f>
        <v>KG/0001</v>
      </c>
      <c r="E8" s="32">
        <f>('[1]ESCALA DE PRODUÇÃO'!AC7)</f>
        <v>0.35</v>
      </c>
      <c r="F8" s="45">
        <f>IFERROR(C8/E8,"0")</f>
        <v>12.857142857142858</v>
      </c>
      <c r="G8" s="30">
        <f>_xlfn.XLOOKUP(A8,'[1]ESCALA DE PRODUÇÃO'!$AL$1:$AL$1048566,'[1]ESCALA DE PRODUÇÃO'!$AM$1:$AM$1048566,"SEM PREÇO")</f>
        <v>44.9</v>
      </c>
      <c r="H8" s="33">
        <f>IFERROR(C8*G8,"0")</f>
        <v>202.04999999999998</v>
      </c>
      <c r="I8" s="46">
        <f>_xlfn.XLOOKUP(A8,'DADOS DE VENDA'!AE:AE,'DADOS DE VENDA'!AH:AH,"SEM VENDA")</f>
        <v>2.04</v>
      </c>
      <c r="J8" s="42">
        <f>IFERROR(I8/E8,"0")</f>
        <v>5.8285714285714292</v>
      </c>
      <c r="K8" s="43">
        <f>IFERROR(I8*G8,"0")</f>
        <v>91.596000000000004</v>
      </c>
      <c r="L8" s="51" t="str">
        <f>_xlfn.XLOOKUP(A8,'DADOS DE VENDA'!A:A,'DADOS DE VENDA'!E:E,"RUPTURA NO PERIODO")</f>
        <v>RUPTURA NO PERIODO</v>
      </c>
      <c r="M8" s="88" t="str" cm="1">
        <f t="array" ref="M8">_xlfn.IFS(C8&lt;I8,"ABAIXO",C8&gt;I8,"ACIMA",C8=I8,"OK")</f>
        <v>ACIMA</v>
      </c>
      <c r="P8" s="87">
        <f t="shared" si="0"/>
        <v>8900</v>
      </c>
      <c r="Q8" s="29" t="str">
        <f>_xlfn.XLOOKUP(P8,'[1]ESCALA DE PRODUÇÃO'!$AL$1:$AL$1048566,'[1]ESCALA DE PRODUÇÃO'!$AJ$1:$AJ$1048566,"NÃO ENCOTRADO")</f>
        <v>008900 - ROTISSERIA YAKISSOBA BENDITO KG</v>
      </c>
      <c r="R8" s="44">
        <f t="shared" si="1"/>
        <v>4.5</v>
      </c>
      <c r="S8" s="45">
        <f t="shared" si="2"/>
        <v>12.857142857142858</v>
      </c>
    </row>
    <row r="9" spans="1:19" ht="19" thickBot="1" x14ac:dyDescent="0.5">
      <c r="A9" s="28">
        <f>('[1]ESCALA DE PRODUÇÃO'!AA8)</f>
        <v>8480</v>
      </c>
      <c r="B9" s="29" t="str">
        <f>_xlfn.XLOOKUP(A9,'[1]ESCALA DE PRODUÇÃO'!$AL$1:$AL$1048566,'[1]ESCALA DE PRODUÇÃO'!$AJ$1:$AJ$1048566,"NÃO ENCOTRADO")</f>
        <v>008480 - ROTISSERIA MACARRONADA A BOLONHESA BENDITO KG</v>
      </c>
      <c r="C9" s="44">
        <v>4.5</v>
      </c>
      <c r="D9" s="28" t="str">
        <f>_xlfn.XLOOKUP(A9,'[1]ESCALA DE PRODUÇÃO'!$AL$1:$AL$1048566,'[1]ESCALA DE PRODUÇÃO'!$AK$1:$AK$1048566,"0")</f>
        <v>KG/0001</v>
      </c>
      <c r="E9" s="32">
        <f>('[1]ESCALA DE PRODUÇÃO'!AC8)</f>
        <v>0.35</v>
      </c>
      <c r="F9" s="45">
        <f>IFERROR(C9/E9,"0")</f>
        <v>12.857142857142858</v>
      </c>
      <c r="G9" s="30">
        <f>_xlfn.XLOOKUP(A9,'[1]ESCALA DE PRODUÇÃO'!$AL$1:$AL$1048566,'[1]ESCALA DE PRODUÇÃO'!$AM$1:$AM$1048566,"SEM PREÇO")</f>
        <v>39.9</v>
      </c>
      <c r="H9" s="33">
        <f>IFERROR(C9*G9,"0")</f>
        <v>179.54999999999998</v>
      </c>
      <c r="I9" s="46">
        <f>_xlfn.XLOOKUP(A9,'DADOS DE VENDA'!AE:AE,'DADOS DE VENDA'!AH:AH,"SEM VENDA")</f>
        <v>2.34</v>
      </c>
      <c r="J9" s="42">
        <f>IFERROR(I9/E9,"0")</f>
        <v>6.6857142857142859</v>
      </c>
      <c r="K9" s="43">
        <f>IFERROR(I9*G9,"0")</f>
        <v>93.365999999999985</v>
      </c>
      <c r="L9" s="51" t="str">
        <f>_xlfn.XLOOKUP(A9,'DADOS DE VENDA'!A:A,'DADOS DE VENDA'!E:E,"RUPTURA NO PERIODO")</f>
        <v>RUPTURA NO PERIODO</v>
      </c>
      <c r="M9" s="88" t="str" cm="1">
        <f t="array" ref="M9">_xlfn.IFS(C9&lt;I9,"ABAIXO",C9&gt;I9,"ACIMA",C9=I9,"OK")</f>
        <v>ACIMA</v>
      </c>
      <c r="P9" s="87">
        <f t="shared" si="0"/>
        <v>8480</v>
      </c>
      <c r="Q9" s="29" t="str">
        <f>_xlfn.XLOOKUP(P9,'[1]ESCALA DE PRODUÇÃO'!$AL$1:$AL$1048566,'[1]ESCALA DE PRODUÇÃO'!$AJ$1:$AJ$1048566,"NÃO ENCOTRADO")</f>
        <v>008480 - ROTISSERIA MACARRONADA A BOLONHESA BENDITO KG</v>
      </c>
      <c r="R9" s="44">
        <f t="shared" si="1"/>
        <v>4.5</v>
      </c>
      <c r="S9" s="45">
        <f t="shared" si="2"/>
        <v>12.857142857142858</v>
      </c>
    </row>
    <row r="10" spans="1:19" ht="19" thickBot="1" x14ac:dyDescent="0.5">
      <c r="A10" s="28">
        <f>('[1]ESCALA DE PRODUÇÃO'!AA9)</f>
        <v>8321</v>
      </c>
      <c r="B10" s="29" t="str">
        <f>_xlfn.XLOOKUP(A10,'[1]ESCALA DE PRODUÇÃO'!$AL$1:$AL$1048566,'[1]ESCALA DE PRODUÇÃO'!$AJ$1:$AJ$1048566,"NÃO ENCOTRADO")</f>
        <v>008321 - ROT.ESPAGUETE A BOLONHESA + POLPETONE RECHEADO BENDITO</v>
      </c>
      <c r="C10" s="44">
        <v>6</v>
      </c>
      <c r="D10" s="28" t="str">
        <f>_xlfn.XLOOKUP(A10,'[1]ESCALA DE PRODUÇÃO'!$AL$1:$AL$1048566,'[1]ESCALA DE PRODUÇÃO'!$AK$1:$AK$1048566,"0")</f>
        <v>UN/0001</v>
      </c>
      <c r="E10" s="32">
        <f>('[1]ESCALA DE PRODUÇÃO'!AC9)</f>
        <v>1</v>
      </c>
      <c r="F10" s="45">
        <f>IFERROR(C10/E10,"0")</f>
        <v>6</v>
      </c>
      <c r="G10" s="30">
        <f>_xlfn.XLOOKUP(A10,'[1]ESCALA DE PRODUÇÃO'!$AL$1:$AL$1048566,'[1]ESCALA DE PRODUÇÃO'!$AM$1:$AM$1048566,"SEM PREÇO")</f>
        <v>25.9</v>
      </c>
      <c r="H10" s="33">
        <f>IFERROR(C10*G10,"0")</f>
        <v>155.39999999999998</v>
      </c>
      <c r="I10" s="46">
        <f>_xlfn.XLOOKUP(A10,'DADOS DE VENDA'!AE:AE,'DADOS DE VENDA'!AH:AH,"SEM VENDA")</f>
        <v>7</v>
      </c>
      <c r="J10" s="42">
        <f>IFERROR(I10/E10,"0")</f>
        <v>7</v>
      </c>
      <c r="K10" s="43">
        <f>IFERROR(I10*G10,"0")</f>
        <v>181.29999999999998</v>
      </c>
      <c r="L10" s="51" t="str">
        <f>_xlfn.XLOOKUP(A10,'DADOS DE VENDA'!A:A,'DADOS DE VENDA'!E:E,"RUPTURA NO PERIODO")</f>
        <v>RUPTURA NO PERIODO</v>
      </c>
      <c r="M10" s="88" t="str" cm="1">
        <f t="array" ref="M10">_xlfn.IFS(C10&lt;I10,"ABAIXO",C10&gt;I10,"ACIMA",C10=I10,"OK")</f>
        <v>ABAIXO</v>
      </c>
      <c r="P10" s="87">
        <f t="shared" si="0"/>
        <v>8321</v>
      </c>
      <c r="Q10" s="29" t="str">
        <f>_xlfn.XLOOKUP(P10,'[1]ESCALA DE PRODUÇÃO'!$AL$1:$AL$1048566,'[1]ESCALA DE PRODUÇÃO'!$AJ$1:$AJ$1048566,"NÃO ENCOTRADO")</f>
        <v>008321 - ROT.ESPAGUETE A BOLONHESA + POLPETONE RECHEADO BENDITO</v>
      </c>
      <c r="R10" s="44">
        <f t="shared" si="1"/>
        <v>6</v>
      </c>
      <c r="S10" s="45">
        <f t="shared" si="2"/>
        <v>6</v>
      </c>
    </row>
    <row r="11" spans="1:19" ht="15" thickBot="1" x14ac:dyDescent="0.4">
      <c r="A11" s="5" t="s">
        <v>8</v>
      </c>
      <c r="B11" s="6" t="s">
        <v>166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P11" s="85" t="s">
        <v>8</v>
      </c>
      <c r="Q11" s="6" t="s">
        <v>166</v>
      </c>
      <c r="R11" s="3" t="s">
        <v>2</v>
      </c>
      <c r="S11" s="3" t="s">
        <v>6</v>
      </c>
    </row>
    <row r="12" spans="1:19" ht="19" thickBot="1" x14ac:dyDescent="0.5">
      <c r="A12" s="28">
        <f>('[1]ESCALA DE PRODUÇÃO'!AA11)</f>
        <v>8028</v>
      </c>
      <c r="B12" s="29" t="str">
        <f>_xlfn.XLOOKUP(A12,'[1]ESCALA DE PRODUÇÃO'!$AL$1:$AL$1048566,'[1]ESCALA DE PRODUÇÃO'!$AJ$1:$AJ$1048566,"NÃO ENCOTRADO")</f>
        <v>008028 - ROTISSERIA ARROZ BRANCO BENDITO KG</v>
      </c>
      <c r="C12" s="44">
        <v>1.5</v>
      </c>
      <c r="D12" s="28" t="str">
        <f>_xlfn.XLOOKUP(A12,'[1]ESCALA DE PRODUÇÃO'!$AL$1:$AL$1048566,'[1]ESCALA DE PRODUÇÃO'!$AK$1:$AK$1048566,"0")</f>
        <v>KG/0001</v>
      </c>
      <c r="E12" s="32">
        <f>('[1]ESCALA DE PRODUÇÃO'!AC11)</f>
        <v>0.12</v>
      </c>
      <c r="F12" s="45">
        <f>IFERROR(C12/E12,"0")</f>
        <v>12.5</v>
      </c>
      <c r="G12" s="30">
        <f>_xlfn.XLOOKUP(A12,'[1]ESCALA DE PRODUÇÃO'!$AL$1:$AL$1048566,'[1]ESCALA DE PRODUÇÃO'!$AM$1:$AM$1048566,"SEM PREÇO")</f>
        <v>28.9</v>
      </c>
      <c r="H12" s="33">
        <f>IFERROR(C12*G12,"0")</f>
        <v>43.349999999999994</v>
      </c>
      <c r="I12" s="46">
        <f>_xlfn.XLOOKUP(A12,'DADOS DE VENDA'!AE:AE,'DADOS DE VENDA'!AH:AH,"SEM VENDA")</f>
        <v>1.35</v>
      </c>
      <c r="J12" s="42">
        <f>IFERROR(I12/E12,"0")</f>
        <v>11.250000000000002</v>
      </c>
      <c r="K12" s="43">
        <f>IFERROR(I12*G12,"0")</f>
        <v>39.015000000000001</v>
      </c>
      <c r="L12" s="51" t="str">
        <f>_xlfn.XLOOKUP(A12,'DADOS DE VENDA'!A:A,'DADOS DE VENDA'!E:E,"RUPTURA NO PERIODO")</f>
        <v>19/01 a20/01</v>
      </c>
      <c r="M12" s="88" t="str" cm="1">
        <f t="array" ref="M12">_xlfn.IFS(C12&lt;I12,"ABAIXO",C12&gt;I12,"ACIMA",C12=I12,"OK")</f>
        <v>ACIMA</v>
      </c>
      <c r="P12" s="87">
        <f t="shared" si="0"/>
        <v>8028</v>
      </c>
      <c r="Q12" s="29" t="str">
        <f>_xlfn.XLOOKUP(P12,'[1]ESCALA DE PRODUÇÃO'!$AL$1:$AL$1048566,'[1]ESCALA DE PRODUÇÃO'!$AJ$1:$AJ$1048566,"NÃO ENCOTRADO")</f>
        <v>008028 - ROTISSERIA ARROZ BRANCO BENDITO KG</v>
      </c>
      <c r="R12" s="44">
        <f t="shared" si="1"/>
        <v>1.5</v>
      </c>
      <c r="S12" s="45">
        <f t="shared" si="2"/>
        <v>12.5</v>
      </c>
    </row>
    <row r="13" spans="1:19" ht="19" thickBot="1" x14ac:dyDescent="0.5">
      <c r="A13" s="28">
        <f>('[1]ESCALA DE PRODUÇÃO'!AA12)</f>
        <v>346</v>
      </c>
      <c r="B13" s="29" t="str">
        <f>_xlfn.XLOOKUP(A13,'[1]ESCALA DE PRODUÇÃO'!$AL$1:$AL$1048566,'[1]ESCALA DE PRODUÇÃO'!$AJ$1:$AJ$1048566,"NÃO ENCOTRADO")</f>
        <v>NÃO ENCOTRADO</v>
      </c>
      <c r="C13" s="44">
        <v>0</v>
      </c>
      <c r="D13" s="28" t="str">
        <f>_xlfn.XLOOKUP(A13,'[1]ESCALA DE PRODUÇÃO'!$AL$1:$AL$1048566,'[1]ESCALA DE PRODUÇÃO'!$AK$1:$AK$1048566,"0")</f>
        <v>0</v>
      </c>
      <c r="E13" s="32">
        <f>('[1]ESCALA DE PRODUÇÃO'!AC12)</f>
        <v>0</v>
      </c>
      <c r="F13" s="45" t="str">
        <f>IFERROR(C13/E13,"0")</f>
        <v>0</v>
      </c>
      <c r="G13" s="30" t="str">
        <f>_xlfn.XLOOKUP(A13,'[1]ESCALA DE PRODUÇÃO'!$AL$1:$AL$1048566,'[1]ESCALA DE PRODUÇÃO'!$AM$1:$AM$1048566,"SEM PREÇO")</f>
        <v>SEM PREÇO</v>
      </c>
      <c r="H13" s="33" t="str">
        <f>IFERROR(C13*G13,"0")</f>
        <v>0</v>
      </c>
      <c r="I13" s="46" t="str">
        <f>_xlfn.XLOOKUP(A13,'DADOS DE VENDA'!AE:AE,'DADOS DE VENDA'!AH:AH,"SEM VENDA")</f>
        <v>SEM VENDA</v>
      </c>
      <c r="J13" s="42" t="str">
        <f>IFERROR(I13/E13,"0")</f>
        <v>0</v>
      </c>
      <c r="K13" s="43" t="str">
        <f>IFERROR(I13*G13,"0")</f>
        <v>0</v>
      </c>
      <c r="L13" s="51" t="str">
        <f>_xlfn.XLOOKUP(A13,'DADOS DE VENDA'!A:A,'DADOS DE VENDA'!E:E,"RUPTURA NO PERIODO")</f>
        <v>RUPTURA NO PERIODO</v>
      </c>
      <c r="M13" s="88" t="str" cm="1">
        <f t="array" ref="M13">_xlfn.IFS(C13&lt;I13,"ABAIXO",C13&gt;I13,"ACIMA",C13=I13,"OK")</f>
        <v>ABAIXO</v>
      </c>
      <c r="P13" s="87">
        <f t="shared" si="0"/>
        <v>346</v>
      </c>
      <c r="Q13" s="29" t="str">
        <f>_xlfn.XLOOKUP(P13,'[1]ESCALA DE PRODUÇÃO'!$AL$1:$AL$1048566,'[1]ESCALA DE PRODUÇÃO'!$AJ$1:$AJ$1048566,"NÃO ENCOTRADO")</f>
        <v>NÃO ENCOTRADO</v>
      </c>
      <c r="R13" s="44">
        <f t="shared" si="1"/>
        <v>0</v>
      </c>
      <c r="S13" s="45" t="str">
        <f t="shared" si="2"/>
        <v>0</v>
      </c>
    </row>
    <row r="14" spans="1:19" ht="15" thickBot="1" x14ac:dyDescent="0.4">
      <c r="A14" s="5" t="s">
        <v>8</v>
      </c>
      <c r="B14" s="6" t="s">
        <v>167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P14" s="85" t="s">
        <v>8</v>
      </c>
      <c r="Q14" s="6" t="s">
        <v>167</v>
      </c>
      <c r="R14" s="3" t="s">
        <v>2</v>
      </c>
      <c r="S14" s="3" t="s">
        <v>6</v>
      </c>
    </row>
    <row r="15" spans="1:19" ht="19" thickBot="1" x14ac:dyDescent="0.5">
      <c r="A15" s="28">
        <f>('[1]ESCALA DE PRODUÇÃO'!AA14)</f>
        <v>8328</v>
      </c>
      <c r="B15" s="29" t="str">
        <f>_xlfn.XLOOKUP(A15,'[1]ESCALA DE PRODUÇÃO'!$AL$1:$AL$1048566,'[1]ESCALA DE PRODUÇÃO'!$AJ$1:$AJ$1048566,"NÃO ENCOTRADO")</f>
        <v>008328 - ROTISSERIA FEIJAO BENDITO KG</v>
      </c>
      <c r="C15" s="44">
        <v>1.5</v>
      </c>
      <c r="D15" s="28" t="str">
        <f>_xlfn.XLOOKUP(A15,'[1]ESCALA DE PRODUÇÃO'!$AL$1:$AL$1048566,'[1]ESCALA DE PRODUÇÃO'!$AK$1:$AK$1048566,"0")</f>
        <v>KG/0001</v>
      </c>
      <c r="E15" s="32">
        <f>('[1]ESCALA DE PRODUÇÃO'!AC14)</f>
        <v>0.18</v>
      </c>
      <c r="F15" s="45">
        <f>IFERROR(C15/E15,"0")</f>
        <v>8.3333333333333339</v>
      </c>
      <c r="G15" s="30">
        <f>_xlfn.XLOOKUP(A15,'[1]ESCALA DE PRODUÇÃO'!$AL$1:$AL$1048566,'[1]ESCALA DE PRODUÇÃO'!$AM$1:$AM$1048566,"SEM PREÇO")</f>
        <v>34.9</v>
      </c>
      <c r="H15" s="33">
        <f>IFERROR(C15*G15,"0")</f>
        <v>52.349999999999994</v>
      </c>
      <c r="I15" s="46" t="str">
        <f>_xlfn.XLOOKUP(A15,'DADOS DE VENDA'!AE:AE,'DADOS DE VENDA'!AH:AH,"SEM VENDA")</f>
        <v>SEM VENDA</v>
      </c>
      <c r="J15" s="42" t="str">
        <f>IFERROR(I15/E15,"0")</f>
        <v>0</v>
      </c>
      <c r="K15" s="43" t="str">
        <f>IFERROR(I15*G15,"0")</f>
        <v>0</v>
      </c>
      <c r="L15" s="51" t="str">
        <f>_xlfn.XLOOKUP(A15,'DADOS DE VENDA'!A:A,'DADOS DE VENDA'!E:E,"RUPTURA NO PERIODO")</f>
        <v>19/01 a20/01</v>
      </c>
      <c r="M15" s="88" t="str" cm="1">
        <f t="array" ref="M15">_xlfn.IFS(C15&lt;I15,"ABAIXO",C15&gt;I15,"ACIMA",C15=I15,"OK")</f>
        <v>ABAIXO</v>
      </c>
      <c r="P15" s="87">
        <f t="shared" si="0"/>
        <v>8328</v>
      </c>
      <c r="Q15" s="29" t="str">
        <f>_xlfn.XLOOKUP(P15,'[1]ESCALA DE PRODUÇÃO'!$AL$1:$AL$1048566,'[1]ESCALA DE PRODUÇÃO'!$AJ$1:$AJ$1048566,"NÃO ENCOTRADO")</f>
        <v>008328 - ROTISSERIA FEIJAO BENDITO KG</v>
      </c>
      <c r="R15" s="44">
        <f t="shared" si="1"/>
        <v>1.5</v>
      </c>
      <c r="S15" s="45">
        <f t="shared" si="2"/>
        <v>8.3333333333333339</v>
      </c>
    </row>
    <row r="16" spans="1:19" ht="19" thickBot="1" x14ac:dyDescent="0.5">
      <c r="A16" s="28">
        <f>('[1]ESCALA DE PRODUÇÃO'!AA15)</f>
        <v>8336</v>
      </c>
      <c r="B16" s="29" t="str">
        <f>_xlfn.XLOOKUP(A16,'[1]ESCALA DE PRODUÇÃO'!$AL$1:$AL$1048566,'[1]ESCALA DE PRODUÇÃO'!$AJ$1:$AJ$1048566,"NÃO ENCOTRADO")</f>
        <v>008336 - ROTISSERIA FEIJOADA BENDITO KG</v>
      </c>
      <c r="C16" s="44">
        <v>3.5</v>
      </c>
      <c r="D16" s="28" t="str">
        <f>_xlfn.XLOOKUP(A16,'[1]ESCALA DE PRODUÇÃO'!$AL$1:$AL$1048566,'[1]ESCALA DE PRODUÇÃO'!$AK$1:$AK$1048566,"0")</f>
        <v>KG/0001</v>
      </c>
      <c r="E16" s="32">
        <f>('[1]ESCALA DE PRODUÇÃO'!AC15)</f>
        <v>0.35</v>
      </c>
      <c r="F16" s="45">
        <f>IFERROR(C16/E16,"0")</f>
        <v>10</v>
      </c>
      <c r="G16" s="30">
        <f>_xlfn.XLOOKUP(A16,'[1]ESCALA DE PRODUÇÃO'!$AL$1:$AL$1048566,'[1]ESCALA DE PRODUÇÃO'!$AM$1:$AM$1048566,"SEM PREÇO")</f>
        <v>46.9</v>
      </c>
      <c r="H16" s="33">
        <f>IFERROR(C16*G16,"0")</f>
        <v>164.15</v>
      </c>
      <c r="I16" s="46">
        <f>_xlfn.XLOOKUP(A16,'DADOS DE VENDA'!AE:AE,'DADOS DE VENDA'!AH:AH,"SEM VENDA")</f>
        <v>3.34</v>
      </c>
      <c r="J16" s="42">
        <f>IFERROR(I16/E16,"0")</f>
        <v>9.5428571428571427</v>
      </c>
      <c r="K16" s="43">
        <f>IFERROR(I16*G16,"0")</f>
        <v>156.64599999999999</v>
      </c>
      <c r="L16" s="51" t="str">
        <f>_xlfn.XLOOKUP(A16,'DADOS DE VENDA'!A:A,'DADOS DE VENDA'!E:E,"RUPTURA NO PERIODO")</f>
        <v>19/01 a20/01</v>
      </c>
      <c r="M16" s="88" t="str" cm="1">
        <f t="array" ref="M16">_xlfn.IFS(C16&lt;I16,"ABAIXO",C16&gt;I16,"ACIMA",C16=I16,"OK")</f>
        <v>ACIMA</v>
      </c>
      <c r="P16" s="87">
        <f t="shared" si="0"/>
        <v>8336</v>
      </c>
      <c r="Q16" s="29" t="str">
        <f>_xlfn.XLOOKUP(P16,'[1]ESCALA DE PRODUÇÃO'!$AL$1:$AL$1048566,'[1]ESCALA DE PRODUÇÃO'!$AJ$1:$AJ$1048566,"NÃO ENCOTRADO")</f>
        <v>008336 - ROTISSERIA FEIJOADA BENDITO KG</v>
      </c>
      <c r="R16" s="44">
        <f t="shared" si="1"/>
        <v>3.5</v>
      </c>
      <c r="S16" s="45">
        <f t="shared" si="2"/>
        <v>10</v>
      </c>
    </row>
    <row r="17" spans="1:19" ht="15" thickBot="1" x14ac:dyDescent="0.4">
      <c r="A17" s="5" t="s">
        <v>8</v>
      </c>
      <c r="B17" s="6" t="s">
        <v>168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P17" s="85" t="s">
        <v>8</v>
      </c>
      <c r="Q17" s="6" t="s">
        <v>168</v>
      </c>
      <c r="R17" s="3" t="s">
        <v>2</v>
      </c>
      <c r="S17" s="3" t="s">
        <v>6</v>
      </c>
    </row>
    <row r="18" spans="1:19" ht="19" thickBot="1" x14ac:dyDescent="0.5">
      <c r="A18" s="28">
        <f>('[1]ESCALA DE PRODUÇÃO'!AA17)</f>
        <v>8292</v>
      </c>
      <c r="B18" s="29" t="str">
        <f>_xlfn.XLOOKUP(A18,'[1]ESCALA DE PRODUÇÃO'!$AL$1:$AL$1048566,'[1]ESCALA DE PRODUÇÃO'!$AJ$1:$AJ$1048566,"NÃO ENCOTRADO")</f>
        <v>008292 - ROTISSERIA CREME DE MILHO BENDITO KG</v>
      </c>
      <c r="C18" s="44">
        <v>2</v>
      </c>
      <c r="D18" s="28" t="str">
        <f>_xlfn.XLOOKUP(A18,'[1]ESCALA DE PRODUÇÃO'!$AL$1:$AL$1048566,'[1]ESCALA DE PRODUÇÃO'!$AK$1:$AK$1048566,"0")</f>
        <v>KG/0001</v>
      </c>
      <c r="E18" s="32">
        <f>('[1]ESCALA DE PRODUÇÃO'!AC17)</f>
        <v>0.15</v>
      </c>
      <c r="F18" s="45">
        <f>IFERROR(C18/E18,"0")</f>
        <v>13.333333333333334</v>
      </c>
      <c r="G18" s="30">
        <f>_xlfn.XLOOKUP(A18,'[1]ESCALA DE PRODUÇÃO'!$AL$1:$AL$1048566,'[1]ESCALA DE PRODUÇÃO'!$AM$1:$AM$1048566,"SEM PREÇO")</f>
        <v>41.9</v>
      </c>
      <c r="H18" s="33">
        <f>IFERROR(C18*G18,"0")</f>
        <v>83.8</v>
      </c>
      <c r="I18" s="46" t="str">
        <f>_xlfn.XLOOKUP(A18,'DADOS DE VENDA'!AE:AE,'DADOS DE VENDA'!AH:AH,"SEM VENDA")</f>
        <v>SEM VENDA</v>
      </c>
      <c r="J18" s="42" t="str">
        <f>IFERROR(I18/E18,"0")</f>
        <v>0</v>
      </c>
      <c r="K18" s="43" t="str">
        <f>IFERROR(I18*G18,"0")</f>
        <v>0</v>
      </c>
      <c r="L18" s="51" t="str">
        <f>_xlfn.XLOOKUP(A18,'DADOS DE VENDA'!A:A,'DADOS DE VENDA'!E:E,"RUPTURA NO PERIODO")</f>
        <v>19/01 a20/01</v>
      </c>
      <c r="M18" s="88" t="str" cm="1">
        <f t="array" ref="M18">_xlfn.IFS(C18&lt;I18,"ABAIXO",C18&gt;I18,"ACIMA",C18=I18,"OK")</f>
        <v>ABAIXO</v>
      </c>
      <c r="P18" s="87">
        <f t="shared" si="0"/>
        <v>8292</v>
      </c>
      <c r="Q18" s="29" t="str">
        <f>_xlfn.XLOOKUP(P18,'[1]ESCALA DE PRODUÇÃO'!$AL$1:$AL$1048566,'[1]ESCALA DE PRODUÇÃO'!$AJ$1:$AJ$1048566,"NÃO ENCOTRADO")</f>
        <v>008292 - ROTISSERIA CREME DE MILHO BENDITO KG</v>
      </c>
      <c r="R18" s="44">
        <f t="shared" si="1"/>
        <v>2</v>
      </c>
      <c r="S18" s="45">
        <f t="shared" si="2"/>
        <v>13.333333333333334</v>
      </c>
    </row>
    <row r="19" spans="1:19" ht="19" thickBot="1" x14ac:dyDescent="0.5">
      <c r="A19" s="28">
        <f>('[1]ESCALA DE PRODUÇÃO'!AA18)</f>
        <v>8391</v>
      </c>
      <c r="B19" s="29" t="str">
        <f>_xlfn.XLOOKUP(A19,'[1]ESCALA DE PRODUÇÃO'!$AL$1:$AL$1048566,'[1]ESCALA DE PRODUÇÃO'!$AJ$1:$AJ$1048566,"NÃO ENCOTRADO")</f>
        <v>008391 - ROTISSERIA JILO FRITO BENDITO KG</v>
      </c>
      <c r="C19" s="44">
        <v>1</v>
      </c>
      <c r="D19" s="28" t="str">
        <f>_xlfn.XLOOKUP(A19,'[1]ESCALA DE PRODUÇÃO'!$AL$1:$AL$1048566,'[1]ESCALA DE PRODUÇÃO'!$AK$1:$AK$1048566,"0")</f>
        <v>KG/0001</v>
      </c>
      <c r="E19" s="32">
        <f>('[1]ESCALA DE PRODUÇÃO'!AC18)</f>
        <v>0.08</v>
      </c>
      <c r="F19" s="45">
        <f>IFERROR(C19/E19,"0")</f>
        <v>12.5</v>
      </c>
      <c r="G19" s="30">
        <f>_xlfn.XLOOKUP(A19,'[1]ESCALA DE PRODUÇÃO'!$AL$1:$AL$1048566,'[1]ESCALA DE PRODUÇÃO'!$AM$1:$AM$1048566,"SEM PREÇO")</f>
        <v>52.9</v>
      </c>
      <c r="H19" s="33">
        <f>IFERROR(C19*G19,"0")</f>
        <v>52.9</v>
      </c>
      <c r="I19" s="46">
        <f>_xlfn.XLOOKUP(A19,'DADOS DE VENDA'!AE:AE,'DADOS DE VENDA'!AH:AH,"SEM VENDA")</f>
        <v>0.12</v>
      </c>
      <c r="J19" s="42">
        <f>IFERROR(I19/E19,"0")</f>
        <v>1.5</v>
      </c>
      <c r="K19" s="43">
        <f>IFERROR(I19*G19,"0")</f>
        <v>6.3479999999999999</v>
      </c>
      <c r="L19" s="51" t="str">
        <f>_xlfn.XLOOKUP(A19,'DADOS DE VENDA'!A:A,'DADOS DE VENDA'!E:E,"RUPTURA NO PERIODO")</f>
        <v>19/01 a20/01</v>
      </c>
      <c r="M19" s="88" t="str" cm="1">
        <f t="array" ref="M19">_xlfn.IFS(C19&lt;I19,"ABAIXO",C19&gt;I19,"ACIMA",C19=I19,"OK")</f>
        <v>ACIMA</v>
      </c>
      <c r="P19" s="87">
        <f t="shared" si="0"/>
        <v>8391</v>
      </c>
      <c r="Q19" s="29" t="str">
        <f>_xlfn.XLOOKUP(P19,'[1]ESCALA DE PRODUÇÃO'!$AL$1:$AL$1048566,'[1]ESCALA DE PRODUÇÃO'!$AJ$1:$AJ$1048566,"NÃO ENCOTRADO")</f>
        <v>008391 - ROTISSERIA JILO FRITO BENDITO KG</v>
      </c>
      <c r="R19" s="44">
        <f t="shared" si="1"/>
        <v>1</v>
      </c>
      <c r="S19" s="45">
        <f t="shared" si="2"/>
        <v>12.5</v>
      </c>
    </row>
    <row r="20" spans="1:19" ht="19" thickBot="1" x14ac:dyDescent="0.5">
      <c r="A20" s="28">
        <f>('[1]ESCALA DE PRODUÇÃO'!AA19)</f>
        <v>8153</v>
      </c>
      <c r="B20" s="29" t="str">
        <f>_xlfn.XLOOKUP(A20,'[1]ESCALA DE PRODUÇÃO'!$AL$1:$AL$1048566,'[1]ESCALA DE PRODUÇÃO'!$AJ$1:$AJ$1048566,"NÃO ENCOTRADO")</f>
        <v>008153 - ROTISSERIA BERINJELA PIZZAOLA BENDITO KG</v>
      </c>
      <c r="C20" s="44">
        <v>1</v>
      </c>
      <c r="D20" s="28" t="str">
        <f>_xlfn.XLOOKUP(A20,'[1]ESCALA DE PRODUÇÃO'!$AL$1:$AL$1048566,'[1]ESCALA DE PRODUÇÃO'!$AK$1:$AK$1048566,"0")</f>
        <v>KG/0001</v>
      </c>
      <c r="E20" s="32">
        <f>('[1]ESCALA DE PRODUÇÃO'!AC19)</f>
        <v>0.1</v>
      </c>
      <c r="F20" s="45">
        <f>IFERROR(C20/E20,"0")</f>
        <v>10</v>
      </c>
      <c r="G20" s="30">
        <f>_xlfn.XLOOKUP(A20,'[1]ESCALA DE PRODUÇÃO'!$AL$1:$AL$1048566,'[1]ESCALA DE PRODUÇÃO'!$AM$1:$AM$1048566,"SEM PREÇO")</f>
        <v>42.9</v>
      </c>
      <c r="H20" s="33">
        <f>IFERROR(C20*G20,"0")</f>
        <v>42.9</v>
      </c>
      <c r="I20" s="46">
        <f>_xlfn.XLOOKUP(A20,'DADOS DE VENDA'!AE:AE,'DADOS DE VENDA'!AH:AH,"SEM VENDA")</f>
        <v>1.04</v>
      </c>
      <c r="J20" s="42">
        <f>IFERROR(I20/E20,"0")</f>
        <v>10.4</v>
      </c>
      <c r="K20" s="43">
        <f>IFERROR(I20*G20,"0")</f>
        <v>44.616</v>
      </c>
      <c r="L20" s="51" t="str">
        <f>_xlfn.XLOOKUP(A20,'DADOS DE VENDA'!A:A,'DADOS DE VENDA'!E:E,"RUPTURA NO PERIODO")</f>
        <v>RUPTURA NO PERIODO</v>
      </c>
      <c r="M20" s="88" t="str" cm="1">
        <f t="array" ref="M20">_xlfn.IFS(C20&lt;I20,"ABAIXO",C20&gt;I20,"ACIMA",C20=I20,"OK")</f>
        <v>ABAIXO</v>
      </c>
      <c r="P20" s="87">
        <f t="shared" si="0"/>
        <v>8153</v>
      </c>
      <c r="Q20" s="29" t="str">
        <f>_xlfn.XLOOKUP(P20,'[1]ESCALA DE PRODUÇÃO'!$AL$1:$AL$1048566,'[1]ESCALA DE PRODUÇÃO'!$AJ$1:$AJ$1048566,"NÃO ENCOTRADO")</f>
        <v>008153 - ROTISSERIA BERINJELA PIZZAOLA BENDITO KG</v>
      </c>
      <c r="R20" s="44">
        <f t="shared" si="1"/>
        <v>1</v>
      </c>
      <c r="S20" s="45">
        <f t="shared" si="2"/>
        <v>10</v>
      </c>
    </row>
    <row r="21" spans="1:19" ht="15" thickBot="1" x14ac:dyDescent="0.4">
      <c r="A21" s="5" t="s">
        <v>8</v>
      </c>
      <c r="B21" s="6" t="s">
        <v>169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P21" s="85" t="s">
        <v>8</v>
      </c>
      <c r="Q21" s="6" t="s">
        <v>169</v>
      </c>
      <c r="R21" s="3" t="s">
        <v>2</v>
      </c>
      <c r="S21" s="3" t="s">
        <v>6</v>
      </c>
    </row>
    <row r="22" spans="1:19" ht="19" thickBot="1" x14ac:dyDescent="0.5">
      <c r="A22" s="28">
        <f>('[1]ESCALA DE PRODUÇÃO'!AA21)</f>
        <v>8361</v>
      </c>
      <c r="B22" s="29" t="str">
        <f>_xlfn.XLOOKUP(A22,'[1]ESCALA DE PRODUÇÃO'!$AL$1:$AL$1048566,'[1]ESCALA DE PRODUÇÃO'!$AJ$1:$AJ$1048566,"NÃO ENCOTRADO")</f>
        <v>008361 - ROTISSERIA FILE SOBRECOXA ASSADA BENDITO KG</v>
      </c>
      <c r="C22" s="44">
        <v>8</v>
      </c>
      <c r="D22" s="28" t="str">
        <f>_xlfn.XLOOKUP(A22,'[1]ESCALA DE PRODUÇÃO'!$AL$1:$AL$1048566,'[1]ESCALA DE PRODUÇÃO'!$AK$1:$AK$1048566,"0")</f>
        <v>KG/0001</v>
      </c>
      <c r="E22" s="32">
        <f>('[1]ESCALA DE PRODUÇÃO'!AC21)</f>
        <v>1</v>
      </c>
      <c r="F22" s="45">
        <f>IFERROR(C22/E22,"0")</f>
        <v>8</v>
      </c>
      <c r="G22" s="30">
        <f>_xlfn.XLOOKUP(A22,'[1]ESCALA DE PRODUÇÃO'!$AL$1:$AL$1048566,'[1]ESCALA DE PRODUÇÃO'!$AM$1:$AM$1048566,"SEM PREÇO")</f>
        <v>59.9</v>
      </c>
      <c r="H22" s="33">
        <f>IFERROR(C22*G22,"0")</f>
        <v>479.2</v>
      </c>
      <c r="I22" s="46">
        <f>_xlfn.XLOOKUP(A22,'DADOS DE VENDA'!AE:AE,'DADOS DE VENDA'!AH:AH,"SEM VENDA")</f>
        <v>1.23</v>
      </c>
      <c r="J22" s="42">
        <f>IFERROR(I22/E22,"0")</f>
        <v>1.23</v>
      </c>
      <c r="K22" s="43">
        <f>IFERROR(I22*G22,"0")</f>
        <v>73.676999999999992</v>
      </c>
      <c r="L22" s="51" t="str">
        <f>_xlfn.XLOOKUP(A22,'DADOS DE VENDA'!A:A,'DADOS DE VENDA'!E:E,"RUPTURA NO PERIODO")</f>
        <v>19/01 a20/01</v>
      </c>
      <c r="M22" s="88" t="str" cm="1">
        <f t="array" ref="M22">_xlfn.IFS(C22&lt;I22,"ABAIXO",C22&gt;I22,"ACIMA",C22=I22,"OK")</f>
        <v>ACIMA</v>
      </c>
      <c r="P22" s="87">
        <f t="shared" si="0"/>
        <v>8361</v>
      </c>
      <c r="Q22" s="29" t="str">
        <f>_xlfn.XLOOKUP(P22,'[1]ESCALA DE PRODUÇÃO'!$AL$1:$AL$1048566,'[1]ESCALA DE PRODUÇÃO'!$AJ$1:$AJ$1048566,"NÃO ENCOTRADO")</f>
        <v>008361 - ROTISSERIA FILE SOBRECOXA ASSADA BENDITO KG</v>
      </c>
      <c r="R22" s="44">
        <f t="shared" si="1"/>
        <v>8</v>
      </c>
      <c r="S22" s="45">
        <f t="shared" si="2"/>
        <v>8</v>
      </c>
    </row>
    <row r="23" spans="1:19" ht="19" thickBot="1" x14ac:dyDescent="0.5">
      <c r="A23" s="28">
        <f>('[1]ESCALA DE PRODUÇÃO'!AA23)</f>
        <v>0</v>
      </c>
      <c r="B23" s="29" t="str">
        <f>_xlfn.XLOOKUP(A23,'[1]ESCALA DE PRODUÇÃO'!$AL$1:$AL$1048566,'[1]ESCALA DE PRODUÇÃO'!$AJ$1:$AJ$1048566,"NÃO ENCOTRADO")</f>
        <v>NÃO ENCOTRADO</v>
      </c>
      <c r="C23" s="44">
        <v>2</v>
      </c>
      <c r="D23" s="28" t="str">
        <f>_xlfn.XLOOKUP(A23,'[1]ESCALA DE PRODUÇÃO'!$AL$1:$AL$1048566,'[1]ESCALA DE PRODUÇÃO'!$AK$1:$AK$1048566,"0")</f>
        <v>0</v>
      </c>
      <c r="E23" s="32">
        <f>('[1]ESCALA DE PRODUÇÃO'!AC22)</f>
        <v>0.12</v>
      </c>
      <c r="F23" s="45">
        <f>IFERROR(C23/E23,"0")</f>
        <v>16.666666666666668</v>
      </c>
      <c r="G23" s="30" t="str">
        <f>_xlfn.XLOOKUP(A23,'[1]ESCALA DE PRODUÇÃO'!$AL$1:$AL$1048566,'[1]ESCALA DE PRODUÇÃO'!$AM$1:$AM$1048566,"SEM PREÇO")</f>
        <v>SEM PREÇO</v>
      </c>
      <c r="H23" s="33" t="str">
        <f>IFERROR(C23*G23,"0")</f>
        <v>0</v>
      </c>
      <c r="I23" s="46" t="str">
        <f>_xlfn.XLOOKUP(A23,'DADOS DE VENDA'!AE:AE,'DADOS DE VENDA'!AH:AH,"SEM VENDA")</f>
        <v>SEM VENDA</v>
      </c>
      <c r="J23" s="42" t="str">
        <f>IFERROR(I23/E23,"0")</f>
        <v>0</v>
      </c>
      <c r="K23" s="43" t="str">
        <f>IFERROR(I23*G23,"0")</f>
        <v>0</v>
      </c>
      <c r="L23" s="51" t="str">
        <f>_xlfn.XLOOKUP(A23,'DADOS DE VENDA'!A:A,'DADOS DE VENDA'!E:E,"RUPTURA NO PERIODO")</f>
        <v>RUPTURA NO PERIODO</v>
      </c>
      <c r="M23" s="88" t="str" cm="1">
        <f t="array" ref="M23">_xlfn.IFS(C23&lt;I23,"ABAIXO",C23&gt;I23,"ACIMA",C23=I23,"OK")</f>
        <v>ABAIXO</v>
      </c>
      <c r="P23" s="87">
        <f t="shared" si="0"/>
        <v>0</v>
      </c>
      <c r="Q23" s="29" t="str">
        <f>_xlfn.XLOOKUP(P23,'[1]ESCALA DE PRODUÇÃO'!$AL$1:$AL$1048566,'[1]ESCALA DE PRODUÇÃO'!$AJ$1:$AJ$1048566,"NÃO ENCOTRADO")</f>
        <v>NÃO ENCOTRADO</v>
      </c>
      <c r="R23" s="44">
        <f t="shared" si="1"/>
        <v>2</v>
      </c>
      <c r="S23" s="45">
        <f t="shared" si="2"/>
        <v>16.666666666666668</v>
      </c>
    </row>
    <row r="24" spans="1:19" ht="19" thickBot="1" x14ac:dyDescent="0.5">
      <c r="A24" s="28">
        <f>('[1]ESCALA DE PRODUÇÃO'!AA24)</f>
        <v>8298</v>
      </c>
      <c r="B24" s="29" t="str">
        <f>_xlfn.XLOOKUP(A24,'[1]ESCALA DE PRODUÇÃO'!$AL$1:$AL$1048566,'[1]ESCALA DE PRODUÇÃO'!$AJ$1:$AJ$1048566,"NÃO ENCOTRADO")</f>
        <v>008298 - ROTISSERIA DOBRADINHA BENDITO KG</v>
      </c>
      <c r="C24" s="44">
        <v>2</v>
      </c>
      <c r="D24" s="28" t="str">
        <f>_xlfn.XLOOKUP(A24,'[1]ESCALA DE PRODUÇÃO'!$AL$1:$AL$1048566,'[1]ESCALA DE PRODUÇÃO'!$AK$1:$AK$1048566,"0")</f>
        <v>KG/0001</v>
      </c>
      <c r="E24" s="32">
        <f>('[1]ESCALA DE PRODUÇÃO'!AC23)</f>
        <v>0</v>
      </c>
      <c r="F24" s="45" t="str">
        <f>IFERROR(C24/E24,"0")</f>
        <v>0</v>
      </c>
      <c r="G24" s="30">
        <f>_xlfn.XLOOKUP(A24,'[1]ESCALA DE PRODUÇÃO'!$AL$1:$AL$1048566,'[1]ESCALA DE PRODUÇÃO'!$AM$1:$AM$1048566,"SEM PREÇO")</f>
        <v>39.9</v>
      </c>
      <c r="H24" s="33">
        <f>IFERROR(C24*G24,"0")</f>
        <v>79.8</v>
      </c>
      <c r="I24" s="46">
        <f>_xlfn.XLOOKUP(A24,'DADOS DE VENDA'!AE:AE,'DADOS DE VENDA'!AH:AH,"SEM VENDA")</f>
        <v>1.96</v>
      </c>
      <c r="J24" s="42" t="str">
        <f>IFERROR(I24/E24,"0")</f>
        <v>0</v>
      </c>
      <c r="K24" s="43">
        <f>IFERROR(I24*G24,"0")</f>
        <v>78.203999999999994</v>
      </c>
      <c r="L24" s="51" t="str">
        <f>_xlfn.XLOOKUP(A24,'DADOS DE VENDA'!A:A,'DADOS DE VENDA'!E:E,"RUPTURA NO PERIODO")</f>
        <v>RUPTURA NO PERIODO</v>
      </c>
      <c r="M24" s="88" t="str" cm="1">
        <f t="array" ref="M24">_xlfn.IFS(C24&lt;I24,"ABAIXO",C24&gt;I24,"ACIMA",C24=I24,"OK")</f>
        <v>ACIMA</v>
      </c>
      <c r="P24" s="87">
        <f t="shared" si="0"/>
        <v>8298</v>
      </c>
      <c r="Q24" s="29" t="str">
        <f>_xlfn.XLOOKUP(P24,'[1]ESCALA DE PRODUÇÃO'!$AL$1:$AL$1048566,'[1]ESCALA DE PRODUÇÃO'!$AJ$1:$AJ$1048566,"NÃO ENCOTRADO")</f>
        <v>008298 - ROTISSERIA DOBRADINHA BENDITO KG</v>
      </c>
      <c r="R24" s="44">
        <f t="shared" si="1"/>
        <v>2</v>
      </c>
      <c r="S24" s="45" t="str">
        <f t="shared" si="2"/>
        <v>0</v>
      </c>
    </row>
    <row r="25" spans="1:19" ht="15" thickBot="1" x14ac:dyDescent="0.4">
      <c r="A25" s="5" t="s">
        <v>8</v>
      </c>
      <c r="B25" s="6" t="s">
        <v>170</v>
      </c>
      <c r="C25" s="3" t="s">
        <v>2</v>
      </c>
      <c r="D25" s="3" t="s">
        <v>106</v>
      </c>
      <c r="E25" s="3" t="s">
        <v>4</v>
      </c>
      <c r="F25" s="3" t="s">
        <v>6</v>
      </c>
      <c r="G25" s="4" t="s">
        <v>3</v>
      </c>
      <c r="H25" s="3" t="s">
        <v>5</v>
      </c>
      <c r="I25" s="7" t="s">
        <v>157</v>
      </c>
      <c r="J25" s="7" t="s">
        <v>152</v>
      </c>
      <c r="K25" s="7" t="s">
        <v>153</v>
      </c>
      <c r="L25" s="3" t="s">
        <v>104</v>
      </c>
      <c r="M25" s="86" t="s">
        <v>105</v>
      </c>
      <c r="P25" s="85" t="s">
        <v>8</v>
      </c>
      <c r="Q25" s="6" t="s">
        <v>170</v>
      </c>
      <c r="R25" s="3" t="s">
        <v>2</v>
      </c>
      <c r="S25" s="3" t="s">
        <v>6</v>
      </c>
    </row>
    <row r="26" spans="1:19" ht="19" thickBot="1" x14ac:dyDescent="0.5">
      <c r="A26" s="28">
        <f>('[1]ESCALA DE PRODUÇÃO'!AA25)</f>
        <v>0</v>
      </c>
      <c r="B26" s="29" t="str">
        <f>_xlfn.XLOOKUP(A26,'[1]ESCALA DE PRODUÇÃO'!$AL$1:$AL$1048566,'[1]ESCALA DE PRODUÇÃO'!$AJ$1:$AJ$1048566,"NÃO ENCOTRADO")</f>
        <v>NÃO ENCOTRADO</v>
      </c>
      <c r="C26" s="44">
        <v>0</v>
      </c>
      <c r="D26" s="28" t="str">
        <f>_xlfn.XLOOKUP(A26,'[1]ESCALA DE PRODUÇÃO'!$AL$1:$AL$1048566,'[1]ESCALA DE PRODUÇÃO'!$AK$1:$AK$1048566,"0")</f>
        <v>0</v>
      </c>
      <c r="E26" s="32">
        <f>('[1]ESCALA DE PRODUÇÃO'!AC25)</f>
        <v>0</v>
      </c>
      <c r="F26" s="45" t="str">
        <f>IFERROR(C26/E26,"0")</f>
        <v>0</v>
      </c>
      <c r="G26" s="30" t="str">
        <f>_xlfn.XLOOKUP(A26,'[1]ESCALA DE PRODUÇÃO'!$AL$1:$AL$1048566,'[1]ESCALA DE PRODUÇÃO'!$AM$1:$AM$1048566,"SEM PREÇO")</f>
        <v>SEM PREÇO</v>
      </c>
      <c r="H26" s="33" t="str">
        <f>IFERROR(C26*G26,"0")</f>
        <v>0</v>
      </c>
      <c r="I26" s="46" t="str">
        <f>_xlfn.XLOOKUP(A26,'DADOS DE VENDA'!AE:AE,'DADOS DE VENDA'!AH:AH,"SEM VENDA")</f>
        <v>SEM VENDA</v>
      </c>
      <c r="J26" s="42" t="str">
        <f>IFERROR(I26/E26,"0")</f>
        <v>0</v>
      </c>
      <c r="K26" s="43" t="str">
        <f>IFERROR(I26*G26,"0")</f>
        <v>0</v>
      </c>
      <c r="L26" s="51" t="str">
        <f>_xlfn.XLOOKUP(A26,'DADOS DE VENDA'!A:A,'DADOS DE VENDA'!E:E,"RUPTURA NO PERIODO")</f>
        <v>RUPTURA NO PERIODO</v>
      </c>
      <c r="M26" s="88" t="str" cm="1">
        <f t="array" ref="M26">_xlfn.IFS(C26&lt;I26,"ABAIXO",C26&gt;I26,"ACIMA",C26=I26,"OK")</f>
        <v>ABAIXO</v>
      </c>
      <c r="P26" s="87">
        <f t="shared" si="0"/>
        <v>0</v>
      </c>
      <c r="Q26" s="29" t="str">
        <f>_xlfn.XLOOKUP(P26,'[1]ESCALA DE PRODUÇÃO'!$AL$1:$AL$1048566,'[1]ESCALA DE PRODUÇÃO'!$AJ$1:$AJ$1048566,"NÃO ENCOTRADO")</f>
        <v>NÃO ENCOTRADO</v>
      </c>
      <c r="R26" s="44">
        <f t="shared" si="1"/>
        <v>0</v>
      </c>
      <c r="S26" s="45" t="str">
        <f t="shared" si="2"/>
        <v>0</v>
      </c>
    </row>
    <row r="27" spans="1:19" ht="19" thickBot="1" x14ac:dyDescent="0.5">
      <c r="A27" s="28">
        <f>('[1]ESCALA DE PRODUÇÃO'!AA26)</f>
        <v>0</v>
      </c>
      <c r="B27" s="68" t="str">
        <f>_xlfn.XLOOKUP(A27,'[1]ESCALA DE PRODUÇÃO'!$AL$1:$AL$1048566,'[1]ESCALA DE PRODUÇÃO'!$AJ$1:$AJ$1048566,"NÃO ENCOTRADO")</f>
        <v>NÃO ENCOTRADO</v>
      </c>
      <c r="C27" s="69">
        <v>0</v>
      </c>
      <c r="D27" s="67" t="str">
        <f>_xlfn.XLOOKUP(A27,'[1]ESCALA DE PRODUÇÃO'!$AL$1:$AL$1048566,'[1]ESCALA DE PRODUÇÃO'!$AK$1:$AK$1048566,"0")</f>
        <v>0</v>
      </c>
      <c r="E27" s="32">
        <f>('[1]ESCALA DE PRODUÇÃO'!AC26)</f>
        <v>0</v>
      </c>
      <c r="F27" s="71" t="str">
        <f>IFERROR(C27/E27,"0")</f>
        <v>0</v>
      </c>
      <c r="G27" s="72" t="str">
        <f>_xlfn.XLOOKUP(A27,'[1]ESCALA DE PRODUÇÃO'!$AL$1:$AL$1048566,'[1]ESCALA DE PRODUÇÃO'!$AM$1:$AM$1048566,"SEM PREÇO")</f>
        <v>SEM PREÇO</v>
      </c>
      <c r="H27" s="73" t="str">
        <f>IFERROR(C27*G27,"0")</f>
        <v>0</v>
      </c>
      <c r="I27" s="46" t="str">
        <f>_xlfn.XLOOKUP(A27,'DADOS DE VENDA'!AE:AE,'DADOS DE VENDA'!AH:AH,"SEM VENDA")</f>
        <v>SEM VENDA</v>
      </c>
      <c r="J27" s="75" t="str">
        <f>IFERROR(I27/E27,"0")</f>
        <v>0</v>
      </c>
      <c r="K27" s="76" t="str">
        <f>IFERROR(I27*G27,"0")</f>
        <v>0</v>
      </c>
      <c r="L27" s="77" t="str">
        <f>_xlfn.XLOOKUP(A27,'DADOS DE VENDA'!A:A,'DADOS DE VENDA'!E:E,"RUPTURA NO PERIODO")</f>
        <v>RUPTURA NO PERIODO</v>
      </c>
      <c r="M27" s="102" t="str" cm="1">
        <f t="array" ref="M27">_xlfn.IFS(C27&lt;I27,"ABAIXO",C27&gt;I27,"ACIMA",C27=I27,"OK")</f>
        <v>ABAIXO</v>
      </c>
      <c r="P27" s="87">
        <f t="shared" si="0"/>
        <v>0</v>
      </c>
      <c r="Q27" s="90" t="str">
        <f>_xlfn.XLOOKUP(P27,'[1]ESCALA DE PRODUÇÃO'!$AL$1:$AL$1048566,'[1]ESCALA DE PRODUÇÃO'!$AJ$1:$AJ$1048566,"NÃO ENCOTRADO")</f>
        <v>NÃO ENCOTRADO</v>
      </c>
      <c r="R27" s="69">
        <f t="shared" si="1"/>
        <v>0</v>
      </c>
      <c r="S27" s="45" t="str">
        <f t="shared" si="2"/>
        <v>0</v>
      </c>
    </row>
    <row r="28" spans="1:19" ht="15" thickBot="1" x14ac:dyDescent="0.4">
      <c r="A28" s="5" t="s">
        <v>8</v>
      </c>
      <c r="B28" s="6" t="s">
        <v>170</v>
      </c>
      <c r="C28" s="3" t="s">
        <v>2</v>
      </c>
      <c r="D28" s="3" t="s">
        <v>106</v>
      </c>
      <c r="E28" s="3" t="s">
        <v>4</v>
      </c>
      <c r="F28" s="3" t="s">
        <v>6</v>
      </c>
      <c r="G28" s="4" t="s">
        <v>3</v>
      </c>
      <c r="H28" s="3" t="s">
        <v>5</v>
      </c>
      <c r="I28" s="7" t="s">
        <v>157</v>
      </c>
      <c r="J28" s="7" t="s">
        <v>152</v>
      </c>
      <c r="K28" s="7" t="s">
        <v>153</v>
      </c>
      <c r="L28" s="3" t="s">
        <v>104</v>
      </c>
      <c r="M28" s="86" t="s">
        <v>105</v>
      </c>
      <c r="P28" s="85" t="s">
        <v>8</v>
      </c>
      <c r="Q28" s="6" t="s">
        <v>170</v>
      </c>
      <c r="R28" s="3" t="s">
        <v>2</v>
      </c>
      <c r="S28" s="3" t="s">
        <v>6</v>
      </c>
    </row>
    <row r="29" spans="1:19" ht="19" thickBot="1" x14ac:dyDescent="0.5">
      <c r="A29" s="28" t="str">
        <f>('[1]ESCALA DE PRODUÇÃO'!AA28)</f>
        <v>COD</v>
      </c>
      <c r="B29" s="68" t="str">
        <f>_xlfn.XLOOKUP(A29,'[1]ESCALA DE PRODUÇÃO'!$AL$1:$AL$1048566,'[1]ESCALA DE PRODUÇÃO'!$AJ$1:$AJ$1048566,"NÃO ENCOTRADO")</f>
        <v>NÃO ENCOTRADO</v>
      </c>
      <c r="C29" s="69">
        <v>16</v>
      </c>
      <c r="D29" s="67" t="str">
        <f>_xlfn.XLOOKUP(A29,'[1]ESCALA DE PRODUÇÃO'!$AL$1:$AL$1048566,'[1]ESCALA DE PRODUÇÃO'!$AK$1:$AK$1048566,"0")</f>
        <v>0</v>
      </c>
      <c r="E29" s="32" t="str">
        <f>('[1]ESCALA DE PRODUÇÃO'!AC28)</f>
        <v>PESO  P/PCT</v>
      </c>
      <c r="F29" s="71" t="str">
        <f t="shared" ref="F29:F34" si="3">IFERROR(C29/E29,"0")</f>
        <v>0</v>
      </c>
      <c r="G29" s="72" t="str">
        <f>_xlfn.XLOOKUP(A29,'[1]ESCALA DE PRODUÇÃO'!$AL$1:$AL$1048566,'[1]ESCALA DE PRODUÇÃO'!$AM$1:$AM$1048566,"SEM PREÇO")</f>
        <v>SEM PREÇO</v>
      </c>
      <c r="H29" s="73" t="str">
        <f t="shared" ref="H29:H34" si="4">IFERROR(C29*G29,"0")</f>
        <v>0</v>
      </c>
      <c r="I29" s="46" t="str">
        <f>_xlfn.XLOOKUP(A29,'DADOS DE VENDA'!AE:AE,'DADOS DE VENDA'!AH:AH,"SEM VENDA")</f>
        <v>SEM VENDA</v>
      </c>
      <c r="J29" s="75" t="str">
        <f t="shared" ref="J29:J34" si="5">IFERROR(I29/E29,"0")</f>
        <v>0</v>
      </c>
      <c r="K29" s="76" t="str">
        <f t="shared" ref="K29:K34" si="6">IFERROR(I29*G29,"0")</f>
        <v>0</v>
      </c>
      <c r="L29" s="77" t="str">
        <f>_xlfn.XLOOKUP(A29,'DADOS DE VENDA'!A:A,'DADOS DE VENDA'!E:E,"RUPTURA NO PERIODO")</f>
        <v>RUPTURA NO PERIODO</v>
      </c>
      <c r="M29" s="102" t="str" cm="1">
        <f t="array" ref="M29">_xlfn.IFS(C29&lt;I29,"ABAIXO",C29&gt;I29,"ACIMA",C29=I29,"OK")</f>
        <v>ABAIXO</v>
      </c>
      <c r="P29" s="87" t="str">
        <f t="shared" ref="P29:P35" si="7">(A29)</f>
        <v>COD</v>
      </c>
      <c r="Q29" s="90" t="str">
        <f>_xlfn.XLOOKUP(P29,'[1]ESCALA DE PRODUÇÃO'!$AL$1:$AL$1048566,'[1]ESCALA DE PRODUÇÃO'!$AJ$1:$AJ$1048566,"NÃO ENCOTRADO")</f>
        <v>NÃO ENCOTRADO</v>
      </c>
      <c r="R29" s="69">
        <f t="shared" ref="R29:R35" si="8">C29</f>
        <v>16</v>
      </c>
      <c r="S29" s="45" t="str">
        <f t="shared" ref="S29:S35" si="9">(F29)</f>
        <v>0</v>
      </c>
    </row>
    <row r="30" spans="1:19" ht="19" thickBot="1" x14ac:dyDescent="0.5">
      <c r="A30" s="28">
        <f>('[1]ESCALA DE PRODUÇÃO'!AA29)</f>
        <v>2893</v>
      </c>
      <c r="B30" s="68" t="str">
        <f>_xlfn.XLOOKUP(A30,'[1]ESCALA DE PRODUÇÃO'!$AL$1:$AL$1048566,'[1]ESCALA DE PRODUÇÃO'!$AJ$1:$AJ$1048566,"NÃO ENCOTRADO")</f>
        <v>002893 - ASS.FRANGO METADE BENDITO UNIDADE</v>
      </c>
      <c r="C30" s="69">
        <v>2</v>
      </c>
      <c r="D30" s="67" t="str">
        <f>_xlfn.XLOOKUP(A30,'[1]ESCALA DE PRODUÇÃO'!$AL$1:$AL$1048566,'[1]ESCALA DE PRODUÇÃO'!$AK$1:$AK$1048566,"0")</f>
        <v>UN/0001</v>
      </c>
      <c r="E30" s="32">
        <f>('[1]ESCALA DE PRODUÇÃO'!AC29)</f>
        <v>1</v>
      </c>
      <c r="F30" s="71">
        <f t="shared" si="3"/>
        <v>2</v>
      </c>
      <c r="G30" s="72">
        <f>_xlfn.XLOOKUP(A30,'[1]ESCALA DE PRODUÇÃO'!$AL$1:$AL$1048566,'[1]ESCALA DE PRODUÇÃO'!$AM$1:$AM$1048566,"SEM PREÇO")</f>
        <v>26.9</v>
      </c>
      <c r="H30" s="73">
        <f t="shared" si="4"/>
        <v>53.8</v>
      </c>
      <c r="I30" s="46">
        <f>_xlfn.XLOOKUP(A30,'DADOS DE VENDA'!AE:AE,'DADOS DE VENDA'!AH:AH,"SEM VENDA")</f>
        <v>27</v>
      </c>
      <c r="J30" s="75">
        <f t="shared" si="5"/>
        <v>27</v>
      </c>
      <c r="K30" s="76">
        <f t="shared" si="6"/>
        <v>726.3</v>
      </c>
      <c r="L30" s="77" t="str">
        <f>_xlfn.XLOOKUP(A30,'DADOS DE VENDA'!A:A,'DADOS DE VENDA'!E:E,"RUPTURA NO PERIODO")</f>
        <v>RUPTURA NO PERIODO</v>
      </c>
      <c r="M30" s="102" t="str" cm="1">
        <f t="array" ref="M30">_xlfn.IFS(C30&lt;I30,"ABAIXO",C30&gt;I30,"ACIMA",C30=I30,"OK")</f>
        <v>ABAIXO</v>
      </c>
      <c r="P30" s="87">
        <f t="shared" si="7"/>
        <v>2893</v>
      </c>
      <c r="Q30" s="90" t="str">
        <f>_xlfn.XLOOKUP(P30,'[1]ESCALA DE PRODUÇÃO'!$AL$1:$AL$1048566,'[1]ESCALA DE PRODUÇÃO'!$AJ$1:$AJ$1048566,"NÃO ENCOTRADO")</f>
        <v>002893 - ASS.FRANGO METADE BENDITO UNIDADE</v>
      </c>
      <c r="R30" s="69">
        <f t="shared" si="8"/>
        <v>2</v>
      </c>
      <c r="S30" s="45">
        <f t="shared" si="9"/>
        <v>2</v>
      </c>
    </row>
    <row r="31" spans="1:19" ht="19" thickBot="1" x14ac:dyDescent="0.5">
      <c r="A31" s="28">
        <f>('[1]ESCALA DE PRODUÇÃO'!AA30)</f>
        <v>8484</v>
      </c>
      <c r="B31" s="68" t="str">
        <f>_xlfn.XLOOKUP(A31,'[1]ESCALA DE PRODUÇÃO'!$AL$1:$AL$1048566,'[1]ESCALA DE PRODUÇÃO'!$AJ$1:$AJ$1048566,"NÃO ENCOTRADO")</f>
        <v>008484 - ROTISSERIA MAMINHA ASSADA BENDITO KG</v>
      </c>
      <c r="C31" s="69">
        <v>5</v>
      </c>
      <c r="D31" s="67" t="str">
        <f>_xlfn.XLOOKUP(A31,'[1]ESCALA DE PRODUÇÃO'!$AL$1:$AL$1048566,'[1]ESCALA DE PRODUÇÃO'!$AK$1:$AK$1048566,"0")</f>
        <v>KG/0001</v>
      </c>
      <c r="E31" s="32">
        <f>('[1]ESCALA DE PRODUÇÃO'!AC30)</f>
        <v>0.65</v>
      </c>
      <c r="F31" s="71">
        <f t="shared" si="3"/>
        <v>7.6923076923076916</v>
      </c>
      <c r="G31" s="72">
        <f>_xlfn.XLOOKUP(A31,'[1]ESCALA DE PRODUÇÃO'!$AL$1:$AL$1048566,'[1]ESCALA DE PRODUÇÃO'!$AM$1:$AM$1048566,"SEM PREÇO")</f>
        <v>115.9</v>
      </c>
      <c r="H31" s="73">
        <f t="shared" si="4"/>
        <v>579.5</v>
      </c>
      <c r="I31" s="46">
        <f>_xlfn.XLOOKUP(A31,'DADOS DE VENDA'!AE:AE,'DADOS DE VENDA'!AH:AH,"SEM VENDA")</f>
        <v>0.5</v>
      </c>
      <c r="J31" s="75">
        <f t="shared" si="5"/>
        <v>0.76923076923076916</v>
      </c>
      <c r="K31" s="76">
        <f t="shared" si="6"/>
        <v>57.95</v>
      </c>
      <c r="L31" s="77" t="str">
        <f>_xlfn.XLOOKUP(A31,'DADOS DE VENDA'!A:A,'DADOS DE VENDA'!E:E,"RUPTURA NO PERIODO")</f>
        <v>RUPTURA NO PERIODO</v>
      </c>
      <c r="M31" s="102" t="str" cm="1">
        <f t="array" ref="M31">_xlfn.IFS(C31&lt;I31,"ABAIXO",C31&gt;I31,"ACIMA",C31=I31,"OK")</f>
        <v>ACIMA</v>
      </c>
      <c r="P31" s="87">
        <f t="shared" si="7"/>
        <v>8484</v>
      </c>
      <c r="Q31" s="90" t="str">
        <f>_xlfn.XLOOKUP(P31,'[1]ESCALA DE PRODUÇÃO'!$AL$1:$AL$1048566,'[1]ESCALA DE PRODUÇÃO'!$AJ$1:$AJ$1048566,"NÃO ENCOTRADO")</f>
        <v>008484 - ROTISSERIA MAMINHA ASSADA BENDITO KG</v>
      </c>
      <c r="R31" s="69">
        <f t="shared" si="8"/>
        <v>5</v>
      </c>
      <c r="S31" s="45">
        <f t="shared" si="9"/>
        <v>7.6923076923076916</v>
      </c>
    </row>
    <row r="32" spans="1:19" ht="19" thickBot="1" x14ac:dyDescent="0.5">
      <c r="A32" s="28">
        <f>('[1]ESCALA DE PRODUÇÃO'!AA31)</f>
        <v>8523</v>
      </c>
      <c r="B32" s="68" t="str">
        <f>_xlfn.XLOOKUP(A32,'[1]ESCALA DE PRODUÇÃO'!$AL$1:$AL$1048566,'[1]ESCALA DE PRODUÇÃO'!$AJ$1:$AJ$1048566,"NÃO ENCOTRADO")</f>
        <v>008523 - ROTISSERIA TULIPA BUFALO WINGS KG</v>
      </c>
      <c r="C32" s="69">
        <v>0</v>
      </c>
      <c r="D32" s="67" t="str">
        <f>_xlfn.XLOOKUP(A32,'[1]ESCALA DE PRODUÇÃO'!$AL$1:$AL$1048566,'[1]ESCALA DE PRODUÇÃO'!$AK$1:$AK$1048566,"0")</f>
        <v>KG/0001</v>
      </c>
      <c r="E32" s="32">
        <f>('[1]ESCALA DE PRODUÇÃO'!AC31)</f>
        <v>0.35</v>
      </c>
      <c r="F32" s="71">
        <f t="shared" si="3"/>
        <v>0</v>
      </c>
      <c r="G32" s="72">
        <f>_xlfn.XLOOKUP(A32,'[1]ESCALA DE PRODUÇÃO'!$AL$1:$AL$1048566,'[1]ESCALA DE PRODUÇÃO'!$AM$1:$AM$1048566,"SEM PREÇO")</f>
        <v>54.9</v>
      </c>
      <c r="H32" s="73">
        <f t="shared" si="4"/>
        <v>0</v>
      </c>
      <c r="I32" s="46">
        <f>_xlfn.XLOOKUP(A32,'DADOS DE VENDA'!AE:AE,'DADOS DE VENDA'!AH:AH,"SEM VENDA")</f>
        <v>0.64</v>
      </c>
      <c r="J32" s="75">
        <f t="shared" si="5"/>
        <v>1.8285714285714287</v>
      </c>
      <c r="K32" s="76">
        <f t="shared" si="6"/>
        <v>35.136000000000003</v>
      </c>
      <c r="L32" s="77" t="str">
        <f>_xlfn.XLOOKUP(A32,'DADOS DE VENDA'!A:A,'DADOS DE VENDA'!E:E,"RUPTURA NO PERIODO")</f>
        <v>RUPTURA NO PERIODO</v>
      </c>
      <c r="M32" s="102" t="str" cm="1">
        <f t="array" ref="M32">_xlfn.IFS(C32&lt;I32,"ABAIXO",C32&gt;I32,"ACIMA",C32=I32,"OK")</f>
        <v>ABAIXO</v>
      </c>
      <c r="P32" s="87">
        <f t="shared" si="7"/>
        <v>8523</v>
      </c>
      <c r="Q32" s="90" t="str">
        <f>_xlfn.XLOOKUP(P32,'[1]ESCALA DE PRODUÇÃO'!$AL$1:$AL$1048566,'[1]ESCALA DE PRODUÇÃO'!$AJ$1:$AJ$1048566,"NÃO ENCOTRADO")</f>
        <v>008523 - ROTISSERIA TULIPA BUFALO WINGS KG</v>
      </c>
      <c r="R32" s="69">
        <f t="shared" si="8"/>
        <v>0</v>
      </c>
      <c r="S32" s="45">
        <f t="shared" si="9"/>
        <v>0</v>
      </c>
    </row>
    <row r="33" spans="1:19" ht="19" thickBot="1" x14ac:dyDescent="0.5">
      <c r="A33" s="28">
        <f>('[1]ESCALA DE PRODUÇÃO'!AA32)</f>
        <v>0</v>
      </c>
      <c r="B33" s="68" t="str">
        <f>_xlfn.XLOOKUP(A33,'[1]ESCALA DE PRODUÇÃO'!$AL$1:$AL$1048566,'[1]ESCALA DE PRODUÇÃO'!$AJ$1:$AJ$1048566,"NÃO ENCOTRADO")</f>
        <v>NÃO ENCOTRADO</v>
      </c>
      <c r="C33" s="69">
        <v>0</v>
      </c>
      <c r="D33" s="67" t="str">
        <f>_xlfn.XLOOKUP(A33,'[1]ESCALA DE PRODUÇÃO'!$AL$1:$AL$1048566,'[1]ESCALA DE PRODUÇÃO'!$AK$1:$AK$1048566,"0")</f>
        <v>0</v>
      </c>
      <c r="E33" s="32">
        <f>('[1]ESCALA DE PRODUÇÃO'!AC32)</f>
        <v>0</v>
      </c>
      <c r="F33" s="71" t="str">
        <f t="shared" si="3"/>
        <v>0</v>
      </c>
      <c r="G33" s="72" t="str">
        <f>_xlfn.XLOOKUP(A33,'[1]ESCALA DE PRODUÇÃO'!$AL$1:$AL$1048566,'[1]ESCALA DE PRODUÇÃO'!$AM$1:$AM$1048566,"SEM PREÇO")</f>
        <v>SEM PREÇO</v>
      </c>
      <c r="H33" s="73" t="str">
        <f t="shared" si="4"/>
        <v>0</v>
      </c>
      <c r="I33" s="46" t="str">
        <f>_xlfn.XLOOKUP(A33,'DADOS DE VENDA'!AE:AE,'DADOS DE VENDA'!AH:AH,"SEM VENDA")</f>
        <v>SEM VENDA</v>
      </c>
      <c r="J33" s="75" t="str">
        <f t="shared" si="5"/>
        <v>0</v>
      </c>
      <c r="K33" s="76" t="str">
        <f t="shared" si="6"/>
        <v>0</v>
      </c>
      <c r="L33" s="77" t="str">
        <f>_xlfn.XLOOKUP(A33,'DADOS DE VENDA'!A:A,'DADOS DE VENDA'!E:E,"RUPTURA NO PERIODO")</f>
        <v>RUPTURA NO PERIODO</v>
      </c>
      <c r="M33" s="102" t="str" cm="1">
        <f t="array" ref="M33">_xlfn.IFS(C33&lt;I33,"ABAIXO",C33&gt;I33,"ACIMA",C33=I33,"OK")</f>
        <v>ABAIXO</v>
      </c>
      <c r="P33" s="87">
        <f t="shared" si="7"/>
        <v>0</v>
      </c>
      <c r="Q33" s="90" t="str">
        <f>_xlfn.XLOOKUP(P33,'[1]ESCALA DE PRODUÇÃO'!$AL$1:$AL$1048566,'[1]ESCALA DE PRODUÇÃO'!$AJ$1:$AJ$1048566,"NÃO ENCOTRADO")</f>
        <v>NÃO ENCOTRADO</v>
      </c>
      <c r="R33" s="69">
        <f t="shared" si="8"/>
        <v>0</v>
      </c>
      <c r="S33" s="45" t="str">
        <f t="shared" si="9"/>
        <v>0</v>
      </c>
    </row>
    <row r="34" spans="1:19" ht="19" thickBot="1" x14ac:dyDescent="0.5">
      <c r="A34" s="28">
        <f>('[1]ESCALA DE PRODUÇÃO'!AA33)</f>
        <v>0</v>
      </c>
      <c r="B34" s="68" t="str">
        <f>_xlfn.XLOOKUP(A34,'[1]ESCALA DE PRODUÇÃO'!$AL$1:$AL$1048566,'[1]ESCALA DE PRODUÇÃO'!$AJ$1:$AJ$1048566,"NÃO ENCOTRADO")</f>
        <v>NÃO ENCOTRADO</v>
      </c>
      <c r="C34" s="69">
        <v>0</v>
      </c>
      <c r="D34" s="67" t="str">
        <f>_xlfn.XLOOKUP(A34,'[1]ESCALA DE PRODUÇÃO'!$AL$1:$AL$1048566,'[1]ESCALA DE PRODUÇÃO'!$AK$1:$AK$1048566,"0")</f>
        <v>0</v>
      </c>
      <c r="E34" s="32">
        <f>('[1]ESCALA DE PRODUÇÃO'!AC33)</f>
        <v>0</v>
      </c>
      <c r="F34" s="71" t="str">
        <f t="shared" si="3"/>
        <v>0</v>
      </c>
      <c r="G34" s="72" t="str">
        <f>_xlfn.XLOOKUP(A34,'[1]ESCALA DE PRODUÇÃO'!$AL$1:$AL$1048566,'[1]ESCALA DE PRODUÇÃO'!$AM$1:$AM$1048566,"SEM PREÇO")</f>
        <v>SEM PREÇO</v>
      </c>
      <c r="H34" s="73" t="str">
        <f t="shared" si="4"/>
        <v>0</v>
      </c>
      <c r="I34" s="46" t="str">
        <f>_xlfn.XLOOKUP(A34,'DADOS DE VENDA'!AE:AE,'DADOS DE VENDA'!AH:AH,"SEM VENDA")</f>
        <v>SEM VENDA</v>
      </c>
      <c r="J34" s="75" t="str">
        <f t="shared" si="5"/>
        <v>0</v>
      </c>
      <c r="K34" s="76" t="str">
        <f t="shared" si="6"/>
        <v>0</v>
      </c>
      <c r="L34" s="77" t="str">
        <f>_xlfn.XLOOKUP(A34,'DADOS DE VENDA'!A:A,'DADOS DE VENDA'!E:E,"RUPTURA NO PERIODO")</f>
        <v>RUPTURA NO PERIODO</v>
      </c>
      <c r="M34" s="102" t="str" cm="1">
        <f t="array" ref="M34">_xlfn.IFS(C34&lt;I34,"ABAIXO",C34&gt;I34,"ACIMA",C34=I34,"OK")</f>
        <v>ABAIXO</v>
      </c>
      <c r="P34" s="87">
        <f t="shared" si="7"/>
        <v>0</v>
      </c>
      <c r="Q34" s="90" t="str">
        <f>_xlfn.XLOOKUP(P34,'[1]ESCALA DE PRODUÇÃO'!$AL$1:$AL$1048566,'[1]ESCALA DE PRODUÇÃO'!$AJ$1:$AJ$1048566,"NÃO ENCOTRADO")</f>
        <v>NÃO ENCOTRADO</v>
      </c>
      <c r="R34" s="69">
        <f t="shared" si="8"/>
        <v>0</v>
      </c>
      <c r="S34" s="45" t="str">
        <f t="shared" si="9"/>
        <v>0</v>
      </c>
    </row>
    <row r="35" spans="1:19" ht="19" thickBot="1" x14ac:dyDescent="0.5">
      <c r="A35" s="28">
        <f>('[1]ESCALA DE PRODUÇÃO'!AA34)</f>
        <v>0</v>
      </c>
      <c r="B35" s="68" t="str">
        <f>_xlfn.XLOOKUP(A35,'[1]ESCALA DE PRODUÇÃO'!$AL$1:$AL$1048566,'[1]ESCALA DE PRODUÇÃO'!$AJ$1:$AJ$1048566,"NÃO ENCOTRADO")</f>
        <v>NÃO ENCOTRADO</v>
      </c>
      <c r="C35" s="69">
        <v>0</v>
      </c>
      <c r="D35" s="67" t="str">
        <f>_xlfn.XLOOKUP(A35,'[1]ESCALA DE PRODUÇÃO'!$AL$1:$AL$1048566,'[1]ESCALA DE PRODUÇÃO'!$AK$1:$AK$1048566,"0")</f>
        <v>0</v>
      </c>
      <c r="E35" s="32">
        <f>('[1]ESCALA DE PRODUÇÃO'!AC34)</f>
        <v>0</v>
      </c>
      <c r="F35" s="71" t="str">
        <f>IFERROR(C35/E35,"0")</f>
        <v>0</v>
      </c>
      <c r="G35" s="72" t="str">
        <f>_xlfn.XLOOKUP(A35,'[1]ESCALA DE PRODUÇÃO'!$AL$1:$AL$1048566,'[1]ESCALA DE PRODUÇÃO'!$AM$1:$AM$1048566,"SEM PREÇO")</f>
        <v>SEM PREÇO</v>
      </c>
      <c r="H35" s="73" t="str">
        <f>IFERROR(C35*G35,"0")</f>
        <v>0</v>
      </c>
      <c r="I35" s="46" t="str">
        <f>_xlfn.XLOOKUP(A35,'DADOS DE VENDA'!AE:AE,'DADOS DE VENDA'!AH:AH,"SEM VENDA")</f>
        <v>SEM VENDA</v>
      </c>
      <c r="J35" s="75" t="str">
        <f>IFERROR(I35/E35,"0")</f>
        <v>0</v>
      </c>
      <c r="K35" s="76" t="str">
        <f>IFERROR(I35*G35,"0")</f>
        <v>0</v>
      </c>
      <c r="L35" s="77" t="str">
        <f>_xlfn.XLOOKUP(A35,'DADOS DE VENDA'!A:A,'DADOS DE VENDA'!E:E,"RUPTURA NO PERIODO")</f>
        <v>RUPTURA NO PERIODO</v>
      </c>
      <c r="M35" s="102" t="str" cm="1">
        <f t="array" ref="M35">_xlfn.IFS(C35&lt;I35,"ABAIXO",C35&gt;I35,"ACIMA",C35=I35,"OK")</f>
        <v>ABAIXO</v>
      </c>
      <c r="P35" s="87">
        <f t="shared" si="7"/>
        <v>0</v>
      </c>
      <c r="Q35" s="90" t="str">
        <f>_xlfn.XLOOKUP(P35,'[1]ESCALA DE PRODUÇÃO'!$AL$1:$AL$1048566,'[1]ESCALA DE PRODUÇÃO'!$AJ$1:$AJ$1048566,"NÃO ENCOTRADO")</f>
        <v>NÃO ENCOTRADO</v>
      </c>
      <c r="R35" s="69">
        <f t="shared" si="8"/>
        <v>0</v>
      </c>
      <c r="S35" s="45" t="str">
        <f t="shared" si="9"/>
        <v>0</v>
      </c>
    </row>
    <row r="36" spans="1:19" ht="19" thickBot="1" x14ac:dyDescent="0.5">
      <c r="A36" s="109"/>
      <c r="B36" s="110" t="s">
        <v>176</v>
      </c>
      <c r="C36" s="110" t="s">
        <v>173</v>
      </c>
      <c r="D36" s="187"/>
      <c r="E36" s="188"/>
      <c r="F36" s="111" t="s">
        <v>174</v>
      </c>
      <c r="G36" s="189">
        <f>SUM(H4,H5,H6,H8,H9,H10,H12,H13,H15,H16,H18,H19,H20,H22,H23,H24,H26,H27)</f>
        <v>2571.4500000000003</v>
      </c>
      <c r="H36" s="190"/>
      <c r="I36" s="105" t="s">
        <v>175</v>
      </c>
      <c r="J36" s="191">
        <f>SUM(K4+K5+K6+K8+K9+K10+K12+K13+K15+K16+K18+K19+K20+K22+K24+K26+K27)</f>
        <v>1464.0679999999998</v>
      </c>
      <c r="K36" s="192"/>
      <c r="L36" s="112"/>
      <c r="M36" s="113"/>
      <c r="P36" s="147" t="s">
        <v>5</v>
      </c>
      <c r="Q36" s="148"/>
      <c r="R36" s="149">
        <f>G36</f>
        <v>2571.4500000000003</v>
      </c>
      <c r="S36" s="150"/>
    </row>
    <row r="37" spans="1:19" ht="18.5" x14ac:dyDescent="0.45">
      <c r="A37" s="136"/>
      <c r="B37" s="78"/>
      <c r="C37" s="78"/>
      <c r="D37" s="137"/>
      <c r="E37" s="137"/>
      <c r="F37" s="79"/>
      <c r="G37" s="138"/>
      <c r="H37" s="138"/>
      <c r="I37" s="79"/>
      <c r="J37" s="82"/>
      <c r="K37" s="82"/>
      <c r="M37" s="84"/>
    </row>
    <row r="38" spans="1:19" ht="18.5" x14ac:dyDescent="0.45">
      <c r="C38" s="116"/>
      <c r="E38" s="114"/>
      <c r="F38" s="79"/>
      <c r="G38" s="80"/>
      <c r="H38" s="80"/>
      <c r="I38" s="81"/>
      <c r="J38" s="115"/>
      <c r="K38" s="83"/>
      <c r="M38" s="84"/>
      <c r="R38" s="78"/>
      <c r="S38" s="79"/>
    </row>
    <row r="39" spans="1:19" ht="19" thickBot="1" x14ac:dyDescent="0.5">
      <c r="C39" s="116"/>
      <c r="E39" s="114"/>
      <c r="F39" s="79"/>
      <c r="G39" s="80"/>
      <c r="H39" s="80"/>
      <c r="I39" s="81"/>
      <c r="J39" s="115"/>
      <c r="K39" s="83"/>
      <c r="M39" s="84"/>
      <c r="R39" s="78"/>
      <c r="S39" s="79"/>
    </row>
    <row r="40" spans="1:19" ht="21.5" thickBot="1" x14ac:dyDescent="0.55000000000000004">
      <c r="A40" s="211" t="s">
        <v>194</v>
      </c>
      <c r="B40" s="212"/>
      <c r="C40" s="212"/>
      <c r="D40" s="212"/>
      <c r="E40" s="212"/>
      <c r="F40" s="212"/>
      <c r="G40" s="212"/>
      <c r="H40" s="212"/>
      <c r="I40" s="212" t="s">
        <v>171</v>
      </c>
      <c r="J40" s="212"/>
      <c r="K40" s="212"/>
      <c r="L40" s="212"/>
      <c r="M40" s="213"/>
      <c r="P40" s="157" t="str">
        <f>P1</f>
        <v>SABADO (LOJA 1 DESCONTÃO-ROTISSERIA)</v>
      </c>
      <c r="Q40" s="158"/>
      <c r="R40" s="132" t="s">
        <v>102</v>
      </c>
      <c r="S40" s="131">
        <f>(S1)</f>
        <v>46032</v>
      </c>
    </row>
    <row r="41" spans="1:19" ht="15" thickBot="1" x14ac:dyDescent="0.4">
      <c r="A41" s="151" t="s">
        <v>178</v>
      </c>
      <c r="B41" s="152"/>
      <c r="C41" s="145" t="s">
        <v>155</v>
      </c>
      <c r="D41" s="146"/>
      <c r="E41" s="146"/>
      <c r="F41" s="146"/>
      <c r="G41" s="146"/>
      <c r="H41" s="156"/>
      <c r="I41" s="146" t="s">
        <v>156</v>
      </c>
      <c r="J41" s="146"/>
      <c r="K41" s="146"/>
      <c r="L41" s="146"/>
      <c r="M41" s="153"/>
      <c r="P41" s="151" t="s">
        <v>178</v>
      </c>
      <c r="Q41" s="152"/>
      <c r="R41" s="145" t="s">
        <v>155</v>
      </c>
      <c r="S41" s="146"/>
    </row>
    <row r="42" spans="1:19" ht="15" thickBot="1" x14ac:dyDescent="0.4">
      <c r="A42" s="85" t="s">
        <v>8</v>
      </c>
      <c r="B42" s="6" t="s">
        <v>177</v>
      </c>
      <c r="C42" s="3" t="s">
        <v>2</v>
      </c>
      <c r="D42" s="3" t="s">
        <v>106</v>
      </c>
      <c r="E42" s="3" t="s">
        <v>4</v>
      </c>
      <c r="F42" s="3" t="s">
        <v>6</v>
      </c>
      <c r="G42" s="4" t="s">
        <v>3</v>
      </c>
      <c r="H42" s="3" t="s">
        <v>5</v>
      </c>
      <c r="I42" s="7" t="s">
        <v>157</v>
      </c>
      <c r="J42" s="7" t="s">
        <v>152</v>
      </c>
      <c r="K42" s="7" t="s">
        <v>153</v>
      </c>
      <c r="L42" s="3" t="s">
        <v>104</v>
      </c>
      <c r="M42" s="86" t="s">
        <v>105</v>
      </c>
      <c r="P42" s="85" t="s">
        <v>8</v>
      </c>
      <c r="Q42" s="6" t="s">
        <v>177</v>
      </c>
      <c r="R42" s="3" t="s">
        <v>2</v>
      </c>
      <c r="S42" s="3" t="s">
        <v>6</v>
      </c>
    </row>
    <row r="43" spans="1:19" ht="19" thickBot="1" x14ac:dyDescent="0.5">
      <c r="A43" s="87" t="str">
        <f>('[1]ESCALA DE PRODUÇÃO'!AA38)</f>
        <v>COD</v>
      </c>
      <c r="B43" s="29" t="str">
        <f>_xlfn.XLOOKUP(A43,'[1]ESCALA DE PRODUÇÃO'!$AL$1:$AL$1048566,'[1]ESCALA DE PRODUÇÃO'!$AJ$1:$AJ$1048566,"NÃO ENCOTRADO")</f>
        <v>NÃO ENCOTRADO</v>
      </c>
      <c r="C43" s="44">
        <v>8</v>
      </c>
      <c r="D43" s="28" t="str">
        <f>_xlfn.XLOOKUP(A43,'[1]ESCALA DE PRODUÇÃO'!$AL$1:$AL$1048566,'[1]ESCALA DE PRODUÇÃO'!$AK$1:$AK$1048566,"0")</f>
        <v>0</v>
      </c>
      <c r="E43" s="32" t="str">
        <f>('[1]ESCALA DE PRODUÇÃO'!AC38)</f>
        <v>PESO  P/PCT</v>
      </c>
      <c r="F43" s="45" t="str">
        <f>IFERROR(C43/E43,"0")</f>
        <v>0</v>
      </c>
      <c r="G43" s="30" t="str">
        <f>_xlfn.XLOOKUP(A43,'[1]ESCALA DE PRODUÇÃO'!$AL$1:$AL$1048566,'[1]ESCALA DE PRODUÇÃO'!$AM$1:$AM$1048566,"SEM PREÇO")</f>
        <v>SEM PREÇO</v>
      </c>
      <c r="H43" s="33" t="str">
        <f>IFERROR(C43*G43,"0")</f>
        <v>0</v>
      </c>
      <c r="I43" s="50" t="str">
        <f>_xlfn.XLOOKUP(A43,'DADOS DE VENDA'!AE:AE,'DADOS DE VENDA'!AH:AH,"SEM VENDA")</f>
        <v>SEM VENDA</v>
      </c>
      <c r="J43" s="42" t="str">
        <f>IFERROR(I43/E43,"0")</f>
        <v>0</v>
      </c>
      <c r="K43" s="43" t="str">
        <f>IFERROR(I43*G43,"0")</f>
        <v>0</v>
      </c>
      <c r="L43" s="51" t="str">
        <f>_xlfn.XLOOKUP(A43,'DADOS DE VENDA'!A:A,'DADOS DE VENDA'!E:E,"RUPTURA NO PERIODO")</f>
        <v>RUPTURA NO PERIODO</v>
      </c>
      <c r="M43" s="88" t="str" cm="1">
        <f t="array" ref="M43">_xlfn.IFS(C43&lt;I43,"ABAIXO",C43&gt;I43,"ACIMA",C43=I43,"OK")</f>
        <v>ABAIXO</v>
      </c>
      <c r="P43" s="87" t="str">
        <f>(A43)</f>
        <v>COD</v>
      </c>
      <c r="Q43" s="29" t="str">
        <f>_xlfn.XLOOKUP(P43,'[1]ESCALA DE PRODUÇÃO'!$AL$1:$AL$1048566,'[1]ESCALA DE PRODUÇÃO'!$AJ$1:$AJ$1048566,"NÃO ENCOTRADO")</f>
        <v>NÃO ENCOTRADO</v>
      </c>
      <c r="R43" s="44">
        <f>C43</f>
        <v>8</v>
      </c>
      <c r="S43" s="45" t="str">
        <f>F43</f>
        <v>0</v>
      </c>
    </row>
    <row r="44" spans="1:19" ht="19" thickBot="1" x14ac:dyDescent="0.5">
      <c r="A44" s="87">
        <f>('[1]ESCALA DE PRODUÇÃO'!AA39)</f>
        <v>8963</v>
      </c>
      <c r="B44" s="29" t="str">
        <f>_xlfn.XLOOKUP(A44,'[1]ESCALA DE PRODUÇÃO'!$AL$1:$AL$1048566,'[1]ESCALA DE PRODUÇÃO'!$AJ$1:$AJ$1048566,"NÃO ENCOTRADO")</f>
        <v>008963 - ROTISSERIA SALADA CEASER C/FRANGO BENDITO</v>
      </c>
      <c r="C44" s="44">
        <v>0</v>
      </c>
      <c r="D44" s="28" t="str">
        <f>_xlfn.XLOOKUP(A44,'[1]ESCALA DE PRODUÇÃO'!$AL$1:$AL$1048566,'[1]ESCALA DE PRODUÇÃO'!$AK$1:$AK$1048566,"0")</f>
        <v>UN/0001</v>
      </c>
      <c r="E44" s="32">
        <f>('[1]ESCALA DE PRODUÇÃO'!AC39)</f>
        <v>1</v>
      </c>
      <c r="F44" s="45">
        <f>IFERROR(C44/E44,"0")</f>
        <v>0</v>
      </c>
      <c r="G44" s="30">
        <f>_xlfn.XLOOKUP(A44,'[1]ESCALA DE PRODUÇÃO'!$AL$1:$AL$1048566,'[1]ESCALA DE PRODUÇÃO'!$AM$1:$AM$1048566,"SEM PREÇO")</f>
        <v>24.9</v>
      </c>
      <c r="H44" s="33">
        <f>IFERROR(C44*G44,"0")</f>
        <v>0</v>
      </c>
      <c r="I44" s="50">
        <f>_xlfn.XLOOKUP(A44,'DADOS DE VENDA'!AE:AE,'DADOS DE VENDA'!AH:AH,"SEM VENDA")</f>
        <v>3</v>
      </c>
      <c r="J44" s="42">
        <f>IFERROR(I44/E44,"0")</f>
        <v>3</v>
      </c>
      <c r="K44" s="43">
        <f>IFERROR(I44*G44,"0")</f>
        <v>74.699999999999989</v>
      </c>
      <c r="L44" s="51" t="str">
        <f>_xlfn.XLOOKUP(A44,'DADOS DE VENDA'!A:A,'DADOS DE VENDA'!E:E,"RUPTURA NO PERIODO")</f>
        <v>19/01 a20/01</v>
      </c>
      <c r="M44" s="88" t="str" cm="1">
        <f t="array" ref="M44">_xlfn.IFS(C44&lt;I44,"ABAIXO",C44&gt;I44,"ACIMA",C44=I44,"OK")</f>
        <v>ABAIXO</v>
      </c>
      <c r="P44" s="87">
        <f>(A44)</f>
        <v>8963</v>
      </c>
      <c r="Q44" s="29" t="str">
        <f>_xlfn.XLOOKUP(P44,'[1]ESCALA DE PRODUÇÃO'!$AL$1:$AL$1048566,'[1]ESCALA DE PRODUÇÃO'!$AJ$1:$AJ$1048566,"NÃO ENCOTRADO")</f>
        <v>008963 - ROTISSERIA SALADA CEASER C/FRANGO BENDITO</v>
      </c>
      <c r="R44" s="44">
        <f t="shared" ref="R44:R53" si="10">C44</f>
        <v>0</v>
      </c>
      <c r="S44" s="45">
        <f t="shared" ref="S44:S53" si="11">F44</f>
        <v>0</v>
      </c>
    </row>
    <row r="45" spans="1:19" ht="19" thickBot="1" x14ac:dyDescent="0.5">
      <c r="A45" s="87">
        <f>('[1]ESCALA DE PRODUÇÃO'!AA40)</f>
        <v>0</v>
      </c>
      <c r="B45" s="29" t="str">
        <f>_xlfn.XLOOKUP(A45,'[1]ESCALA DE PRODUÇÃO'!$AL$1:$AL$1048566,'[1]ESCALA DE PRODUÇÃO'!$AJ$1:$AJ$1048566,"NÃO ENCOTRADO")</f>
        <v>NÃO ENCOTRADO</v>
      </c>
      <c r="C45" s="44">
        <v>0</v>
      </c>
      <c r="D45" s="28" t="str">
        <f>_xlfn.XLOOKUP(A45,'[1]ESCALA DE PRODUÇÃO'!$AL$1:$AL$1048566,'[1]ESCALA DE PRODUÇÃO'!$AK$1:$AK$1048566,"0")</f>
        <v>0</v>
      </c>
      <c r="E45" s="32">
        <f>('[1]ESCALA DE PRODUÇÃO'!AC40)</f>
        <v>0</v>
      </c>
      <c r="F45" s="45" t="str">
        <f>IFERROR(C45/E45,"0")</f>
        <v>0</v>
      </c>
      <c r="G45" s="30" t="str">
        <f>_xlfn.XLOOKUP(A45,'[1]ESCALA DE PRODUÇÃO'!$AL$1:$AL$1048566,'[1]ESCALA DE PRODUÇÃO'!$AM$1:$AM$1048566,"SEM PREÇO")</f>
        <v>SEM PREÇO</v>
      </c>
      <c r="H45" s="33" t="str">
        <f>IFERROR(C45*G45,"0")</f>
        <v>0</v>
      </c>
      <c r="I45" s="50" t="str">
        <f>_xlfn.XLOOKUP(A45,'DADOS DE VENDA'!AE:AE,'DADOS DE VENDA'!AH:AH,"SEM VENDA")</f>
        <v>SEM VENDA</v>
      </c>
      <c r="J45" s="42" t="str">
        <f>IFERROR(I45/E45,"0")</f>
        <v>0</v>
      </c>
      <c r="K45" s="43" t="str">
        <f>IFERROR(I45*G45,"0")</f>
        <v>0</v>
      </c>
      <c r="L45" s="51" t="str">
        <f>_xlfn.XLOOKUP(A45,'DADOS DE VENDA'!A:A,'DADOS DE VENDA'!E:E,"RUPTURA NO PERIODO")</f>
        <v>RUPTURA NO PERIODO</v>
      </c>
      <c r="M45" s="88" t="str" cm="1">
        <f t="array" ref="M45">_xlfn.IFS(C45&lt;I45,"ABAIXO",C45&gt;I45,"ACIMA",C45=I45,"OK")</f>
        <v>ABAIXO</v>
      </c>
      <c r="P45" s="87">
        <f>(A45)</f>
        <v>0</v>
      </c>
      <c r="Q45" s="29" t="str">
        <f>_xlfn.XLOOKUP(P45,'[1]ESCALA DE PRODUÇÃO'!$AL$1:$AL$1048566,'[1]ESCALA DE PRODUÇÃO'!$AJ$1:$AJ$1048566,"NÃO ENCOTRADO")</f>
        <v>NÃO ENCOTRADO</v>
      </c>
      <c r="R45" s="44">
        <f t="shared" si="10"/>
        <v>0</v>
      </c>
      <c r="S45" s="45" t="str">
        <f t="shared" si="11"/>
        <v>0</v>
      </c>
    </row>
    <row r="46" spans="1:19" ht="15" thickBot="1" x14ac:dyDescent="0.4">
      <c r="A46" s="85" t="s">
        <v>8</v>
      </c>
      <c r="B46" s="6" t="s">
        <v>179</v>
      </c>
      <c r="C46" s="3" t="s">
        <v>2</v>
      </c>
      <c r="D46" s="3" t="s">
        <v>106</v>
      </c>
      <c r="E46" s="3" t="s">
        <v>4</v>
      </c>
      <c r="F46" s="3" t="s">
        <v>6</v>
      </c>
      <c r="G46" s="4" t="s">
        <v>3</v>
      </c>
      <c r="H46" s="3" t="s">
        <v>5</v>
      </c>
      <c r="I46" s="7" t="s">
        <v>157</v>
      </c>
      <c r="J46" s="7" t="s">
        <v>152</v>
      </c>
      <c r="K46" s="7" t="s">
        <v>153</v>
      </c>
      <c r="L46" s="3" t="s">
        <v>104</v>
      </c>
      <c r="M46" s="86" t="s">
        <v>105</v>
      </c>
      <c r="P46" s="85" t="s">
        <v>8</v>
      </c>
      <c r="Q46" s="6" t="s">
        <v>179</v>
      </c>
      <c r="R46" s="3" t="s">
        <v>2</v>
      </c>
      <c r="S46" s="3" t="s">
        <v>6</v>
      </c>
    </row>
    <row r="47" spans="1:19" ht="19" thickBot="1" x14ac:dyDescent="0.5">
      <c r="A47" s="87">
        <f>('[1]ESCALA DE PRODUÇÃO'!AA42)</f>
        <v>0</v>
      </c>
      <c r="B47" s="29" t="str">
        <f>_xlfn.XLOOKUP(A47,'[1]ESCALA DE PRODUÇÃO'!$AL$1:$AL$1048566,'[1]ESCALA DE PRODUÇÃO'!$AJ$1:$AJ$1048566,"NÃO ENCOTRADO")</f>
        <v>NÃO ENCOTRADO</v>
      </c>
      <c r="C47" s="44">
        <v>10</v>
      </c>
      <c r="D47" s="28" t="str">
        <f>_xlfn.XLOOKUP(A47,'[1]ESCALA DE PRODUÇÃO'!$AL$1:$AL$1048566,'[1]ESCALA DE PRODUÇÃO'!$AK$1:$AK$1048566,"0")</f>
        <v>0</v>
      </c>
      <c r="E47" s="32">
        <f>('[1]ESCALA DE PRODUÇÃO'!AC42)</f>
        <v>0</v>
      </c>
      <c r="F47" s="45" t="str">
        <f>IFERROR(C47/E47,"0")</f>
        <v>0</v>
      </c>
      <c r="G47" s="30" t="str">
        <f>_xlfn.XLOOKUP(A47,'[1]ESCALA DE PRODUÇÃO'!$AL$1:$AL$1048566,'[1]ESCALA DE PRODUÇÃO'!$AM$1:$AM$1048566,"SEM PREÇO")</f>
        <v>SEM PREÇO</v>
      </c>
      <c r="H47" s="33" t="str">
        <f>IFERROR(C47*G47,"0")</f>
        <v>0</v>
      </c>
      <c r="I47" s="50" t="str">
        <f>_xlfn.XLOOKUP(A47,'DADOS DE VENDA'!AE:AE,'DADOS DE VENDA'!AH:AH,"SEM VENDA")</f>
        <v>SEM VENDA</v>
      </c>
      <c r="J47" s="42" t="str">
        <f>IFERROR(I47/E47,"0")</f>
        <v>0</v>
      </c>
      <c r="K47" s="43" t="str">
        <f>IFERROR(I47*G47,"0")</f>
        <v>0</v>
      </c>
      <c r="L47" s="51" t="str">
        <f>_xlfn.XLOOKUP(A47,'DADOS DE VENDA'!A:A,'DADOS DE VENDA'!E:E,"RUPTURA NO PERIODO")</f>
        <v>RUPTURA NO PERIODO</v>
      </c>
      <c r="M47" s="88" t="str" cm="1">
        <f t="array" ref="M47">_xlfn.IFS(C47&lt;I47,"ABAIXO",C47&gt;I47,"ACIMA",C47=I47,"OK")</f>
        <v>ABAIXO</v>
      </c>
      <c r="P47" s="87">
        <f>(A47)</f>
        <v>0</v>
      </c>
      <c r="Q47" s="29" t="str">
        <f>_xlfn.XLOOKUP(P47,'[1]ESCALA DE PRODUÇÃO'!$AL$1:$AL$1048566,'[1]ESCALA DE PRODUÇÃO'!$AJ$1:$AJ$1048566,"NÃO ENCOTRADO")</f>
        <v>NÃO ENCOTRADO</v>
      </c>
      <c r="R47" s="44">
        <f t="shared" si="10"/>
        <v>10</v>
      </c>
      <c r="S47" s="45" t="str">
        <f t="shared" si="11"/>
        <v>0</v>
      </c>
    </row>
    <row r="48" spans="1:19" ht="19" thickBot="1" x14ac:dyDescent="0.5">
      <c r="A48" s="87">
        <f>('[1]ESCALA DE PRODUÇÃO'!AA43)</f>
        <v>0</v>
      </c>
      <c r="B48" s="29" t="str">
        <f>_xlfn.XLOOKUP(A48,'[1]ESCALA DE PRODUÇÃO'!$AL$1:$AL$1048566,'[1]ESCALA DE PRODUÇÃO'!$AJ$1:$AJ$1048566,"NÃO ENCOTRADO")</f>
        <v>NÃO ENCOTRADO</v>
      </c>
      <c r="C48" s="44">
        <v>10</v>
      </c>
      <c r="D48" s="28" t="str">
        <f>_xlfn.XLOOKUP(A48,'[1]ESCALA DE PRODUÇÃO'!$AL$1:$AL$1048566,'[1]ESCALA DE PRODUÇÃO'!$AK$1:$AK$1048566,"0")</f>
        <v>0</v>
      </c>
      <c r="E48" s="32">
        <f>('[1]ESCALA DE PRODUÇÃO'!AC43)</f>
        <v>0</v>
      </c>
      <c r="F48" s="45" t="str">
        <f>IFERROR(C48/E48,"0")</f>
        <v>0</v>
      </c>
      <c r="G48" s="30" t="str">
        <f>_xlfn.XLOOKUP(A48,'[1]ESCALA DE PRODUÇÃO'!$AL$1:$AL$1048566,'[1]ESCALA DE PRODUÇÃO'!$AM$1:$AM$1048566,"SEM PREÇO")</f>
        <v>SEM PREÇO</v>
      </c>
      <c r="H48" s="33" t="str">
        <f>IFERROR(C48*G48,"0")</f>
        <v>0</v>
      </c>
      <c r="I48" s="50" t="str">
        <f>_xlfn.XLOOKUP(A48,'DADOS DE VENDA'!AE:AE,'DADOS DE VENDA'!AH:AH,"SEM VENDA")</f>
        <v>SEM VENDA</v>
      </c>
      <c r="J48" s="42" t="str">
        <f>IFERROR(I48/E48,"0")</f>
        <v>0</v>
      </c>
      <c r="K48" s="43" t="str">
        <f>IFERROR(I48*G48,"0")</f>
        <v>0</v>
      </c>
      <c r="L48" s="51" t="str">
        <f>_xlfn.XLOOKUP(A48,'DADOS DE VENDA'!A:A,'DADOS DE VENDA'!E:E,"RUPTURA NO PERIODO")</f>
        <v>RUPTURA NO PERIODO</v>
      </c>
      <c r="M48" s="88" t="str" cm="1">
        <f t="array" ref="M48">_xlfn.IFS(C48&lt;I48,"ABAIXO",C48&gt;I48,"ACIMA",C48=I48,"OK")</f>
        <v>ABAIXO</v>
      </c>
      <c r="P48" s="87">
        <f t="shared" ref="P48:P53" si="12">(A48)</f>
        <v>0</v>
      </c>
      <c r="Q48" s="29" t="str">
        <f>_xlfn.XLOOKUP(P48,'[1]ESCALA DE PRODUÇÃO'!$AL$1:$AL$1048566,'[1]ESCALA DE PRODUÇÃO'!$AJ$1:$AJ$1048566,"NÃO ENCOTRADO")</f>
        <v>NÃO ENCOTRADO</v>
      </c>
      <c r="R48" s="44">
        <f t="shared" si="10"/>
        <v>10</v>
      </c>
      <c r="S48" s="45" t="str">
        <f t="shared" si="11"/>
        <v>0</v>
      </c>
    </row>
    <row r="49" spans="1:19" ht="19" thickBot="1" x14ac:dyDescent="0.5">
      <c r="A49" s="87">
        <f>('[1]ESCALA DE PRODUÇÃO'!AA44)</f>
        <v>9123</v>
      </c>
      <c r="B49" s="29" t="str">
        <f>_xlfn.XLOOKUP(A49,'[1]ESCALA DE PRODUÇÃO'!$AL$1:$AL$1048566,'[1]ESCALA DE PRODUÇÃO'!$AJ$1:$AJ$1048566,"NÃO ENCOTRADO")</f>
        <v>009123 - ROTISSERIA SUSHI KANI C/CREAM CHEESE BENDITO UN</v>
      </c>
      <c r="C49" s="44">
        <v>0</v>
      </c>
      <c r="D49" s="28" t="str">
        <f>_xlfn.XLOOKUP(A49,'[1]ESCALA DE PRODUÇÃO'!$AL$1:$AL$1048566,'[1]ESCALA DE PRODUÇÃO'!$AK$1:$AK$1048566,"0")</f>
        <v>UN/0001</v>
      </c>
      <c r="E49" s="32">
        <f>('[1]ESCALA DE PRODUÇÃO'!AC44)</f>
        <v>1</v>
      </c>
      <c r="F49" s="45">
        <f>IFERROR(C49/E49,"0")</f>
        <v>0</v>
      </c>
      <c r="G49" s="30">
        <f>_xlfn.XLOOKUP(A49,'[1]ESCALA DE PRODUÇÃO'!$AL$1:$AL$1048566,'[1]ESCALA DE PRODUÇÃO'!$AM$1:$AM$1048566,"SEM PREÇO")</f>
        <v>0</v>
      </c>
      <c r="H49" s="33">
        <f>IFERROR(C49*G49,"0")</f>
        <v>0</v>
      </c>
      <c r="I49" s="50">
        <f>_xlfn.XLOOKUP(A49,'DADOS DE VENDA'!AE:AE,'DADOS DE VENDA'!AH:AH,"SEM VENDA")</f>
        <v>1</v>
      </c>
      <c r="J49" s="42">
        <f>IFERROR(I49/E49,"0")</f>
        <v>1</v>
      </c>
      <c r="K49" s="43">
        <f>IFERROR(I49*G49,"0")</f>
        <v>0</v>
      </c>
      <c r="L49" s="51" t="str">
        <f>_xlfn.XLOOKUP(A49,'DADOS DE VENDA'!A:A,'DADOS DE VENDA'!E:E,"RUPTURA NO PERIODO")</f>
        <v>19/01 a20/01</v>
      </c>
      <c r="M49" s="88" t="str" cm="1">
        <f t="array" ref="M49">_xlfn.IFS(C49&lt;I49,"ABAIXO",C49&gt;I49,"ACIMA",C49=I49,"OK")</f>
        <v>ABAIXO</v>
      </c>
      <c r="P49" s="87">
        <f t="shared" si="12"/>
        <v>9123</v>
      </c>
      <c r="Q49" s="29" t="str">
        <f>_xlfn.XLOOKUP(P49,'[1]ESCALA DE PRODUÇÃO'!$AL$1:$AL$1048566,'[1]ESCALA DE PRODUÇÃO'!$AJ$1:$AJ$1048566,"NÃO ENCOTRADO")</f>
        <v>009123 - ROTISSERIA SUSHI KANI C/CREAM CHEESE BENDITO UN</v>
      </c>
      <c r="R49" s="44">
        <f t="shared" si="10"/>
        <v>0</v>
      </c>
      <c r="S49" s="45">
        <f t="shared" si="11"/>
        <v>0</v>
      </c>
    </row>
    <row r="50" spans="1:19" ht="15" thickBot="1" x14ac:dyDescent="0.4">
      <c r="A50" s="85" t="s">
        <v>8</v>
      </c>
      <c r="B50" s="6" t="s">
        <v>180</v>
      </c>
      <c r="C50" s="3" t="s">
        <v>2</v>
      </c>
      <c r="D50" s="3" t="s">
        <v>106</v>
      </c>
      <c r="E50" s="3" t="s">
        <v>4</v>
      </c>
      <c r="F50" s="3" t="s">
        <v>6</v>
      </c>
      <c r="G50" s="4" t="s">
        <v>3</v>
      </c>
      <c r="H50" s="3" t="s">
        <v>5</v>
      </c>
      <c r="I50" s="7" t="s">
        <v>157</v>
      </c>
      <c r="J50" s="7" t="s">
        <v>152</v>
      </c>
      <c r="K50" s="7" t="s">
        <v>153</v>
      </c>
      <c r="L50" s="3" t="s">
        <v>104</v>
      </c>
      <c r="M50" s="86" t="s">
        <v>105</v>
      </c>
      <c r="P50" s="85" t="s">
        <v>8</v>
      </c>
      <c r="Q50" s="6" t="s">
        <v>180</v>
      </c>
      <c r="R50" s="3" t="s">
        <v>2</v>
      </c>
      <c r="S50" s="3" t="s">
        <v>6</v>
      </c>
    </row>
    <row r="51" spans="1:19" ht="19" thickBot="1" x14ac:dyDescent="0.5">
      <c r="A51" s="87">
        <f>('[1]ESCALA DE PRODUÇÃO'!AA46)</f>
        <v>0</v>
      </c>
      <c r="B51" s="29" t="str">
        <f>_xlfn.XLOOKUP(A51,'[1]ESCALA DE PRODUÇÃO'!$AL$1:$AL$1048566,'[1]ESCALA DE PRODUÇÃO'!$AJ$1:$AJ$1048566,"NÃO ENCOTRADO")</f>
        <v>NÃO ENCOTRADO</v>
      </c>
      <c r="C51" s="44">
        <v>0</v>
      </c>
      <c r="D51" s="28" t="str">
        <f>_xlfn.XLOOKUP(A51,'[1]ESCALA DE PRODUÇÃO'!$AL$1:$AL$1048566,'[1]ESCALA DE PRODUÇÃO'!$AK$1:$AK$1048566,"0")</f>
        <v>0</v>
      </c>
      <c r="E51" s="32">
        <f>('[1]ESCALA DE PRODUÇÃO'!AC46)</f>
        <v>0</v>
      </c>
      <c r="F51" s="45" t="str">
        <f>IFERROR(C51/E51,"0")</f>
        <v>0</v>
      </c>
      <c r="G51" s="30" t="str">
        <f>_xlfn.XLOOKUP(A51,'[1]ESCALA DE PRODUÇÃO'!$AL$1:$AL$1048566,'[1]ESCALA DE PRODUÇÃO'!$AM$1:$AM$1048566,"SEM PREÇO")</f>
        <v>SEM PREÇO</v>
      </c>
      <c r="H51" s="33" t="str">
        <f>IFERROR(C51*G51,"0")</f>
        <v>0</v>
      </c>
      <c r="I51" s="50" t="str">
        <f>_xlfn.XLOOKUP(A51,'DADOS DE VENDA'!AE:AE,'DADOS DE VENDA'!AH:AH,"SEM VENDA")</f>
        <v>SEM VENDA</v>
      </c>
      <c r="J51" s="42" t="str">
        <f>IFERROR(I51/E51,"0")</f>
        <v>0</v>
      </c>
      <c r="K51" s="43" t="str">
        <f>IFERROR(I51*G51,"0")</f>
        <v>0</v>
      </c>
      <c r="L51" s="51" t="str">
        <f>_xlfn.XLOOKUP(A51,'DADOS DE VENDA'!A:A,'DADOS DE VENDA'!E:E,"RUPTURA NO PERIODO")</f>
        <v>RUPTURA NO PERIODO</v>
      </c>
      <c r="M51" s="88" t="str" cm="1">
        <f t="array" ref="M51">_xlfn.IFS(C51&lt;I51,"ABAIXO",C51&gt;I51,"ACIMA",C51=I51,"OK")</f>
        <v>ABAIXO</v>
      </c>
      <c r="P51" s="87">
        <f t="shared" si="12"/>
        <v>0</v>
      </c>
      <c r="Q51" s="29" t="str">
        <f>_xlfn.XLOOKUP(P51,'[1]ESCALA DE PRODUÇÃO'!$AL$1:$AL$1048566,'[1]ESCALA DE PRODUÇÃO'!$AJ$1:$AJ$1048566,"NÃO ENCOTRADO")</f>
        <v>NÃO ENCOTRADO</v>
      </c>
      <c r="R51" s="44">
        <f t="shared" si="10"/>
        <v>0</v>
      </c>
      <c r="S51" s="45" t="str">
        <f t="shared" si="11"/>
        <v>0</v>
      </c>
    </row>
    <row r="52" spans="1:19" ht="19" thickBot="1" x14ac:dyDescent="0.5">
      <c r="A52" s="87">
        <f>('[1]ESCALA DE PRODUÇÃO'!B38)</f>
        <v>0</v>
      </c>
      <c r="B52" s="29" t="str">
        <f>_xlfn.XLOOKUP(A52,'[1]ESCALA DE PRODUÇÃO'!$AL$1:$AL$1048566,'[1]ESCALA DE PRODUÇÃO'!$AJ$1:$AJ$1048566,"NÃO ENCOTRADO")</f>
        <v>NÃO ENCOTRADO</v>
      </c>
      <c r="C52" s="44">
        <v>0</v>
      </c>
      <c r="D52" s="28" t="str">
        <f>_xlfn.XLOOKUP(A52,'[1]ESCALA DE PRODUÇÃO'!$AL$1:$AL$1048566,'[1]ESCALA DE PRODUÇÃO'!$AK$1:$AK$1048566,"0")</f>
        <v>0</v>
      </c>
      <c r="E52" s="32" t="str">
        <f>_xlfn.XLOOKUP(A52,'[1]ESCALA DE PRODUÇÃO'!$A$4:$A$42,'[1]ESCALA DE PRODUÇÃO'!$C$4:$C$42,"0")</f>
        <v>0</v>
      </c>
      <c r="F52" s="45" t="str">
        <f>IFERROR(C52/E52,"0")</f>
        <v>0</v>
      </c>
      <c r="G52" s="30" t="str">
        <f>_xlfn.XLOOKUP(A52,'[1]ESCALA DE PRODUÇÃO'!$AL$1:$AL$1048566,'[1]ESCALA DE PRODUÇÃO'!$AM$1:$AM$1048566,"SEM PREÇO")</f>
        <v>SEM PREÇO</v>
      </c>
      <c r="H52" s="33" t="str">
        <f>IFERROR(C52*G52,"0")</f>
        <v>0</v>
      </c>
      <c r="I52" s="50" t="str">
        <f>_xlfn.XLOOKUP(A52,'DADOS DE VENDA'!AE:AE,'DADOS DE VENDA'!AH:AH,"SEM VENDA")</f>
        <v>SEM VENDA</v>
      </c>
      <c r="J52" s="42" t="str">
        <f>IFERROR(I52/E52,"0")</f>
        <v>0</v>
      </c>
      <c r="K52" s="43" t="str">
        <f>IFERROR(I52*G52,"0")</f>
        <v>0</v>
      </c>
      <c r="L52" s="51" t="str">
        <f>_xlfn.XLOOKUP(A52,'DADOS DE VENDA'!A:A,'DADOS DE VENDA'!E:E,"RUPTURA NO PERIODO")</f>
        <v>RUPTURA NO PERIODO</v>
      </c>
      <c r="M52" s="88" t="str" cm="1">
        <f t="array" ref="M52">_xlfn.IFS(C52&lt;I52,"ABAIXO",C52&gt;I52,"ACIMA",C52=I52,"OK")</f>
        <v>ABAIXO</v>
      </c>
      <c r="P52" s="87">
        <f t="shared" si="12"/>
        <v>0</v>
      </c>
      <c r="Q52" s="29" t="str">
        <f>_xlfn.XLOOKUP(P52,'[1]ESCALA DE PRODUÇÃO'!$AL$1:$AL$1048566,'[1]ESCALA DE PRODUÇÃO'!$AJ$1:$AJ$1048566,"NÃO ENCOTRADO")</f>
        <v>NÃO ENCOTRADO</v>
      </c>
      <c r="R52" s="44">
        <f t="shared" si="10"/>
        <v>0</v>
      </c>
      <c r="S52" s="45" t="str">
        <f t="shared" si="11"/>
        <v>0</v>
      </c>
    </row>
    <row r="53" spans="1:19" ht="19" thickBot="1" x14ac:dyDescent="0.5">
      <c r="A53" s="89">
        <f>('[1]ESCALA DE PRODUÇÃO'!B39)</f>
        <v>90</v>
      </c>
      <c r="B53" s="90" t="str">
        <f>_xlfn.XLOOKUP(A53,'[1]ESCALA DE PRODUÇÃO'!$AL$1:$AL$1048566,'[1]ESCALA DE PRODUÇÃO'!$AJ$1:$AJ$1048566,"NÃO ENCOTRADO")</f>
        <v>NÃO ENCOTRADO</v>
      </c>
      <c r="C53" s="91">
        <v>0</v>
      </c>
      <c r="D53" s="92" t="str">
        <f>_xlfn.XLOOKUP(A53,'[1]ESCALA DE PRODUÇÃO'!$AL$1:$AL$1048566,'[1]ESCALA DE PRODUÇÃO'!$AK$1:$AK$1048566,"0")</f>
        <v>0</v>
      </c>
      <c r="E53" s="93" t="str">
        <f>_xlfn.XLOOKUP(A53,'[1]ESCALA DE PRODUÇÃO'!$A$4:$A$42,'[1]ESCALA DE PRODUÇÃO'!$C$4:$C$42,"0")</f>
        <v>0</v>
      </c>
      <c r="F53" s="94" t="str">
        <f>IFERROR(C53/E53,"0")</f>
        <v>0</v>
      </c>
      <c r="G53" s="95" t="str">
        <f>_xlfn.XLOOKUP(A53,'[1]ESCALA DE PRODUÇÃO'!$AL$1:$AL$1048566,'[1]ESCALA DE PRODUÇÃO'!$AM$1:$AM$1048566,"SEM PREÇO")</f>
        <v>SEM PREÇO</v>
      </c>
      <c r="H53" s="96" t="str">
        <f>IFERROR(C53*G53,"0")</f>
        <v>0</v>
      </c>
      <c r="I53" s="50" t="str">
        <f>_xlfn.XLOOKUP(A53,'DADOS DE VENDA'!AE:AE,'DADOS DE VENDA'!AH:AH,"SEM VENDA")</f>
        <v>SEM VENDA</v>
      </c>
      <c r="J53" s="98" t="str">
        <f>IFERROR(I53/E53,"0")</f>
        <v>0</v>
      </c>
      <c r="K53" s="99" t="str">
        <f>IFERROR(I53*G53,"0")</f>
        <v>0</v>
      </c>
      <c r="L53" s="100" t="str">
        <f>_xlfn.XLOOKUP(A53,'DADOS DE VENDA'!A:A,'DADOS DE VENDA'!E:E,"RUPTURA NO PERIODO")</f>
        <v>RUPTURA NO PERIODO</v>
      </c>
      <c r="M53" s="101" t="str" cm="1">
        <f t="array" ref="M53">_xlfn.IFS(C53&lt;I53,"ABAIXO",C53&gt;I53,"ACIMA",C53=I53,"OK")</f>
        <v>ABAIXO</v>
      </c>
      <c r="P53" s="87">
        <f t="shared" si="12"/>
        <v>90</v>
      </c>
      <c r="Q53" s="90" t="str">
        <f>_xlfn.XLOOKUP(P53,'[1]ESCALA DE PRODUÇÃO'!$AL$1:$AL$1048566,'[1]ESCALA DE PRODUÇÃO'!$AJ$1:$AJ$1048566,"NÃO ENCOTRADO")</f>
        <v>NÃO ENCOTRADO</v>
      </c>
      <c r="R53" s="44">
        <f t="shared" si="10"/>
        <v>0</v>
      </c>
      <c r="S53" s="45" t="str">
        <f t="shared" si="11"/>
        <v>0</v>
      </c>
    </row>
    <row r="54" spans="1:19" ht="19" thickBot="1" x14ac:dyDescent="0.5">
      <c r="A54" s="106"/>
      <c r="B54" s="103" t="s">
        <v>176</v>
      </c>
      <c r="C54" s="103" t="s">
        <v>173</v>
      </c>
      <c r="D54" s="159"/>
      <c r="E54" s="160"/>
      <c r="F54" s="105" t="s">
        <v>174</v>
      </c>
      <c r="G54" s="161">
        <f>SUM(H43,H44,H45,H47,H48,H49,H51,H52,H53)</f>
        <v>0</v>
      </c>
      <c r="H54" s="162"/>
      <c r="I54" s="105" t="s">
        <v>175</v>
      </c>
      <c r="J54" s="163" t="e">
        <f>SUM(K21+K22+K24+K26+K27+K36+K39+K40+K42+K43+K45+K46+K47+K49+K50+K52+K53)</f>
        <v>#VALUE!</v>
      </c>
      <c r="K54" s="164"/>
      <c r="L54" s="104"/>
      <c r="M54" s="107"/>
      <c r="P54" s="147" t="s">
        <v>5</v>
      </c>
      <c r="Q54" s="148"/>
      <c r="R54" s="149">
        <f>G54</f>
        <v>0</v>
      </c>
      <c r="S54" s="150"/>
    </row>
    <row r="55" spans="1:19" ht="18.5" x14ac:dyDescent="0.45">
      <c r="R55" s="78"/>
      <c r="S55" s="79"/>
    </row>
    <row r="56" spans="1:19" ht="15" thickBot="1" x14ac:dyDescent="0.4"/>
    <row r="57" spans="1:19" ht="21.5" thickBot="1" x14ac:dyDescent="0.55000000000000004">
      <c r="A57" s="211" t="s">
        <v>194</v>
      </c>
      <c r="B57" s="212"/>
      <c r="C57" s="212"/>
      <c r="D57" s="212"/>
      <c r="E57" s="212"/>
      <c r="F57" s="212"/>
      <c r="G57" s="212"/>
      <c r="H57" s="212"/>
      <c r="I57" s="212" t="s">
        <v>171</v>
      </c>
      <c r="J57" s="212"/>
      <c r="K57" s="212"/>
      <c r="L57" s="212"/>
      <c r="M57" s="213"/>
      <c r="P57" s="157" t="str">
        <f>P40</f>
        <v>SABADO (LOJA 1 DESCONTÃO-ROTISSERIA)</v>
      </c>
      <c r="Q57" s="158"/>
      <c r="R57" s="132" t="s">
        <v>102</v>
      </c>
      <c r="S57" s="131">
        <f>S40</f>
        <v>46032</v>
      </c>
    </row>
    <row r="58" spans="1:19" ht="15" thickBot="1" x14ac:dyDescent="0.4">
      <c r="A58" s="151" t="s">
        <v>181</v>
      </c>
      <c r="B58" s="152"/>
      <c r="C58" s="145" t="s">
        <v>155</v>
      </c>
      <c r="D58" s="146"/>
      <c r="E58" s="146"/>
      <c r="F58" s="146"/>
      <c r="G58" s="146"/>
      <c r="H58" s="156"/>
      <c r="I58" s="146" t="s">
        <v>156</v>
      </c>
      <c r="J58" s="146"/>
      <c r="K58" s="146"/>
      <c r="L58" s="146"/>
      <c r="M58" s="153"/>
      <c r="P58" s="180" t="s">
        <v>181</v>
      </c>
      <c r="Q58" s="181"/>
      <c r="R58" s="178" t="s">
        <v>155</v>
      </c>
      <c r="S58" s="179"/>
    </row>
    <row r="59" spans="1:19" ht="15" thickBot="1" x14ac:dyDescent="0.4">
      <c r="A59" s="85" t="s">
        <v>8</v>
      </c>
      <c r="B59" s="6" t="s">
        <v>182</v>
      </c>
      <c r="C59" s="3" t="s">
        <v>2</v>
      </c>
      <c r="D59" s="3" t="s">
        <v>106</v>
      </c>
      <c r="E59" s="3" t="s">
        <v>4</v>
      </c>
      <c r="F59" s="3" t="s">
        <v>6</v>
      </c>
      <c r="G59" s="4" t="s">
        <v>3</v>
      </c>
      <c r="H59" s="3" t="s">
        <v>5</v>
      </c>
      <c r="I59" s="7" t="s">
        <v>157</v>
      </c>
      <c r="J59" s="7" t="s">
        <v>152</v>
      </c>
      <c r="K59" s="7" t="s">
        <v>153</v>
      </c>
      <c r="L59" s="3" t="s">
        <v>104</v>
      </c>
      <c r="M59" s="86" t="s">
        <v>105</v>
      </c>
      <c r="P59" s="85" t="s">
        <v>8</v>
      </c>
      <c r="Q59" s="6" t="s">
        <v>182</v>
      </c>
      <c r="R59" s="3" t="s">
        <v>2</v>
      </c>
      <c r="S59" s="3" t="s">
        <v>6</v>
      </c>
    </row>
    <row r="60" spans="1:19" ht="19" thickBot="1" x14ac:dyDescent="0.5">
      <c r="A60" s="87">
        <f>('[1]ESCALA DE PRODUÇÃO'!AA50)</f>
        <v>0</v>
      </c>
      <c r="B60" s="29" t="str">
        <f>_xlfn.XLOOKUP(A60,'[1]ESCALA DE PRODUÇÃO'!$AL$1:$AL$1048566,'[1]ESCALA DE PRODUÇÃO'!$AJ$1:$AJ$1048566,"NÃO ENCOTRADO")</f>
        <v>NÃO ENCOTRADO</v>
      </c>
      <c r="C60" s="44"/>
      <c r="D60" s="28" t="str">
        <f>_xlfn.XLOOKUP(A60,'[1]ESCALA DE PRODUÇÃO'!$AL$1:$AL$1048566,'[1]ESCALA DE PRODUÇÃO'!$AK$1:$AK$1048566,"0")</f>
        <v>0</v>
      </c>
      <c r="E60" s="32" t="str">
        <f>_xlfn.XLOOKUP(A60,'[1]ESCALA DE PRODUÇÃO'!$A$4:$A$42,'[1]ESCALA DE PRODUÇÃO'!$C$4:$C$42,"0")</f>
        <v>0</v>
      </c>
      <c r="F60" s="45" t="str">
        <f>IFERROR(C60/E60,"0")</f>
        <v>0</v>
      </c>
      <c r="G60" s="30" t="str">
        <f>_xlfn.XLOOKUP(A60,'[1]ESCALA DE PRODUÇÃO'!$AL$1:$AL$1048566,'[1]ESCALA DE PRODUÇÃO'!$AM$1:$AM$1048566,"SEM PREÇO")</f>
        <v>SEM PREÇO</v>
      </c>
      <c r="H60" s="33" t="str">
        <f>IFERROR(C60*G60,"0")</f>
        <v>0</v>
      </c>
      <c r="I60" s="50" t="str">
        <f>_xlfn.XLOOKUP(A60,'DADOS DE VENDA'!AE:AE,'DADOS DE VENDA'!AH:AH,"SEM VENDA")</f>
        <v>SEM VENDA</v>
      </c>
      <c r="J60" s="42" t="str">
        <f>IFERROR(I60/E60,"0")</f>
        <v>0</v>
      </c>
      <c r="K60" s="43" t="str">
        <f>IFERROR(I60*G60,"0")</f>
        <v>0</v>
      </c>
      <c r="L60" s="51" t="str">
        <f>_xlfn.XLOOKUP(A60,'DADOS DE VENDA'!A:A,'DADOS DE VENDA'!E:E,"RUPTURA NO PERIODO")</f>
        <v>RUPTURA NO PERIODO</v>
      </c>
      <c r="M60" s="88" t="str" cm="1">
        <f t="array" ref="M60">_xlfn.IFS(C60&lt;I60,"ABAIXO",C60&gt;I60,"ACIMA",C60=I60,"OK")</f>
        <v>ABAIXO</v>
      </c>
      <c r="P60" s="87">
        <f>(A60)</f>
        <v>0</v>
      </c>
      <c r="Q60" s="29" t="str">
        <f>_xlfn.XLOOKUP(P60,'[1]ESCALA DE PRODUÇÃO'!$AL$1:$AL$1048566,'[1]ESCALA DE PRODUÇÃO'!$AJ$1:$AJ$1048566,"NÃO ENCOTRADO")</f>
        <v>NÃO ENCOTRADO</v>
      </c>
      <c r="R60" s="44">
        <f>C60</f>
        <v>0</v>
      </c>
      <c r="S60" s="45" t="str">
        <f>(F60)</f>
        <v>0</v>
      </c>
    </row>
    <row r="61" spans="1:19" ht="19" thickBot="1" x14ac:dyDescent="0.5">
      <c r="A61" s="87" t="str">
        <f>('[1]ESCALA DE PRODUÇÃO'!AA51)</f>
        <v>COD</v>
      </c>
      <c r="B61" s="29" t="str">
        <f>_xlfn.XLOOKUP(A61,'[1]ESCALA DE PRODUÇÃO'!$AL$1:$AL$1048566,'[1]ESCALA DE PRODUÇÃO'!$AJ$1:$AJ$1048566,"NÃO ENCOTRADO")</f>
        <v>NÃO ENCOTRADO</v>
      </c>
      <c r="C61" s="44">
        <v>0</v>
      </c>
      <c r="D61" s="28" t="str">
        <f>_xlfn.XLOOKUP(A61,'[1]ESCALA DE PRODUÇÃO'!$AL$1:$AL$1048566,'[1]ESCALA DE PRODUÇÃO'!$AK$1:$AK$1048566,"0")</f>
        <v>0</v>
      </c>
      <c r="E61" s="32" t="str">
        <f>_xlfn.XLOOKUP(A61,'[1]ESCALA DE PRODUÇÃO'!$A$4:$A$42,'[1]ESCALA DE PRODUÇÃO'!$C$4:$C$42,"0")</f>
        <v>0</v>
      </c>
      <c r="F61" s="45" t="str">
        <f>IFERROR(C61/E61,"0")</f>
        <v>0</v>
      </c>
      <c r="G61" s="30" t="str">
        <f>_xlfn.XLOOKUP(A61,'[1]ESCALA DE PRODUÇÃO'!$AL$1:$AL$1048566,'[1]ESCALA DE PRODUÇÃO'!$AM$1:$AM$1048566,"SEM PREÇO")</f>
        <v>SEM PREÇO</v>
      </c>
      <c r="H61" s="33" t="str">
        <f>IFERROR(C61*G61,"0")</f>
        <v>0</v>
      </c>
      <c r="I61" s="50" t="str">
        <f>_xlfn.XLOOKUP(A61,'DADOS DE VENDA'!AE:AE,'DADOS DE VENDA'!AH:AH,"SEM VENDA")</f>
        <v>SEM VENDA</v>
      </c>
      <c r="J61" s="42" t="str">
        <f>IFERROR(I61/E61,"0")</f>
        <v>0</v>
      </c>
      <c r="K61" s="43" t="str">
        <f>IFERROR(I61*G61,"0")</f>
        <v>0</v>
      </c>
      <c r="L61" s="51" t="str">
        <f>_xlfn.XLOOKUP(A61,'DADOS DE VENDA'!A:A,'DADOS DE VENDA'!E:E,"RUPTURA NO PERIODO")</f>
        <v>RUPTURA NO PERIODO</v>
      </c>
      <c r="M61" s="88" t="str" cm="1">
        <f t="array" ref="M61">_xlfn.IFS(C61&lt;I61,"ABAIXO",C61&gt;I61,"ACIMA",C61=I61,"OK")</f>
        <v>ABAIXO</v>
      </c>
      <c r="P61" s="87" t="str">
        <f t="shared" ref="P61:P68" si="13">(A61)</f>
        <v>COD</v>
      </c>
      <c r="Q61" s="29" t="str">
        <f>_xlfn.XLOOKUP(P61,'[1]ESCALA DE PRODUÇÃO'!$AL$1:$AL$1048566,'[1]ESCALA DE PRODUÇÃO'!$AJ$1:$AJ$1048566,"NÃO ENCOTRADO")</f>
        <v>NÃO ENCOTRADO</v>
      </c>
      <c r="R61" s="44">
        <f>C61</f>
        <v>0</v>
      </c>
      <c r="S61" s="45" t="str">
        <f>(F61)</f>
        <v>0</v>
      </c>
    </row>
    <row r="62" spans="1:19" ht="19" thickBot="1" x14ac:dyDescent="0.5">
      <c r="A62" s="87">
        <f>('[1]ESCALA DE PRODUÇÃO'!AA52)</f>
        <v>0</v>
      </c>
      <c r="B62" s="29" t="str">
        <f>_xlfn.XLOOKUP(A62,'[1]ESCALA DE PRODUÇÃO'!$AL$1:$AL$1048566,'[1]ESCALA DE PRODUÇÃO'!$AJ$1:$AJ$1048566,"NÃO ENCOTRADO")</f>
        <v>NÃO ENCOTRADO</v>
      </c>
      <c r="C62" s="44">
        <v>0</v>
      </c>
      <c r="D62" s="28" t="str">
        <f>_xlfn.XLOOKUP(A62,'[1]ESCALA DE PRODUÇÃO'!$AL$1:$AL$1048566,'[1]ESCALA DE PRODUÇÃO'!$AK$1:$AK$1048566,"0")</f>
        <v>0</v>
      </c>
      <c r="E62" s="32" t="str">
        <f>_xlfn.XLOOKUP(A62,'[1]ESCALA DE PRODUÇÃO'!$A$4:$A$42,'[1]ESCALA DE PRODUÇÃO'!$C$4:$C$42,"0")</f>
        <v>0</v>
      </c>
      <c r="F62" s="45" t="str">
        <f>IFERROR(C62/E62,"0")</f>
        <v>0</v>
      </c>
      <c r="G62" s="30" t="str">
        <f>_xlfn.XLOOKUP(A62,'[1]ESCALA DE PRODUÇÃO'!$AL$1:$AL$1048566,'[1]ESCALA DE PRODUÇÃO'!$AM$1:$AM$1048566,"SEM PREÇO")</f>
        <v>SEM PREÇO</v>
      </c>
      <c r="H62" s="33" t="str">
        <f>IFERROR(C62*G62,"0")</f>
        <v>0</v>
      </c>
      <c r="I62" s="50" t="str">
        <f>_xlfn.XLOOKUP(A62,'DADOS DE VENDA'!AE:AE,'DADOS DE VENDA'!AH:AH,"SEM VENDA")</f>
        <v>SEM VENDA</v>
      </c>
      <c r="J62" s="42" t="str">
        <f>IFERROR(I62/E62,"0")</f>
        <v>0</v>
      </c>
      <c r="K62" s="43" t="str">
        <f>IFERROR(I62*G62,"0")</f>
        <v>0</v>
      </c>
      <c r="L62" s="51" t="str">
        <f>_xlfn.XLOOKUP(A62,'DADOS DE VENDA'!A:A,'DADOS DE VENDA'!E:E,"RUPTURA NO PERIODO")</f>
        <v>RUPTURA NO PERIODO</v>
      </c>
      <c r="M62" s="88" t="str" cm="1">
        <f t="array" ref="M62">_xlfn.IFS(C62&lt;I62,"ABAIXO",C62&gt;I62,"ACIMA",C62=I62,"OK")</f>
        <v>ABAIXO</v>
      </c>
      <c r="P62" s="87">
        <f t="shared" si="13"/>
        <v>0</v>
      </c>
      <c r="Q62" s="29" t="str">
        <f>_xlfn.XLOOKUP(P62,'[1]ESCALA DE PRODUÇÃO'!$AL$1:$AL$1048566,'[1]ESCALA DE PRODUÇÃO'!$AJ$1:$AJ$1048566,"NÃO ENCOTRADO")</f>
        <v>NÃO ENCOTRADO</v>
      </c>
      <c r="R62" s="44">
        <f>C62</f>
        <v>0</v>
      </c>
      <c r="S62" s="45" t="str">
        <f>(F62)</f>
        <v>0</v>
      </c>
    </row>
    <row r="63" spans="1:19" ht="19" thickBot="1" x14ac:dyDescent="0.5">
      <c r="A63" s="87">
        <f>('[1]ESCALA DE PRODUÇÃO'!AA53)</f>
        <v>0</v>
      </c>
      <c r="B63" s="29" t="str">
        <f>_xlfn.XLOOKUP(A63,'[1]ESCALA DE PRODUÇÃO'!$AL$1:$AL$1048566,'[1]ESCALA DE PRODUÇÃO'!$AJ$1:$AJ$1048566,"NÃO ENCOTRADO")</f>
        <v>NÃO ENCOTRADO</v>
      </c>
      <c r="C63" s="44">
        <v>0</v>
      </c>
      <c r="D63" s="28" t="str">
        <f>_xlfn.XLOOKUP(A63,'[1]ESCALA DE PRODUÇÃO'!$AL$1:$AL$1048566,'[1]ESCALA DE PRODUÇÃO'!$AK$1:$AK$1048566,"0")</f>
        <v>0</v>
      </c>
      <c r="E63" s="32" t="str">
        <f>_xlfn.XLOOKUP(A63,'[1]ESCALA DE PRODUÇÃO'!$A$4:$A$42,'[1]ESCALA DE PRODUÇÃO'!$C$4:$C$42,"0")</f>
        <v>0</v>
      </c>
      <c r="F63" s="45" t="str">
        <f>IFERROR(C63/E63,"0")</f>
        <v>0</v>
      </c>
      <c r="G63" s="30" t="str">
        <f>_xlfn.XLOOKUP(A63,'[1]ESCALA DE PRODUÇÃO'!$AL$1:$AL$1048566,'[1]ESCALA DE PRODUÇÃO'!$AM$1:$AM$1048566,"SEM PREÇO")</f>
        <v>SEM PREÇO</v>
      </c>
      <c r="H63" s="33" t="str">
        <f>IFERROR(C63*G63,"0")</f>
        <v>0</v>
      </c>
      <c r="I63" s="50" t="str">
        <f>_xlfn.XLOOKUP(A63,'DADOS DE VENDA'!AE:AE,'DADOS DE VENDA'!AH:AH,"SEM VENDA")</f>
        <v>SEM VENDA</v>
      </c>
      <c r="J63" s="42" t="str">
        <f>IFERROR(I63/E63,"0")</f>
        <v>0</v>
      </c>
      <c r="K63" s="43" t="str">
        <f>IFERROR(I63*G63,"0")</f>
        <v>0</v>
      </c>
      <c r="L63" s="51" t="str">
        <f>_xlfn.XLOOKUP(A63,'DADOS DE VENDA'!A:A,'DADOS DE VENDA'!E:E,"RUPTURA NO PERIODO")</f>
        <v>RUPTURA NO PERIODO</v>
      </c>
      <c r="M63" s="88" t="str" cm="1">
        <f t="array" ref="M63">_xlfn.IFS(C63&lt;I63,"ABAIXO",C63&gt;I63,"ACIMA",C63=I63,"OK")</f>
        <v>ABAIXO</v>
      </c>
      <c r="P63" s="87">
        <f t="shared" si="13"/>
        <v>0</v>
      </c>
      <c r="Q63" s="29" t="str">
        <f>_xlfn.XLOOKUP(P63,'[1]ESCALA DE PRODUÇÃO'!$AL$1:$AL$1048566,'[1]ESCALA DE PRODUÇÃO'!$AJ$1:$AJ$1048566,"NÃO ENCOTRADO")</f>
        <v>NÃO ENCOTRADO</v>
      </c>
      <c r="R63" s="44">
        <f>C63</f>
        <v>0</v>
      </c>
      <c r="S63" s="45" t="str">
        <f>(F63)</f>
        <v>0</v>
      </c>
    </row>
    <row r="64" spans="1:19" ht="15" thickBot="1" x14ac:dyDescent="0.4">
      <c r="A64" s="85" t="s">
        <v>8</v>
      </c>
      <c r="B64" s="6" t="s">
        <v>182</v>
      </c>
      <c r="C64" s="3" t="s">
        <v>2</v>
      </c>
      <c r="D64" s="3" t="s">
        <v>106</v>
      </c>
      <c r="E64" s="3" t="s">
        <v>4</v>
      </c>
      <c r="F64" s="3" t="s">
        <v>6</v>
      </c>
      <c r="G64" s="4" t="s">
        <v>3</v>
      </c>
      <c r="H64" s="3" t="s">
        <v>5</v>
      </c>
      <c r="I64" s="7" t="s">
        <v>157</v>
      </c>
      <c r="J64" s="7" t="s">
        <v>152</v>
      </c>
      <c r="K64" s="7" t="s">
        <v>153</v>
      </c>
      <c r="L64" s="3" t="s">
        <v>104</v>
      </c>
      <c r="M64" s="86" t="s">
        <v>105</v>
      </c>
      <c r="P64" s="85" t="s">
        <v>8</v>
      </c>
      <c r="Q64" s="6" t="s">
        <v>182</v>
      </c>
      <c r="R64" s="3" t="s">
        <v>2</v>
      </c>
      <c r="S64" s="3" t="s">
        <v>6</v>
      </c>
    </row>
    <row r="65" spans="1:19" ht="19" thickBot="1" x14ac:dyDescent="0.5">
      <c r="A65" s="87">
        <f>('[1]ESCALA DE PRODUÇÃO'!AA54)</f>
        <v>0</v>
      </c>
      <c r="B65" s="29" t="str">
        <f>_xlfn.XLOOKUP(A65,'[1]ESCALA DE PRODUÇÃO'!$AL$1:$AL$1048566,'[1]ESCALA DE PRODUÇÃO'!$AJ$1:$AJ$1048566,"NÃO ENCOTRADO")</f>
        <v>NÃO ENCOTRADO</v>
      </c>
      <c r="C65" s="44">
        <v>0</v>
      </c>
      <c r="D65" s="28" t="str">
        <f>_xlfn.XLOOKUP(A65,'[1]ESCALA DE PRODUÇÃO'!$AL$1:$AL$1048566,'[1]ESCALA DE PRODUÇÃO'!$AK$1:$AK$1048566,"0")</f>
        <v>0</v>
      </c>
      <c r="E65" s="32" t="str">
        <f>_xlfn.XLOOKUP(A65,'[1]ESCALA DE PRODUÇÃO'!$A$4:$A$42,'[1]ESCALA DE PRODUÇÃO'!$C$4:$C$42,"0")</f>
        <v>0</v>
      </c>
      <c r="F65" s="45" t="str">
        <f>IFERROR(C65/E65,"0")</f>
        <v>0</v>
      </c>
      <c r="G65" s="30" t="str">
        <f>_xlfn.XLOOKUP(A65,'[1]ESCALA DE PRODUÇÃO'!$AL$1:$AL$1048566,'[1]ESCALA DE PRODUÇÃO'!$AM$1:$AM$1048566,"SEM PREÇO")</f>
        <v>SEM PREÇO</v>
      </c>
      <c r="H65" s="33" t="str">
        <f>IFERROR(C65*G65,"0")</f>
        <v>0</v>
      </c>
      <c r="I65" s="50" t="str">
        <f>_xlfn.XLOOKUP(A65,'DADOS DE VENDA'!AE:AE,'DADOS DE VENDA'!AH:AH,"SEM VENDA")</f>
        <v>SEM VENDA</v>
      </c>
      <c r="J65" s="42" t="str">
        <f>IFERROR(I65/E65,"0")</f>
        <v>0</v>
      </c>
      <c r="K65" s="43" t="str">
        <f>IFERROR(I65*G65,"0")</f>
        <v>0</v>
      </c>
      <c r="L65" s="51" t="str">
        <f>_xlfn.XLOOKUP(A65,'DADOS DE VENDA'!A:A,'DADOS DE VENDA'!E:E,"RUPTURA NO PERIODO")</f>
        <v>RUPTURA NO PERIODO</v>
      </c>
      <c r="M65" s="88" t="str" cm="1">
        <f t="array" ref="M65">_xlfn.IFS(C65&lt;I65,"ABAIXO",C65&gt;I65,"ACIMA",C65=I65,"OK")</f>
        <v>ABAIXO</v>
      </c>
      <c r="P65" s="87">
        <f t="shared" si="13"/>
        <v>0</v>
      </c>
      <c r="Q65" s="29" t="str">
        <f>_xlfn.XLOOKUP(P65,'[1]ESCALA DE PRODUÇÃO'!$AL$1:$AL$1048566,'[1]ESCALA DE PRODUÇÃO'!$AJ$1:$AJ$1048566,"NÃO ENCOTRADO")</f>
        <v>NÃO ENCOTRADO</v>
      </c>
      <c r="R65" s="44">
        <f>C65</f>
        <v>0</v>
      </c>
      <c r="S65" s="45" t="str">
        <f>F65</f>
        <v>0</v>
      </c>
    </row>
    <row r="66" spans="1:19" ht="19" thickBot="1" x14ac:dyDescent="0.5">
      <c r="A66" s="87">
        <f>('[1]ESCALA DE PRODUÇÃO'!AA55)</f>
        <v>0</v>
      </c>
      <c r="B66" s="29" t="str">
        <f>_xlfn.XLOOKUP(A66,'[1]ESCALA DE PRODUÇÃO'!$AL$1:$AL$1048566,'[1]ESCALA DE PRODUÇÃO'!$AJ$1:$AJ$1048566,"NÃO ENCOTRADO")</f>
        <v>NÃO ENCOTRADO</v>
      </c>
      <c r="C66" s="44">
        <v>0</v>
      </c>
      <c r="D66" s="28" t="str">
        <f>_xlfn.XLOOKUP(A66,'[1]ESCALA DE PRODUÇÃO'!$AL$1:$AL$1048566,'[1]ESCALA DE PRODUÇÃO'!$AK$1:$AK$1048566,"0")</f>
        <v>0</v>
      </c>
      <c r="E66" s="32" t="str">
        <f>_xlfn.XLOOKUP(A66,'[1]ESCALA DE PRODUÇÃO'!$A$4:$A$42,'[1]ESCALA DE PRODUÇÃO'!$C$4:$C$42,"0")</f>
        <v>0</v>
      </c>
      <c r="F66" s="45" t="str">
        <f>IFERROR(C66/E66,"0")</f>
        <v>0</v>
      </c>
      <c r="G66" s="30" t="str">
        <f>_xlfn.XLOOKUP(A66,'[1]ESCALA DE PRODUÇÃO'!$AL$1:$AL$1048566,'[1]ESCALA DE PRODUÇÃO'!$AM$1:$AM$1048566,"SEM PREÇO")</f>
        <v>SEM PREÇO</v>
      </c>
      <c r="H66" s="33" t="str">
        <f>IFERROR(C66*G66,"0")</f>
        <v>0</v>
      </c>
      <c r="I66" s="50" t="str">
        <f>_xlfn.XLOOKUP(A66,'DADOS DE VENDA'!AE:AE,'DADOS DE VENDA'!AH:AH,"SEM VENDA")</f>
        <v>SEM VENDA</v>
      </c>
      <c r="J66" s="42" t="str">
        <f>IFERROR(I66/E66,"0")</f>
        <v>0</v>
      </c>
      <c r="K66" s="43" t="str">
        <f>IFERROR(I66*G66,"0")</f>
        <v>0</v>
      </c>
      <c r="L66" s="51" t="str">
        <f>_xlfn.XLOOKUP(A66,'DADOS DE VENDA'!A:A,'DADOS DE VENDA'!E:E,"RUPTURA NO PERIODO")</f>
        <v>RUPTURA NO PERIODO</v>
      </c>
      <c r="M66" s="88" t="str" cm="1">
        <f t="array" ref="M66">_xlfn.IFS(C66&lt;I66,"ABAIXO",C66&gt;I66,"ACIMA",C66=I66,"OK")</f>
        <v>ABAIXO</v>
      </c>
      <c r="P66" s="87">
        <f t="shared" si="13"/>
        <v>0</v>
      </c>
      <c r="Q66" s="29" t="str">
        <f>_xlfn.XLOOKUP(P66,'[1]ESCALA DE PRODUÇÃO'!$AL$1:$AL$1048566,'[1]ESCALA DE PRODUÇÃO'!$AJ$1:$AJ$1048566,"NÃO ENCOTRADO")</f>
        <v>NÃO ENCOTRADO</v>
      </c>
      <c r="R66" s="44">
        <f>C66</f>
        <v>0</v>
      </c>
      <c r="S66" s="45" t="str">
        <f>F66</f>
        <v>0</v>
      </c>
    </row>
    <row r="67" spans="1:19" ht="19" thickBot="1" x14ac:dyDescent="0.5">
      <c r="A67" s="87">
        <f>('[1]ESCALA DE PRODUÇÃO'!AA56)</f>
        <v>0</v>
      </c>
      <c r="B67" s="29" t="str">
        <f>_xlfn.XLOOKUP(A67,'[1]ESCALA DE PRODUÇÃO'!$AL$1:$AL$1048566,'[1]ESCALA DE PRODUÇÃO'!$AJ$1:$AJ$1048566,"NÃO ENCOTRADO")</f>
        <v>NÃO ENCOTRADO</v>
      </c>
      <c r="C67" s="44">
        <v>0</v>
      </c>
      <c r="D67" s="28" t="str">
        <f>_xlfn.XLOOKUP(A67,'[1]ESCALA DE PRODUÇÃO'!$AL$1:$AL$1048566,'[1]ESCALA DE PRODUÇÃO'!$AK$1:$AK$1048566,"0")</f>
        <v>0</v>
      </c>
      <c r="E67" s="32" t="str">
        <f>_xlfn.XLOOKUP(A67,'[1]ESCALA DE PRODUÇÃO'!$A$4:$A$42,'[1]ESCALA DE PRODUÇÃO'!$C$4:$C$42,"0")</f>
        <v>0</v>
      </c>
      <c r="F67" s="45" t="str">
        <f>IFERROR(C67/E67,"0")</f>
        <v>0</v>
      </c>
      <c r="G67" s="30" t="str">
        <f>_xlfn.XLOOKUP(A67,'[1]ESCALA DE PRODUÇÃO'!$AL$1:$AL$1048566,'[1]ESCALA DE PRODUÇÃO'!$AM$1:$AM$1048566,"SEM PREÇO")</f>
        <v>SEM PREÇO</v>
      </c>
      <c r="H67" s="33" t="str">
        <f>IFERROR(C67*G67,"0")</f>
        <v>0</v>
      </c>
      <c r="I67" s="50" t="str">
        <f>_xlfn.XLOOKUP(A67,'DADOS DE VENDA'!AE:AE,'DADOS DE VENDA'!AH:AH,"SEM VENDA")</f>
        <v>SEM VENDA</v>
      </c>
      <c r="J67" s="42" t="str">
        <f>IFERROR(I67/E67,"0")</f>
        <v>0</v>
      </c>
      <c r="K67" s="43" t="str">
        <f>IFERROR(I67*G67,"0")</f>
        <v>0</v>
      </c>
      <c r="L67" s="51" t="str">
        <f>_xlfn.XLOOKUP(A67,'DADOS DE VENDA'!A:A,'DADOS DE VENDA'!E:E,"RUPTURA NO PERIODO")</f>
        <v>RUPTURA NO PERIODO</v>
      </c>
      <c r="M67" s="88" t="str" cm="1">
        <f t="array" ref="M67">_xlfn.IFS(C67&lt;I67,"ABAIXO",C67&gt;I67,"ACIMA",C67=I67,"OK")</f>
        <v>ABAIXO</v>
      </c>
      <c r="P67" s="87">
        <f t="shared" si="13"/>
        <v>0</v>
      </c>
      <c r="Q67" s="29" t="str">
        <f>_xlfn.XLOOKUP(P67,'[1]ESCALA DE PRODUÇÃO'!$AL$1:$AL$1048566,'[1]ESCALA DE PRODUÇÃO'!$AJ$1:$AJ$1048566,"NÃO ENCOTRADO")</f>
        <v>NÃO ENCOTRADO</v>
      </c>
      <c r="R67" s="44">
        <f>C67</f>
        <v>0</v>
      </c>
      <c r="S67" s="45" t="str">
        <f>F67</f>
        <v>0</v>
      </c>
    </row>
    <row r="68" spans="1:19" ht="19" thickBot="1" x14ac:dyDescent="0.5">
      <c r="A68" s="87">
        <f>('[1]ESCALA DE PRODUÇÃO'!AA57)</f>
        <v>0</v>
      </c>
      <c r="B68" s="29" t="str">
        <f>_xlfn.XLOOKUP(A68,'[1]ESCALA DE PRODUÇÃO'!$AL$1:$AL$1048566,'[1]ESCALA DE PRODUÇÃO'!$AJ$1:$AJ$1048566,"NÃO ENCOTRADO")</f>
        <v>NÃO ENCOTRADO</v>
      </c>
      <c r="C68" s="44">
        <v>8</v>
      </c>
      <c r="D68" s="28" t="str">
        <f>_xlfn.XLOOKUP(A68,'[1]ESCALA DE PRODUÇÃO'!$AL$1:$AL$1048566,'[1]ESCALA DE PRODUÇÃO'!$AK$1:$AK$1048566,"0")</f>
        <v>0</v>
      </c>
      <c r="E68" s="32" t="str">
        <f>_xlfn.XLOOKUP(A68,'[1]ESCALA DE PRODUÇÃO'!$A$4:$A$42,'[1]ESCALA DE PRODUÇÃO'!$C$4:$C$42,"0")</f>
        <v>0</v>
      </c>
      <c r="F68" s="45" t="str">
        <f>IFERROR(C68/E68,"0")</f>
        <v>0</v>
      </c>
      <c r="G68" s="30" t="str">
        <f>_xlfn.XLOOKUP(A68,'[1]ESCALA DE PRODUÇÃO'!$AL$1:$AL$1048566,'[1]ESCALA DE PRODUÇÃO'!$AM$1:$AM$1048566,"SEM PREÇO")</f>
        <v>SEM PREÇO</v>
      </c>
      <c r="H68" s="33" t="str">
        <f>IFERROR(C68*G68,"0")</f>
        <v>0</v>
      </c>
      <c r="I68" s="50" t="str">
        <f>_xlfn.XLOOKUP(A68,'DADOS DE VENDA'!AE:AE,'DADOS DE VENDA'!AH:AH,"SEM VENDA")</f>
        <v>SEM VENDA</v>
      </c>
      <c r="J68" s="42" t="str">
        <f>IFERROR(I68/E68,"0")</f>
        <v>0</v>
      </c>
      <c r="K68" s="43" t="str">
        <f>IFERROR(I68*G68,"0")</f>
        <v>0</v>
      </c>
      <c r="L68" s="51" t="str">
        <f>_xlfn.XLOOKUP(A68,'DADOS DE VENDA'!A:A,'DADOS DE VENDA'!E:E,"RUPTURA NO PERIODO")</f>
        <v>RUPTURA NO PERIODO</v>
      </c>
      <c r="M68" s="88" t="str" cm="1">
        <f t="array" ref="M68">_xlfn.IFS(C68&lt;I68,"ABAIXO",C68&gt;I68,"ACIMA",C68=I68,"OK")</f>
        <v>ABAIXO</v>
      </c>
      <c r="P68" s="87">
        <f t="shared" si="13"/>
        <v>0</v>
      </c>
      <c r="Q68" s="29" t="str">
        <f>_xlfn.XLOOKUP(P68,'[1]ESCALA DE PRODUÇÃO'!$AL$1:$AL$1048566,'[1]ESCALA DE PRODUÇÃO'!$AJ$1:$AJ$1048566,"NÃO ENCOTRADO")</f>
        <v>NÃO ENCOTRADO</v>
      </c>
      <c r="R68" s="44">
        <f>C68</f>
        <v>8</v>
      </c>
      <c r="S68" s="45" t="str">
        <f>F68</f>
        <v>0</v>
      </c>
    </row>
    <row r="69" spans="1:19" ht="19" thickBot="1" x14ac:dyDescent="0.5">
      <c r="A69" s="87"/>
      <c r="B69" s="103" t="s">
        <v>176</v>
      </c>
      <c r="C69" s="103" t="s">
        <v>173</v>
      </c>
      <c r="D69" s="159"/>
      <c r="E69" s="160"/>
      <c r="F69" s="105" t="s">
        <v>174</v>
      </c>
      <c r="G69" s="161">
        <f>SUM(H60,H61,H62,H63,H65,H66,H67,H68)</f>
        <v>0</v>
      </c>
      <c r="H69" s="162"/>
      <c r="I69" s="105" t="s">
        <v>175</v>
      </c>
      <c r="J69" s="163" t="e">
        <f>SUM(K46+K47+K48+K50+K51+K52+K54+K55+K57+K58+K60+K61+K62+K64+K65+K67+K68)</f>
        <v>#VALUE!</v>
      </c>
      <c r="K69" s="164"/>
      <c r="L69" s="104"/>
      <c r="M69" s="107"/>
      <c r="P69" s="147" t="s">
        <v>5</v>
      </c>
      <c r="Q69" s="148"/>
      <c r="R69" s="149">
        <f>(G69)</f>
        <v>0</v>
      </c>
      <c r="S69" s="150"/>
    </row>
    <row r="71" spans="1:19" ht="15" thickBot="1" x14ac:dyDescent="0.4"/>
    <row r="72" spans="1:19" x14ac:dyDescent="0.35">
      <c r="P72" s="166" t="s">
        <v>225</v>
      </c>
      <c r="Q72" s="167"/>
      <c r="R72" s="172">
        <f>SUM(R36,R54,R69)</f>
        <v>2571.4500000000003</v>
      </c>
      <c r="S72" s="173"/>
    </row>
    <row r="73" spans="1:19" x14ac:dyDescent="0.35">
      <c r="P73" s="168"/>
      <c r="Q73" s="169"/>
      <c r="R73" s="174"/>
      <c r="S73" s="175"/>
    </row>
    <row r="74" spans="1:19" ht="15" thickBot="1" x14ac:dyDescent="0.4">
      <c r="P74" s="170"/>
      <c r="Q74" s="171"/>
      <c r="R74" s="176"/>
      <c r="S74" s="177"/>
    </row>
  </sheetData>
  <mergeCells count="40">
    <mergeCell ref="G69:H69"/>
    <mergeCell ref="J69:K69"/>
    <mergeCell ref="A58:B58"/>
    <mergeCell ref="D36:E36"/>
    <mergeCell ref="G36:H36"/>
    <mergeCell ref="J36:K36"/>
    <mergeCell ref="P72:Q74"/>
    <mergeCell ref="R72:S74"/>
    <mergeCell ref="A40:H40"/>
    <mergeCell ref="I40:M40"/>
    <mergeCell ref="A41:B41"/>
    <mergeCell ref="C41:H41"/>
    <mergeCell ref="I41:M41"/>
    <mergeCell ref="D54:E54"/>
    <mergeCell ref="G54:H54"/>
    <mergeCell ref="J54:K54"/>
    <mergeCell ref="A57:H57"/>
    <mergeCell ref="I57:M57"/>
    <mergeCell ref="D69:E69"/>
    <mergeCell ref="C58:H58"/>
    <mergeCell ref="I58:M58"/>
    <mergeCell ref="P40:Q40"/>
    <mergeCell ref="P41:Q41"/>
    <mergeCell ref="R41:S41"/>
    <mergeCell ref="P54:Q54"/>
    <mergeCell ref="R54:S54"/>
    <mergeCell ref="A1:M1"/>
    <mergeCell ref="A2:B2"/>
    <mergeCell ref="C2:H2"/>
    <mergeCell ref="I2:M2"/>
    <mergeCell ref="P1:Q1"/>
    <mergeCell ref="P2:Q2"/>
    <mergeCell ref="R2:S2"/>
    <mergeCell ref="P36:Q36"/>
    <mergeCell ref="R36:S36"/>
    <mergeCell ref="P69:Q69"/>
    <mergeCell ref="R69:S69"/>
    <mergeCell ref="P57:Q57"/>
    <mergeCell ref="P58:Q58"/>
    <mergeCell ref="R58:S58"/>
  </mergeCells>
  <conditionalFormatting sqref="I4:I6 I8:I10 I12:I13 I15:I16 I18:I20 I22:I24 I26:I27 I29:I35">
    <cfRule type="containsText" dxfId="11" priority="9" operator="containsText" text="SEM VENDA">
      <formula>NOT(ISERROR(SEARCH("SEM VENDA",I4)))</formula>
    </cfRule>
  </conditionalFormatting>
  <conditionalFormatting sqref="I38:I39">
    <cfRule type="containsText" dxfId="10" priority="12" operator="containsText" text="SEM VENDAS">
      <formula>NOT(ISERROR(SEARCH("SEM VENDAS",I38)))</formula>
    </cfRule>
  </conditionalFormatting>
  <conditionalFormatting sqref="I43:I45 I47:I49 I51:I53">
    <cfRule type="containsText" dxfId="9" priority="7" operator="containsText" text="SEM VENDA">
      <formula>NOT(ISERROR(SEARCH("SEM VENDA",I43)))</formula>
    </cfRule>
  </conditionalFormatting>
  <conditionalFormatting sqref="I60:I63 I65:I68">
    <cfRule type="containsText" dxfId="8" priority="2" operator="containsText" text="SEM VENDA">
      <formula>NOT(ISERROR(SEARCH("SEM VENDA",I60)))</formula>
    </cfRule>
  </conditionalFormatting>
  <conditionalFormatting sqref="L4:L6 L8:L10 L12:L13 L15:L16 L18:L20 L22:L24 L26:L27 L29:L39">
    <cfRule type="containsText" dxfId="7" priority="10" operator="containsText" text="RUPTURA NO PERIODO">
      <formula>NOT(ISERROR(SEARCH("RUPTURA NO PERIODO",L4)))</formula>
    </cfRule>
  </conditionalFormatting>
  <conditionalFormatting sqref="L43:L45 L47:L49 L51:L54">
    <cfRule type="containsText" dxfId="6" priority="8" operator="containsText" text="RUPTURA NO PERIODO">
      <formula>NOT(ISERROR(SEARCH("RUPTURA NO PERIODO",L43)))</formula>
    </cfRule>
  </conditionalFormatting>
  <conditionalFormatting sqref="L60:L63">
    <cfRule type="containsText" dxfId="5" priority="3" operator="containsText" text="RUPTURA NO PERIODO">
      <formula>NOT(ISERROR(SEARCH("RUPTURA NO PERIODO",L60)))</formula>
    </cfRule>
  </conditionalFormatting>
  <conditionalFormatting sqref="L65:L69">
    <cfRule type="containsText" dxfId="4" priority="1" operator="containsText" text="RUPTURA NO PERIODO">
      <formula>NOT(ISERROR(SEARCH("RUPTURA NO PERIODO",L65)))</formula>
    </cfRule>
  </conditionalFormatting>
  <pageMargins left="0.25" right="0.25" top="0.75" bottom="0.75" header="0.3" footer="0.3"/>
  <pageSetup scale="31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4C7E-A919-4C0F-8F27-1E07C46FB3D5}">
  <sheetPr>
    <tabColor rgb="FFFF5050"/>
    <pageSetUpPr fitToPage="1"/>
  </sheetPr>
  <dimension ref="A1:S29"/>
  <sheetViews>
    <sheetView zoomScale="43" workbookViewId="0">
      <selection activeCell="Y48" sqref="Y48"/>
    </sheetView>
  </sheetViews>
  <sheetFormatPr defaultRowHeight="14.5" x14ac:dyDescent="0.35"/>
  <cols>
    <col min="2" max="2" width="54.7265625" bestFit="1" customWidth="1"/>
    <col min="3" max="3" width="8.453125" customWidth="1"/>
    <col min="4" max="4" width="6.36328125" customWidth="1"/>
    <col min="5" max="5" width="9.7265625" bestFit="1" customWidth="1"/>
    <col min="6" max="6" width="7.81640625" bestFit="1" customWidth="1"/>
    <col min="7" max="7" width="15.54296875" style="2" bestFit="1" customWidth="1"/>
    <col min="8" max="8" width="13.6328125" bestFit="1" customWidth="1"/>
    <col min="9" max="9" width="10.90625" bestFit="1" customWidth="1"/>
    <col min="10" max="11" width="10.90625" customWidth="1"/>
    <col min="12" max="12" width="17.36328125" bestFit="1" customWidth="1"/>
    <col min="17" max="17" width="83.1796875" bestFit="1" customWidth="1"/>
    <col min="18" max="18" width="8.36328125" bestFit="1" customWidth="1"/>
    <col min="19" max="19" width="14.453125" bestFit="1" customWidth="1"/>
  </cols>
  <sheetData>
    <row r="1" spans="1:19" ht="21.5" thickBot="1" x14ac:dyDescent="0.55000000000000004">
      <c r="A1" s="214" t="s">
        <v>163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P1" s="157" t="s">
        <v>172</v>
      </c>
      <c r="Q1" s="158"/>
      <c r="R1" s="132" t="s">
        <v>102</v>
      </c>
      <c r="S1" s="131">
        <v>40400</v>
      </c>
    </row>
    <row r="2" spans="1:19" ht="15" thickBot="1" x14ac:dyDescent="0.4">
      <c r="A2" s="186" t="s">
        <v>154</v>
      </c>
      <c r="B2" s="152"/>
      <c r="C2" s="145" t="s">
        <v>155</v>
      </c>
      <c r="D2" s="146"/>
      <c r="E2" s="146"/>
      <c r="F2" s="146"/>
      <c r="G2" s="146"/>
      <c r="H2" s="156"/>
      <c r="I2" s="146" t="s">
        <v>156</v>
      </c>
      <c r="J2" s="146"/>
      <c r="K2" s="146"/>
      <c r="L2" s="146"/>
      <c r="M2" s="146"/>
      <c r="P2" s="151" t="s">
        <v>192</v>
      </c>
      <c r="Q2" s="152"/>
      <c r="R2" s="145" t="s">
        <v>155</v>
      </c>
      <c r="S2" s="146"/>
    </row>
    <row r="3" spans="1:19" ht="15" thickBot="1" x14ac:dyDescent="0.4">
      <c r="A3" s="5" t="s">
        <v>8</v>
      </c>
      <c r="B3" s="6" t="s">
        <v>164</v>
      </c>
      <c r="C3" s="3" t="s">
        <v>2</v>
      </c>
      <c r="D3" s="3" t="s">
        <v>106</v>
      </c>
      <c r="E3" s="3" t="s">
        <v>4</v>
      </c>
      <c r="F3" s="3" t="s">
        <v>6</v>
      </c>
      <c r="G3" s="4" t="s">
        <v>3</v>
      </c>
      <c r="H3" s="3" t="s">
        <v>5</v>
      </c>
      <c r="I3" s="7" t="s">
        <v>157</v>
      </c>
      <c r="J3" s="7" t="s">
        <v>152</v>
      </c>
      <c r="K3" s="7" t="s">
        <v>153</v>
      </c>
      <c r="L3" s="3" t="s">
        <v>104</v>
      </c>
      <c r="M3" s="86" t="s">
        <v>105</v>
      </c>
      <c r="P3" s="85" t="s">
        <v>8</v>
      </c>
      <c r="Q3" s="6" t="s">
        <v>164</v>
      </c>
      <c r="R3" s="3" t="s">
        <v>2</v>
      </c>
      <c r="S3" s="3" t="s">
        <v>6</v>
      </c>
    </row>
    <row r="4" spans="1:19" ht="19" thickBot="1" x14ac:dyDescent="0.5">
      <c r="A4" s="28">
        <f>('[1]ESCALA DE PRODUÇÃO'!AF4)</f>
        <v>8480</v>
      </c>
      <c r="B4" s="29" t="str">
        <f>_xlfn.XLOOKUP(A4,'[1]ESCALA DE PRODUÇÃO'!$AL$1:$AL$1048566,'[1]ESCALA DE PRODUÇÃO'!$AJ$1:$AJ$1048566,"NÃO ENCOTRADO")</f>
        <v>008480 - ROTISSERIA MACARRONADA A BOLONHESA BENDITO KG</v>
      </c>
      <c r="C4" s="44">
        <v>0</v>
      </c>
      <c r="D4" s="28" t="str">
        <f>_xlfn.XLOOKUP(A4,'[1]ESCALA DE PRODUÇÃO'!$AL$1:$AL$1048566,'[1]ESCALA DE PRODUÇÃO'!$AK$1:$AK$1048566,"0")</f>
        <v>KG/0001</v>
      </c>
      <c r="E4" s="32" t="str">
        <f>_xlfn.XLOOKUP(A4,'[1]ESCALA DE PRODUÇÃO'!$A$4:$A$42,'[1]ESCALA DE PRODUÇÃO'!$C$4:$C$42,"0")</f>
        <v>0</v>
      </c>
      <c r="F4" s="45" t="str">
        <f>IFERROR(C4/E4,"0")</f>
        <v>0</v>
      </c>
      <c r="G4" s="30">
        <f>_xlfn.XLOOKUP(A4,'[1]ESCALA DE PRODUÇÃO'!$AL$1:$AL$1048566,'[1]ESCALA DE PRODUÇÃO'!$AM$1:$AM$1048566,"SEM PREÇO")</f>
        <v>39.9</v>
      </c>
      <c r="H4" s="31">
        <f>IFERROR(C4*G4,"0")</f>
        <v>0</v>
      </c>
      <c r="I4" s="46" t="str">
        <f>_xlfn.XLOOKUP(A4,'DADOS DE VENDA'!A:A,'DADOS DE VENDA'!D:D,"SEM VENDA")</f>
        <v>SEM VENDA</v>
      </c>
      <c r="J4" s="47" t="str">
        <f>IFERROR(I4/E4,"0")</f>
        <v>0</v>
      </c>
      <c r="K4" s="48" t="str">
        <f>IFERROR(I4*G4,"0")</f>
        <v>0</v>
      </c>
      <c r="L4" s="49" t="str">
        <f>_xlfn.XLOOKUP(A4,'DADOS DE VENDA'!A:A,'DADOS DE VENDA'!E:E,"RUPTURA NO PERIODO")</f>
        <v>RUPTURA NO PERIODO</v>
      </c>
      <c r="M4" s="88" t="str" cm="1">
        <f t="array" ref="M4">_xlfn.IFS(C4&lt;I4,"ABAIXO",C4&gt;I4,"ACIMA",C4=I4,"OK")</f>
        <v>ABAIXO</v>
      </c>
      <c r="P4" s="87">
        <f>('[1]ESCALA DE PRODUÇÃO'!Q3)</f>
        <v>7625</v>
      </c>
      <c r="Q4" s="29" t="str">
        <f>_xlfn.XLOOKUP(P4,'[1]ESCALA DE PRODUÇÃO'!$AL$1:$AL$1048566,'[1]ESCALA DE PRODUÇÃO'!$AJ$1:$AJ$1048566,"NÃO ENCOTRADO")</f>
        <v>007625 - REFEICAO CARNE PANELA BENDITO UN</v>
      </c>
      <c r="R4" s="44">
        <f>C4</f>
        <v>0</v>
      </c>
      <c r="S4" s="45" t="str">
        <f>(F4)</f>
        <v>0</v>
      </c>
    </row>
    <row r="5" spans="1:19" ht="19" thickBot="1" x14ac:dyDescent="0.5">
      <c r="A5" s="28">
        <f>('[1]ESCALA DE PRODUÇÃO'!AF5)</f>
        <v>8321</v>
      </c>
      <c r="B5" s="29" t="str">
        <f>_xlfn.XLOOKUP(A5,'[1]ESCALA DE PRODUÇÃO'!$AL$1:$AL$1048566,'[1]ESCALA DE PRODUÇÃO'!$AJ$1:$AJ$1048566,"NÃO ENCOTRADO")</f>
        <v>008321 - ROT.ESPAGUETE A BOLONHESA + POLPETONE RECHEADO BENDITO</v>
      </c>
      <c r="C5" s="44">
        <v>0</v>
      </c>
      <c r="D5" s="28" t="str">
        <f>_xlfn.XLOOKUP(A5,'[1]ESCALA DE PRODUÇÃO'!$AL$1:$AL$1048566,'[1]ESCALA DE PRODUÇÃO'!$AK$1:$AK$1048566,"0")</f>
        <v>UN/0001</v>
      </c>
      <c r="E5" s="32" t="str">
        <f>_xlfn.XLOOKUP(A5,'[1]ESCALA DE PRODUÇÃO'!$A$4:$A$42,'[1]ESCALA DE PRODUÇÃO'!$C$4:$C$42,"0")</f>
        <v>0</v>
      </c>
      <c r="F5" s="45" t="str">
        <f>IFERROR(C5/E5,"0")</f>
        <v>0</v>
      </c>
      <c r="G5" s="30">
        <f>_xlfn.XLOOKUP(A5,'[1]ESCALA DE PRODUÇÃO'!$AL$1:$AL$1048566,'[1]ESCALA DE PRODUÇÃO'!$AM$1:$AM$1048566,"SEM PREÇO")</f>
        <v>25.9</v>
      </c>
      <c r="H5" s="33">
        <f>IFERROR(C5*G5,"0")</f>
        <v>0</v>
      </c>
      <c r="I5" s="50" t="str">
        <f>_xlfn.XLOOKUP(A5,'DADOS DE VENDA'!A:A,'DADOS DE VENDA'!D:D,"SEM VENDA")</f>
        <v>SEM VENDA</v>
      </c>
      <c r="J5" s="42" t="str">
        <f>IFERROR(I5/E5,"0")</f>
        <v>0</v>
      </c>
      <c r="K5" s="43" t="str">
        <f>IFERROR(I5*G5,"0")</f>
        <v>0</v>
      </c>
      <c r="L5" s="51" t="str">
        <f>_xlfn.XLOOKUP(A5,'DADOS DE VENDA'!A:A,'DADOS DE VENDA'!E:E,"RUPTURA NO PERIODO")</f>
        <v>RUPTURA NO PERIODO</v>
      </c>
      <c r="M5" s="88" t="str" cm="1">
        <f t="array" ref="M5">_xlfn.IFS(C5&lt;I5,"ABAIXO",C5&gt;I5,"ACIMA",C5=I5,"OK")</f>
        <v>ABAIXO</v>
      </c>
      <c r="P5" s="87">
        <f>('[1]ESCALA DE PRODUÇÃO'!Q4)</f>
        <v>8491</v>
      </c>
      <c r="Q5" s="29" t="str">
        <f>_xlfn.XLOOKUP(P5,'[1]ESCALA DE PRODUÇÃO'!$AL$1:$AL$1048566,'[1]ESCALA DE PRODUÇÃO'!$AJ$1:$AJ$1048566,"NÃO ENCOTRADO")</f>
        <v>008491 - ROTISSERIA MEDALHAO FRANGO BENDITO KG</v>
      </c>
      <c r="R5" s="44">
        <f t="shared" ref="R5:R27" si="0">C5</f>
        <v>0</v>
      </c>
      <c r="S5" s="45" t="str">
        <f t="shared" ref="S5:S27" si="1">(F5)</f>
        <v>0</v>
      </c>
    </row>
    <row r="6" spans="1:19" ht="19" thickBot="1" x14ac:dyDescent="0.5">
      <c r="A6" s="28">
        <f>('[1]ESCALA DE PRODUÇÃO'!AF6)</f>
        <v>8400</v>
      </c>
      <c r="B6" s="29" t="str">
        <f>_xlfn.XLOOKUP(A6,'[1]ESCALA DE PRODUÇÃO'!$AL$1:$AL$1048566,'[1]ESCALA DE PRODUÇÃO'!$AJ$1:$AJ$1048566,"NÃO ENCOTRADO")</f>
        <v>008400 - ROTISSERIA LASANHA A BOLONHESA BENDITO  KG</v>
      </c>
      <c r="C6" s="44">
        <v>0</v>
      </c>
      <c r="D6" s="28" t="str">
        <f>_xlfn.XLOOKUP(A6,'[1]ESCALA DE PRODUÇÃO'!$AL$1:$AL$1048566,'[1]ESCALA DE PRODUÇÃO'!$AK$1:$AK$1048566,"0")</f>
        <v>KG/0001</v>
      </c>
      <c r="E6" s="32" t="str">
        <f>_xlfn.XLOOKUP(A6,'[1]ESCALA DE PRODUÇÃO'!$A$4:$A$42,'[1]ESCALA DE PRODUÇÃO'!$C$4:$C$42,"0")</f>
        <v>0</v>
      </c>
      <c r="F6" s="45" t="str">
        <f>IFERROR(C6/E6,"0")</f>
        <v>0</v>
      </c>
      <c r="G6" s="30">
        <f>_xlfn.XLOOKUP(A6,'[1]ESCALA DE PRODUÇÃO'!$AL$1:$AL$1048566,'[1]ESCALA DE PRODUÇÃO'!$AM$1:$AM$1048566,"SEM PREÇO")</f>
        <v>56.9</v>
      </c>
      <c r="H6" s="33">
        <f>IFERROR(C6*G6,"0")</f>
        <v>0</v>
      </c>
      <c r="I6" s="50" t="str">
        <f>_xlfn.XLOOKUP(A6,'DADOS DE VENDA'!A:A,'DADOS DE VENDA'!D:D,"SEM VENDA")</f>
        <v>SEM VENDA</v>
      </c>
      <c r="J6" s="42" t="str">
        <f>IFERROR(I6/E6,"0")</f>
        <v>0</v>
      </c>
      <c r="K6" s="43" t="str">
        <f>IFERROR(I6*G6,"0")</f>
        <v>0</v>
      </c>
      <c r="L6" s="51" t="str">
        <f>_xlfn.XLOOKUP(A6,'DADOS DE VENDA'!A:A,'DADOS DE VENDA'!E:E,"RUPTURA NO PERIODO")</f>
        <v>RUPTURA NO PERIODO</v>
      </c>
      <c r="M6" s="88" t="str" cm="1">
        <f t="array" ref="M6">_xlfn.IFS(C6&lt;I6,"ABAIXO",C6&gt;I6,"ACIMA",C6=I6,"OK")</f>
        <v>ABAIXO</v>
      </c>
      <c r="P6" s="87">
        <f>('[1]ESCALA DE PRODUÇÃO'!Q5)</f>
        <v>0</v>
      </c>
      <c r="Q6" s="29" t="str">
        <f>_xlfn.XLOOKUP(P6,'[1]ESCALA DE PRODUÇÃO'!$AL$1:$AL$1048566,'[1]ESCALA DE PRODUÇÃO'!$AJ$1:$AJ$1048566,"NÃO ENCOTRADO")</f>
        <v>NÃO ENCOTRADO</v>
      </c>
      <c r="R6" s="44">
        <f t="shared" si="0"/>
        <v>0</v>
      </c>
      <c r="S6" s="45" t="str">
        <f t="shared" si="1"/>
        <v>0</v>
      </c>
    </row>
    <row r="7" spans="1:19" ht="15" thickBot="1" x14ac:dyDescent="0.4">
      <c r="A7" s="28">
        <f>('[1]ESCALA DE PRODUÇÃO'!AF7)</f>
        <v>9020</v>
      </c>
      <c r="B7" s="6" t="s">
        <v>165</v>
      </c>
      <c r="C7" s="3" t="s">
        <v>2</v>
      </c>
      <c r="D7" s="3" t="s">
        <v>106</v>
      </c>
      <c r="E7" s="3" t="s">
        <v>4</v>
      </c>
      <c r="F7" s="3" t="s">
        <v>6</v>
      </c>
      <c r="G7" s="4" t="s">
        <v>3</v>
      </c>
      <c r="H7" s="3" t="s">
        <v>5</v>
      </c>
      <c r="I7" s="7" t="s">
        <v>157</v>
      </c>
      <c r="J7" s="7" t="s">
        <v>152</v>
      </c>
      <c r="K7" s="7" t="s">
        <v>153</v>
      </c>
      <c r="L7" s="3" t="s">
        <v>104</v>
      </c>
      <c r="M7" s="86" t="s">
        <v>105</v>
      </c>
      <c r="P7" s="85" t="s">
        <v>8</v>
      </c>
      <c r="Q7" s="6" t="s">
        <v>165</v>
      </c>
      <c r="R7" s="3" t="s">
        <v>2</v>
      </c>
      <c r="S7" s="3" t="s">
        <v>6</v>
      </c>
    </row>
    <row r="8" spans="1:19" ht="19" thickBot="1" x14ac:dyDescent="0.5">
      <c r="A8" s="28">
        <f>('[1]ESCALA DE PRODUÇÃO'!AF8)</f>
        <v>0</v>
      </c>
      <c r="B8" s="29" t="str">
        <f>_xlfn.XLOOKUP(A8,'[1]ESCALA DE PRODUÇÃO'!$AL$1:$AL$1048566,'[1]ESCALA DE PRODUÇÃO'!$AJ$1:$AJ$1048566,"NÃO ENCOTRADO")</f>
        <v>NÃO ENCOTRADO</v>
      </c>
      <c r="C8" s="44">
        <v>0</v>
      </c>
      <c r="D8" s="28" t="str">
        <f>_xlfn.XLOOKUP(A8,'[1]ESCALA DE PRODUÇÃO'!$AL$1:$AL$1048566,'[1]ESCALA DE PRODUÇÃO'!$AK$1:$AK$1048566,"0")</f>
        <v>0</v>
      </c>
      <c r="E8" s="32" t="str">
        <f>_xlfn.XLOOKUP(A8,'[1]ESCALA DE PRODUÇÃO'!$A$4:$A$42,'[1]ESCALA DE PRODUÇÃO'!$C$4:$C$42,"0")</f>
        <v>0</v>
      </c>
      <c r="F8" s="45" t="str">
        <f>IFERROR(C8/E8,"0")</f>
        <v>0</v>
      </c>
      <c r="G8" s="30" t="str">
        <f>_xlfn.XLOOKUP(A8,'[1]ESCALA DE PRODUÇÃO'!$AL$1:$AL$1048566,'[1]ESCALA DE PRODUÇÃO'!$AM$1:$AM$1048566,"SEM PREÇO")</f>
        <v>SEM PREÇO</v>
      </c>
      <c r="H8" s="33" t="str">
        <f>IFERROR(C8*G8,"0")</f>
        <v>0</v>
      </c>
      <c r="I8" s="50" t="str">
        <f>_xlfn.XLOOKUP(A8,'DADOS DE VENDA'!A:A,'DADOS DE VENDA'!D:D,"SEM VENDA")</f>
        <v>SEM VENDA</v>
      </c>
      <c r="J8" s="42" t="str">
        <f>IFERROR(I8/E8,"0")</f>
        <v>0</v>
      </c>
      <c r="K8" s="43" t="str">
        <f>IFERROR(I8*G8,"0")</f>
        <v>0</v>
      </c>
      <c r="L8" s="51" t="str">
        <f>_xlfn.XLOOKUP(A8,'DADOS DE VENDA'!A:A,'DADOS DE VENDA'!E:E,"RUPTURA NO PERIODO")</f>
        <v>RUPTURA NO PERIODO</v>
      </c>
      <c r="M8" s="88" t="str" cm="1">
        <f t="array" ref="M8">_xlfn.IFS(C8&lt;I8,"ABAIXO",C8&gt;I8,"ACIMA",C8=I8,"OK")</f>
        <v>ABAIXO</v>
      </c>
      <c r="P8" s="87">
        <f>('[1]ESCALA DE PRODUÇÃO'!Q7)</f>
        <v>8480</v>
      </c>
      <c r="Q8" s="29" t="str">
        <f>_xlfn.XLOOKUP(P8,'[1]ESCALA DE PRODUÇÃO'!$AL$1:$AL$1048566,'[1]ESCALA DE PRODUÇÃO'!$AJ$1:$AJ$1048566,"NÃO ENCOTRADO")</f>
        <v>008480 - ROTISSERIA MACARRONADA A BOLONHESA BENDITO KG</v>
      </c>
      <c r="R8" s="44">
        <f t="shared" si="0"/>
        <v>0</v>
      </c>
      <c r="S8" s="45" t="str">
        <f t="shared" si="1"/>
        <v>0</v>
      </c>
    </row>
    <row r="9" spans="1:19" ht="19" thickBot="1" x14ac:dyDescent="0.5">
      <c r="A9" s="28">
        <f>('[1]ESCALA DE PRODUÇÃO'!AF9)</f>
        <v>8037</v>
      </c>
      <c r="B9" s="29" t="str">
        <f>_xlfn.XLOOKUP(A9,'[1]ESCALA DE PRODUÇÃO'!$AL$1:$AL$1048566,'[1]ESCALA DE PRODUÇÃO'!$AJ$1:$AJ$1048566,"NÃO ENCOTRADO")</f>
        <v>008037 - ROTISSERIA ARROZ CARRETEIRO BENDITO KG</v>
      </c>
      <c r="C9" s="44">
        <v>0</v>
      </c>
      <c r="D9" s="28" t="str">
        <f>_xlfn.XLOOKUP(A9,'[1]ESCALA DE PRODUÇÃO'!$AL$1:$AL$1048566,'[1]ESCALA DE PRODUÇÃO'!$AK$1:$AK$1048566,"0")</f>
        <v>KG/0001</v>
      </c>
      <c r="E9" s="32" t="str">
        <f>_xlfn.XLOOKUP(A9,'[1]ESCALA DE PRODUÇÃO'!$A$4:$A$42,'[1]ESCALA DE PRODUÇÃO'!$C$4:$C$42,"0")</f>
        <v>0</v>
      </c>
      <c r="F9" s="45" t="str">
        <f>IFERROR(C9/E9,"0")</f>
        <v>0</v>
      </c>
      <c r="G9" s="30">
        <f>_xlfn.XLOOKUP(A9,'[1]ESCALA DE PRODUÇÃO'!$AL$1:$AL$1048566,'[1]ESCALA DE PRODUÇÃO'!$AM$1:$AM$1048566,"SEM PREÇO")</f>
        <v>54.9</v>
      </c>
      <c r="H9" s="33">
        <f>IFERROR(C9*G9,"0")</f>
        <v>0</v>
      </c>
      <c r="I9" s="50" t="str">
        <f>_xlfn.XLOOKUP(A9,'DADOS DE VENDA'!A:A,'DADOS DE VENDA'!D:D,"SEM VENDA")</f>
        <v>SEM VENDA</v>
      </c>
      <c r="J9" s="42" t="str">
        <f>IFERROR(I9/E9,"0")</f>
        <v>0</v>
      </c>
      <c r="K9" s="43" t="str">
        <f>IFERROR(I9*G9,"0")</f>
        <v>0</v>
      </c>
      <c r="L9" s="51" t="str">
        <f>_xlfn.XLOOKUP(A9,'DADOS DE VENDA'!A:A,'DADOS DE VENDA'!E:E,"RUPTURA NO PERIODO")</f>
        <v>RUPTURA NO PERIODO</v>
      </c>
      <c r="M9" s="88" t="str" cm="1">
        <f t="array" ref="M9">_xlfn.IFS(C9&lt;I9,"ABAIXO",C9&gt;I9,"ACIMA",C9=I9,"OK")</f>
        <v>ABAIXO</v>
      </c>
      <c r="P9" s="87">
        <f>('[1]ESCALA DE PRODUÇÃO'!Q8)</f>
        <v>8321</v>
      </c>
      <c r="Q9" s="29" t="str">
        <f>_xlfn.XLOOKUP(P9,'[1]ESCALA DE PRODUÇÃO'!$AL$1:$AL$1048566,'[1]ESCALA DE PRODUÇÃO'!$AJ$1:$AJ$1048566,"NÃO ENCOTRADO")</f>
        <v>008321 - ROT.ESPAGUETE A BOLONHESA + POLPETONE RECHEADO BENDITO</v>
      </c>
      <c r="R9" s="44">
        <f t="shared" si="0"/>
        <v>0</v>
      </c>
      <c r="S9" s="45" t="str">
        <f t="shared" si="1"/>
        <v>0</v>
      </c>
    </row>
    <row r="10" spans="1:19" ht="19" thickBot="1" x14ac:dyDescent="0.5">
      <c r="A10" s="28">
        <f>('[1]ESCALA DE PRODUÇÃO'!AF10)</f>
        <v>8023</v>
      </c>
      <c r="B10" s="29" t="str">
        <f>_xlfn.XLOOKUP(A10,'[1]ESCALA DE PRODUÇÃO'!$AL$1:$AL$1048566,'[1]ESCALA DE PRODUÇÃO'!$AJ$1:$AJ$1048566,"NÃO ENCOTRADO")</f>
        <v>008023 - ROTISSERIA ARROZ A GREGA BENDITO KG</v>
      </c>
      <c r="C10" s="44">
        <v>0</v>
      </c>
      <c r="D10" s="28" t="str">
        <f>_xlfn.XLOOKUP(A10,'[1]ESCALA DE PRODUÇÃO'!$AL$1:$AL$1048566,'[1]ESCALA DE PRODUÇÃO'!$AK$1:$AK$1048566,"0")</f>
        <v>KG/0001</v>
      </c>
      <c r="E10" s="32" t="str">
        <f>_xlfn.XLOOKUP(A10,'[1]ESCALA DE PRODUÇÃO'!$A$4:$A$42,'[1]ESCALA DE PRODUÇÃO'!$C$4:$C$42,"0")</f>
        <v>0</v>
      </c>
      <c r="F10" s="45" t="str">
        <f>IFERROR(C10/E10,"0")</f>
        <v>0</v>
      </c>
      <c r="G10" s="30">
        <f>_xlfn.XLOOKUP(A10,'[1]ESCALA DE PRODUÇÃO'!$AL$1:$AL$1048566,'[1]ESCALA DE PRODUÇÃO'!$AM$1:$AM$1048566,"SEM PREÇO")</f>
        <v>39.9</v>
      </c>
      <c r="H10" s="33">
        <f>IFERROR(C10*G10,"0")</f>
        <v>0</v>
      </c>
      <c r="I10" s="50" t="str">
        <f>_xlfn.XLOOKUP(A10,'DADOS DE VENDA'!A:A,'DADOS DE VENDA'!D:D,"SEM VENDA")</f>
        <v>SEM VENDA</v>
      </c>
      <c r="J10" s="42" t="str">
        <f>IFERROR(I10/E10,"0")</f>
        <v>0</v>
      </c>
      <c r="K10" s="43" t="str">
        <f>IFERROR(I10*G10,"0")</f>
        <v>0</v>
      </c>
      <c r="L10" s="51" t="str">
        <f>_xlfn.XLOOKUP(A10,'DADOS DE VENDA'!A:A,'DADOS DE VENDA'!E:E,"RUPTURA NO PERIODO")</f>
        <v>RUPTURA NO PERIODO</v>
      </c>
      <c r="M10" s="88" t="str" cm="1">
        <f t="array" ref="M10">_xlfn.IFS(C10&lt;I10,"ABAIXO",C10&gt;I10,"ACIMA",C10=I10,"OK")</f>
        <v>ABAIXO</v>
      </c>
      <c r="P10" s="87">
        <f>('[1]ESCALA DE PRODUÇÃO'!Q9)</f>
        <v>0</v>
      </c>
      <c r="Q10" s="29" t="str">
        <f>_xlfn.XLOOKUP(P10,'[1]ESCALA DE PRODUÇÃO'!$AL$1:$AL$1048566,'[1]ESCALA DE PRODUÇÃO'!$AJ$1:$AJ$1048566,"NÃO ENCOTRADO")</f>
        <v>NÃO ENCOTRADO</v>
      </c>
      <c r="R10" s="44">
        <f t="shared" si="0"/>
        <v>0</v>
      </c>
      <c r="S10" s="45" t="str">
        <f t="shared" si="1"/>
        <v>0</v>
      </c>
    </row>
    <row r="11" spans="1:19" ht="15" thickBot="1" x14ac:dyDescent="0.4">
      <c r="A11" s="28">
        <f>('[1]ESCALA DE PRODUÇÃO'!AF11)</f>
        <v>0</v>
      </c>
      <c r="B11" s="6" t="s">
        <v>166</v>
      </c>
      <c r="C11" s="3" t="s">
        <v>2</v>
      </c>
      <c r="D11" s="3" t="s">
        <v>106</v>
      </c>
      <c r="E11" s="3" t="s">
        <v>4</v>
      </c>
      <c r="F11" s="3" t="s">
        <v>6</v>
      </c>
      <c r="G11" s="4" t="s">
        <v>3</v>
      </c>
      <c r="H11" s="3" t="s">
        <v>5</v>
      </c>
      <c r="I11" s="7" t="s">
        <v>157</v>
      </c>
      <c r="J11" s="7" t="s">
        <v>152</v>
      </c>
      <c r="K11" s="7" t="s">
        <v>153</v>
      </c>
      <c r="L11" s="3" t="s">
        <v>104</v>
      </c>
      <c r="M11" s="86" t="s">
        <v>105</v>
      </c>
      <c r="P11" s="85" t="s">
        <v>8</v>
      </c>
      <c r="Q11" s="6" t="s">
        <v>166</v>
      </c>
      <c r="R11" s="3" t="s">
        <v>2</v>
      </c>
      <c r="S11" s="3" t="s">
        <v>6</v>
      </c>
    </row>
    <row r="12" spans="1:19" ht="19" thickBot="1" x14ac:dyDescent="0.5">
      <c r="A12" s="28">
        <f>('[1]ESCALA DE PRODUÇÃO'!AF12)</f>
        <v>0</v>
      </c>
      <c r="B12" s="29" t="str">
        <f>_xlfn.XLOOKUP(A12,'[1]ESCALA DE PRODUÇÃO'!$AL$1:$AL$1048566,'[1]ESCALA DE PRODUÇÃO'!$AJ$1:$AJ$1048566,"NÃO ENCOTRADO")</f>
        <v>NÃO ENCOTRADO</v>
      </c>
      <c r="C12" s="44">
        <v>0</v>
      </c>
      <c r="D12" s="28" t="str">
        <f>_xlfn.XLOOKUP(A12,'[1]ESCALA DE PRODUÇÃO'!$AL$1:$AL$1048566,'[1]ESCALA DE PRODUÇÃO'!$AK$1:$AK$1048566,"0")</f>
        <v>0</v>
      </c>
      <c r="E12" s="32" t="str">
        <f>_xlfn.XLOOKUP(A12,'[1]ESCALA DE PRODUÇÃO'!$A$4:$A$42,'[1]ESCALA DE PRODUÇÃO'!$C$4:$C$42,"0")</f>
        <v>0</v>
      </c>
      <c r="F12" s="45" t="str">
        <f>IFERROR(C12/E12,"0")</f>
        <v>0</v>
      </c>
      <c r="G12" s="30" t="str">
        <f>_xlfn.XLOOKUP(A12,'[1]ESCALA DE PRODUÇÃO'!$AL$1:$AL$1048566,'[1]ESCALA DE PRODUÇÃO'!$AM$1:$AM$1048566,"SEM PREÇO")</f>
        <v>SEM PREÇO</v>
      </c>
      <c r="H12" s="33" t="str">
        <f>IFERROR(C12*G12,"0")</f>
        <v>0</v>
      </c>
      <c r="I12" s="50" t="str">
        <f>_xlfn.XLOOKUP(A12,'DADOS DE VENDA'!A:A,'DADOS DE VENDA'!D:D,"SEM VENDA")</f>
        <v>SEM VENDA</v>
      </c>
      <c r="J12" s="42" t="str">
        <f>IFERROR(I12/E12,"0")</f>
        <v>0</v>
      </c>
      <c r="K12" s="43" t="str">
        <f>IFERROR(I12*G12,"0")</f>
        <v>0</v>
      </c>
      <c r="L12" s="51" t="str">
        <f>_xlfn.XLOOKUP(A12,'DADOS DE VENDA'!A:A,'DADOS DE VENDA'!E:E,"RUPTURA NO PERIODO")</f>
        <v>RUPTURA NO PERIODO</v>
      </c>
      <c r="M12" s="88" t="str" cm="1">
        <f t="array" ref="M12">_xlfn.IFS(C12&lt;I12,"ABAIXO",C12&gt;I12,"ACIMA",C12=I12,"OK")</f>
        <v>ABAIXO</v>
      </c>
      <c r="P12" s="87">
        <f>('[1]ESCALA DE PRODUÇÃO'!Q11)</f>
        <v>8028</v>
      </c>
      <c r="Q12" s="29" t="str">
        <f>_xlfn.XLOOKUP(P12,'[1]ESCALA DE PRODUÇÃO'!$AL$1:$AL$1048566,'[1]ESCALA DE PRODUÇÃO'!$AJ$1:$AJ$1048566,"NÃO ENCOTRADO")</f>
        <v>008028 - ROTISSERIA ARROZ BRANCO BENDITO KG</v>
      </c>
      <c r="R12" s="44">
        <f t="shared" si="0"/>
        <v>0</v>
      </c>
      <c r="S12" s="45" t="str">
        <f t="shared" si="1"/>
        <v>0</v>
      </c>
    </row>
    <row r="13" spans="1:19" ht="19" thickBot="1" x14ac:dyDescent="0.5">
      <c r="A13" s="28">
        <f>('[1]ESCALA DE PRODUÇÃO'!AF13)</f>
        <v>6857</v>
      </c>
      <c r="B13" s="29" t="str">
        <f>_xlfn.XLOOKUP(A13,'[1]ESCALA DE PRODUÇÃO'!$AL$1:$AL$1048566,'[1]ESCALA DE PRODUÇÃO'!$AJ$1:$AJ$1048566,"NÃO ENCOTRADO")</f>
        <v>006857 - ROTISSERIA MAIONESE DE LEGUMES COM FRANGO</v>
      </c>
      <c r="C13" s="44">
        <v>0</v>
      </c>
      <c r="D13" s="28" t="str">
        <f>_xlfn.XLOOKUP(A13,'[1]ESCALA DE PRODUÇÃO'!$AL$1:$AL$1048566,'[1]ESCALA DE PRODUÇÃO'!$AK$1:$AK$1048566,"0")</f>
        <v>KG/0001</v>
      </c>
      <c r="E13" s="32" t="str">
        <f>_xlfn.XLOOKUP(A13,'[1]ESCALA DE PRODUÇÃO'!$A$4:$A$42,'[1]ESCALA DE PRODUÇÃO'!$C$4:$C$42,"0")</f>
        <v>0</v>
      </c>
      <c r="F13" s="45" t="str">
        <f>IFERROR(C13/E13,"0")</f>
        <v>0</v>
      </c>
      <c r="G13" s="30">
        <f>_xlfn.XLOOKUP(A13,'[1]ESCALA DE PRODUÇÃO'!$AL$1:$AL$1048566,'[1]ESCALA DE PRODUÇÃO'!$AM$1:$AM$1048566,"SEM PREÇO")</f>
        <v>49.9</v>
      </c>
      <c r="H13" s="33">
        <f>IFERROR(C13*G13,"0")</f>
        <v>0</v>
      </c>
      <c r="I13" s="50" t="str">
        <f>_xlfn.XLOOKUP(A13,'DADOS DE VENDA'!A:A,'DADOS DE VENDA'!D:D,"SEM VENDA")</f>
        <v>SEM VENDA</v>
      </c>
      <c r="J13" s="42" t="str">
        <f>IFERROR(I13/E13,"0")</f>
        <v>0</v>
      </c>
      <c r="K13" s="43" t="str">
        <f>IFERROR(I13*G13,"0")</f>
        <v>0</v>
      </c>
      <c r="L13" s="51" t="str">
        <f>_xlfn.XLOOKUP(A13,'DADOS DE VENDA'!A:A,'DADOS DE VENDA'!E:E,"RUPTURA NO PERIODO")</f>
        <v>RUPTURA NO PERIODO</v>
      </c>
      <c r="M13" s="88" t="str" cm="1">
        <f t="array" ref="M13">_xlfn.IFS(C13&lt;I13,"ABAIXO",C13&gt;I13,"ACIMA",C13=I13,"OK")</f>
        <v>ABAIXO</v>
      </c>
      <c r="P13" s="87">
        <f>('[1]ESCALA DE PRODUÇÃO'!Q12)</f>
        <v>0</v>
      </c>
      <c r="Q13" s="29" t="str">
        <f>_xlfn.XLOOKUP(P13,'[1]ESCALA DE PRODUÇÃO'!$AL$1:$AL$1048566,'[1]ESCALA DE PRODUÇÃO'!$AJ$1:$AJ$1048566,"NÃO ENCOTRADO")</f>
        <v>NÃO ENCOTRADO</v>
      </c>
      <c r="R13" s="44">
        <f t="shared" si="0"/>
        <v>0</v>
      </c>
      <c r="S13" s="45" t="str">
        <f t="shared" si="1"/>
        <v>0</v>
      </c>
    </row>
    <row r="14" spans="1:19" ht="15" thickBot="1" x14ac:dyDescent="0.4">
      <c r="A14" s="28">
        <f>('[1]ESCALA DE PRODUÇÃO'!AF14)</f>
        <v>8482</v>
      </c>
      <c r="B14" s="6" t="s">
        <v>167</v>
      </c>
      <c r="C14" s="3" t="s">
        <v>2</v>
      </c>
      <c r="D14" s="3" t="s">
        <v>106</v>
      </c>
      <c r="E14" s="3" t="s">
        <v>4</v>
      </c>
      <c r="F14" s="3" t="s">
        <v>6</v>
      </c>
      <c r="G14" s="4" t="s">
        <v>3</v>
      </c>
      <c r="H14" s="3" t="s">
        <v>5</v>
      </c>
      <c r="I14" s="7" t="s">
        <v>157</v>
      </c>
      <c r="J14" s="7" t="s">
        <v>152</v>
      </c>
      <c r="K14" s="7" t="s">
        <v>153</v>
      </c>
      <c r="L14" s="3" t="s">
        <v>104</v>
      </c>
      <c r="M14" s="86" t="s">
        <v>105</v>
      </c>
      <c r="P14" s="85" t="s">
        <v>8</v>
      </c>
      <c r="Q14" s="6" t="s">
        <v>167</v>
      </c>
      <c r="R14" s="3" t="s">
        <v>2</v>
      </c>
      <c r="S14" s="3" t="s">
        <v>6</v>
      </c>
    </row>
    <row r="15" spans="1:19" ht="19" thickBot="1" x14ac:dyDescent="0.5">
      <c r="A15" s="28">
        <f>('[1]ESCALA DE PRODUÇÃO'!AF15)</f>
        <v>1</v>
      </c>
      <c r="B15" s="29" t="str">
        <f>_xlfn.XLOOKUP(A15,'[1]ESCALA DE PRODUÇÃO'!$AL$1:$AL$1048566,'[1]ESCALA DE PRODUÇÃO'!$AJ$1:$AJ$1048566,"NÃO ENCOTRADO")</f>
        <v>NÃO ENCOTRADO</v>
      </c>
      <c r="C15" s="44">
        <v>0</v>
      </c>
      <c r="D15" s="28" t="str">
        <f>_xlfn.XLOOKUP(A15,'[1]ESCALA DE PRODUÇÃO'!$AL$1:$AL$1048566,'[1]ESCALA DE PRODUÇÃO'!$AK$1:$AK$1048566,"0")</f>
        <v>0</v>
      </c>
      <c r="E15" s="32" t="str">
        <f>_xlfn.XLOOKUP(A15,'[1]ESCALA DE PRODUÇÃO'!$A$4:$A$42,'[1]ESCALA DE PRODUÇÃO'!$C$4:$C$42,"0")</f>
        <v>0</v>
      </c>
      <c r="F15" s="45" t="str">
        <f>IFERROR(C15/E15,"0")</f>
        <v>0</v>
      </c>
      <c r="G15" s="30" t="str">
        <f>_xlfn.XLOOKUP(A15,'[1]ESCALA DE PRODUÇÃO'!$AL$1:$AL$1048566,'[1]ESCALA DE PRODUÇÃO'!$AM$1:$AM$1048566,"SEM PREÇO")</f>
        <v>SEM PREÇO</v>
      </c>
      <c r="H15" s="33" t="str">
        <f>IFERROR(C15*G15,"0")</f>
        <v>0</v>
      </c>
      <c r="I15" s="50" t="str">
        <f>_xlfn.XLOOKUP(A15,'DADOS DE VENDA'!A:A,'DADOS DE VENDA'!D:D,"SEM VENDA")</f>
        <v>SEM VENDA</v>
      </c>
      <c r="J15" s="42" t="str">
        <f>IFERROR(I15/E15,"0")</f>
        <v>0</v>
      </c>
      <c r="K15" s="43" t="str">
        <f>IFERROR(I15*G15,"0")</f>
        <v>0</v>
      </c>
      <c r="L15" s="51" t="str">
        <f>_xlfn.XLOOKUP(A15,'DADOS DE VENDA'!A:A,'DADOS DE VENDA'!E:E,"RUPTURA NO PERIODO")</f>
        <v>RUPTURA NO PERIODO</v>
      </c>
      <c r="M15" s="88" t="str" cm="1">
        <f t="array" ref="M15">_xlfn.IFS(C15&lt;I15,"ABAIXO",C15&gt;I15,"ACIMA",C15=I15,"OK")</f>
        <v>ABAIXO</v>
      </c>
      <c r="P15" s="87">
        <f>('[1]ESCALA DE PRODUÇÃO'!Q14)</f>
        <v>8328</v>
      </c>
      <c r="Q15" s="29" t="str">
        <f>_xlfn.XLOOKUP(P15,'[1]ESCALA DE PRODUÇÃO'!$AL$1:$AL$1048566,'[1]ESCALA DE PRODUÇÃO'!$AJ$1:$AJ$1048566,"NÃO ENCOTRADO")</f>
        <v>008328 - ROTISSERIA FEIJAO BENDITO KG</v>
      </c>
      <c r="R15" s="44">
        <f t="shared" si="0"/>
        <v>0</v>
      </c>
      <c r="S15" s="45" t="str">
        <f t="shared" si="1"/>
        <v>0</v>
      </c>
    </row>
    <row r="16" spans="1:19" ht="19" thickBot="1" x14ac:dyDescent="0.5">
      <c r="A16" s="28">
        <f>('[1]ESCALA DE PRODUÇÃO'!AF16)</f>
        <v>0</v>
      </c>
      <c r="B16" s="29" t="str">
        <f>_xlfn.XLOOKUP(A16,'[1]ESCALA DE PRODUÇÃO'!$AL$1:$AL$1048566,'[1]ESCALA DE PRODUÇÃO'!$AJ$1:$AJ$1048566,"NÃO ENCOTRADO")</f>
        <v>NÃO ENCOTRADO</v>
      </c>
      <c r="C16" s="44">
        <v>0</v>
      </c>
      <c r="D16" s="28" t="str">
        <f>_xlfn.XLOOKUP(A16,'[1]ESCALA DE PRODUÇÃO'!$AL$1:$AL$1048566,'[1]ESCALA DE PRODUÇÃO'!$AK$1:$AK$1048566,"0")</f>
        <v>0</v>
      </c>
      <c r="E16" s="32" t="str">
        <f>_xlfn.XLOOKUP(A16,'[1]ESCALA DE PRODUÇÃO'!$A$4:$A$42,'[1]ESCALA DE PRODUÇÃO'!$C$4:$C$42,"0")</f>
        <v>0</v>
      </c>
      <c r="F16" s="45" t="str">
        <f>IFERROR(C16/E16,"0")</f>
        <v>0</v>
      </c>
      <c r="G16" s="30" t="str">
        <f>_xlfn.XLOOKUP(A16,'[1]ESCALA DE PRODUÇÃO'!$AL$1:$AL$1048566,'[1]ESCALA DE PRODUÇÃO'!$AM$1:$AM$1048566,"SEM PREÇO")</f>
        <v>SEM PREÇO</v>
      </c>
      <c r="H16" s="33" t="str">
        <f>IFERROR(C16*G16,"0")</f>
        <v>0</v>
      </c>
      <c r="I16" s="50" t="str">
        <f>_xlfn.XLOOKUP(A16,'DADOS DE VENDA'!A:A,'DADOS DE VENDA'!D:D,"SEM VENDA")</f>
        <v>SEM VENDA</v>
      </c>
      <c r="J16" s="42" t="str">
        <f>IFERROR(I16/E16,"0")</f>
        <v>0</v>
      </c>
      <c r="K16" s="43" t="str">
        <f>IFERROR(I16*G16,"0")</f>
        <v>0</v>
      </c>
      <c r="L16" s="51" t="str">
        <f>_xlfn.XLOOKUP(A16,'DADOS DE VENDA'!A:A,'DADOS DE VENDA'!E:E,"RUPTURA NO PERIODO")</f>
        <v>RUPTURA NO PERIODO</v>
      </c>
      <c r="M16" s="88" t="str" cm="1">
        <f t="array" ref="M16">_xlfn.IFS(C16&lt;I16,"ABAIXO",C16&gt;I16,"ACIMA",C16=I16,"OK")</f>
        <v>ABAIXO</v>
      </c>
      <c r="P16" s="87">
        <f>('[1]ESCALA DE PRODUÇÃO'!Q15)</f>
        <v>0</v>
      </c>
      <c r="Q16" s="29" t="str">
        <f>_xlfn.XLOOKUP(P16,'[1]ESCALA DE PRODUÇÃO'!$AL$1:$AL$1048566,'[1]ESCALA DE PRODUÇÃO'!$AJ$1:$AJ$1048566,"NÃO ENCOTRADO")</f>
        <v>NÃO ENCOTRADO</v>
      </c>
      <c r="R16" s="44">
        <f t="shared" si="0"/>
        <v>0</v>
      </c>
      <c r="S16" s="45" t="str">
        <f t="shared" si="1"/>
        <v>0</v>
      </c>
    </row>
    <row r="17" spans="1:19" ht="15" thickBot="1" x14ac:dyDescent="0.4">
      <c r="A17" s="28">
        <f>('[1]ESCALA DE PRODUÇÃO'!AF17)</f>
        <v>6873</v>
      </c>
      <c r="B17" s="6" t="s">
        <v>168</v>
      </c>
      <c r="C17" s="3" t="s">
        <v>2</v>
      </c>
      <c r="D17" s="3" t="s">
        <v>106</v>
      </c>
      <c r="E17" s="3" t="s">
        <v>4</v>
      </c>
      <c r="F17" s="3" t="s">
        <v>6</v>
      </c>
      <c r="G17" s="4" t="s">
        <v>3</v>
      </c>
      <c r="H17" s="3" t="s">
        <v>5</v>
      </c>
      <c r="I17" s="7" t="s">
        <v>157</v>
      </c>
      <c r="J17" s="7" t="s">
        <v>152</v>
      </c>
      <c r="K17" s="7" t="s">
        <v>153</v>
      </c>
      <c r="L17" s="3" t="s">
        <v>104</v>
      </c>
      <c r="M17" s="86" t="s">
        <v>105</v>
      </c>
      <c r="P17" s="85" t="s">
        <v>8</v>
      </c>
      <c r="Q17" s="6" t="s">
        <v>168</v>
      </c>
      <c r="R17" s="3" t="s">
        <v>2</v>
      </c>
      <c r="S17" s="3" t="s">
        <v>6</v>
      </c>
    </row>
    <row r="18" spans="1:19" ht="19" thickBot="1" x14ac:dyDescent="0.5">
      <c r="A18" s="28">
        <f>('[1]ESCALA DE PRODUÇÃO'!AF18)</f>
        <v>0</v>
      </c>
      <c r="B18" s="29" t="str">
        <f>_xlfn.XLOOKUP(A18,'[1]ESCALA DE PRODUÇÃO'!$AL$1:$AL$1048566,'[1]ESCALA DE PRODUÇÃO'!$AJ$1:$AJ$1048566,"NÃO ENCOTRADO")</f>
        <v>NÃO ENCOTRADO</v>
      </c>
      <c r="C18" s="44">
        <v>0</v>
      </c>
      <c r="D18" s="28" t="str">
        <f>_xlfn.XLOOKUP(A18,'[1]ESCALA DE PRODUÇÃO'!$AL$1:$AL$1048566,'[1]ESCALA DE PRODUÇÃO'!$AK$1:$AK$1048566,"0")</f>
        <v>0</v>
      </c>
      <c r="E18" s="32" t="str">
        <f>_xlfn.XLOOKUP(A18,'[1]ESCALA DE PRODUÇÃO'!$A$4:$A$42,'[1]ESCALA DE PRODUÇÃO'!$C$4:$C$42,"0")</f>
        <v>0</v>
      </c>
      <c r="F18" s="45" t="str">
        <f>IFERROR(C18/E18,"0")</f>
        <v>0</v>
      </c>
      <c r="G18" s="30" t="str">
        <f>_xlfn.XLOOKUP(A18,'[1]ESCALA DE PRODUÇÃO'!$AL$1:$AL$1048566,'[1]ESCALA DE PRODUÇÃO'!$AM$1:$AM$1048566,"SEM PREÇO")</f>
        <v>SEM PREÇO</v>
      </c>
      <c r="H18" s="33" t="str">
        <f>IFERROR(C18*G18,"0")</f>
        <v>0</v>
      </c>
      <c r="I18" s="50" t="str">
        <f>_xlfn.XLOOKUP(A18,'DADOS DE VENDA'!A:A,'DADOS DE VENDA'!D:D,"SEM VENDA")</f>
        <v>SEM VENDA</v>
      </c>
      <c r="J18" s="42" t="str">
        <f>IFERROR(I18/E18,"0")</f>
        <v>0</v>
      </c>
      <c r="K18" s="43" t="str">
        <f>IFERROR(I18*G18,"0")</f>
        <v>0</v>
      </c>
      <c r="L18" s="51" t="str">
        <f>_xlfn.XLOOKUP(A18,'DADOS DE VENDA'!A:A,'DADOS DE VENDA'!E:E,"RUPTURA NO PERIODO")</f>
        <v>RUPTURA NO PERIODO</v>
      </c>
      <c r="M18" s="88" t="str" cm="1">
        <f t="array" ref="M18">_xlfn.IFS(C18&lt;I18,"ABAIXO",C18&gt;I18,"ACIMA",C18=I18,"OK")</f>
        <v>ABAIXO</v>
      </c>
      <c r="P18" s="87">
        <f>('[1]ESCALA DE PRODUÇÃO'!Q17)</f>
        <v>8598</v>
      </c>
      <c r="Q18" s="29" t="str">
        <f>_xlfn.XLOOKUP(P18,'[1]ESCALA DE PRODUÇÃO'!$AL$1:$AL$1048566,'[1]ESCALA DE PRODUÇÃO'!$AJ$1:$AJ$1048566,"NÃO ENCOTRADO")</f>
        <v>008598 - ROTISSERIA PURE DE BATATA BENDITO KG</v>
      </c>
      <c r="R18" s="44">
        <f t="shared" si="0"/>
        <v>0</v>
      </c>
      <c r="S18" s="45" t="str">
        <f t="shared" si="1"/>
        <v>0</v>
      </c>
    </row>
    <row r="19" spans="1:19" ht="19" thickBot="1" x14ac:dyDescent="0.5">
      <c r="A19" s="28">
        <f>('[1]ESCALA DE PRODUÇÃO'!AF19)</f>
        <v>0</v>
      </c>
      <c r="B19" s="29" t="str">
        <f>_xlfn.XLOOKUP(A19,'[1]ESCALA DE PRODUÇÃO'!$AL$1:$AL$1048566,'[1]ESCALA DE PRODUÇÃO'!$AJ$1:$AJ$1048566,"NÃO ENCOTRADO")</f>
        <v>NÃO ENCOTRADO</v>
      </c>
      <c r="C19" s="44">
        <v>0</v>
      </c>
      <c r="D19" s="28" t="str">
        <f>_xlfn.XLOOKUP(A19,'[1]ESCALA DE PRODUÇÃO'!$AL$1:$AL$1048566,'[1]ESCALA DE PRODUÇÃO'!$AK$1:$AK$1048566,"0")</f>
        <v>0</v>
      </c>
      <c r="E19" s="32" t="str">
        <f>_xlfn.XLOOKUP(A19,'[1]ESCALA DE PRODUÇÃO'!$A$4:$A$42,'[1]ESCALA DE PRODUÇÃO'!$C$4:$C$42,"0")</f>
        <v>0</v>
      </c>
      <c r="F19" s="45" t="str">
        <f>IFERROR(C19/E19,"0")</f>
        <v>0</v>
      </c>
      <c r="G19" s="30" t="str">
        <f>_xlfn.XLOOKUP(A19,'[1]ESCALA DE PRODUÇÃO'!$AL$1:$AL$1048566,'[1]ESCALA DE PRODUÇÃO'!$AM$1:$AM$1048566,"SEM PREÇO")</f>
        <v>SEM PREÇO</v>
      </c>
      <c r="H19" s="33" t="str">
        <f>IFERROR(C19*G19,"0")</f>
        <v>0</v>
      </c>
      <c r="I19" s="50" t="str">
        <f>_xlfn.XLOOKUP(A19,'DADOS DE VENDA'!A:A,'DADOS DE VENDA'!D:D,"SEM VENDA")</f>
        <v>SEM VENDA</v>
      </c>
      <c r="J19" s="42" t="str">
        <f>IFERROR(I19/E19,"0")</f>
        <v>0</v>
      </c>
      <c r="K19" s="43" t="str">
        <f>IFERROR(I19*G19,"0")</f>
        <v>0</v>
      </c>
      <c r="L19" s="51" t="str">
        <f>_xlfn.XLOOKUP(A19,'DADOS DE VENDA'!A:A,'DADOS DE VENDA'!E:E,"RUPTURA NO PERIODO")</f>
        <v>RUPTURA NO PERIODO</v>
      </c>
      <c r="M19" s="88" t="str" cm="1">
        <f t="array" ref="M19">_xlfn.IFS(C19&lt;I19,"ABAIXO",C19&gt;I19,"ACIMA",C19=I19,"OK")</f>
        <v>ABAIXO</v>
      </c>
      <c r="P19" s="87">
        <f>('[1]ESCALA DE PRODUÇÃO'!Q18)</f>
        <v>8080</v>
      </c>
      <c r="Q19" s="29" t="str">
        <f>_xlfn.XLOOKUP(P19,'[1]ESCALA DE PRODUÇÃO'!$AL$1:$AL$1048566,'[1]ESCALA DE PRODUÇÃO'!$AJ$1:$AJ$1048566,"NÃO ENCOTRADO")</f>
        <v>008080 - ROTISSERIA BANANA BENDITO KG</v>
      </c>
      <c r="R19" s="44">
        <f t="shared" si="0"/>
        <v>0</v>
      </c>
      <c r="S19" s="45" t="str">
        <f t="shared" si="1"/>
        <v>0</v>
      </c>
    </row>
    <row r="20" spans="1:19" ht="19" thickBot="1" x14ac:dyDescent="0.5">
      <c r="A20" s="28">
        <f>('[1]ESCALA DE PRODUÇÃO'!AF20)</f>
        <v>0</v>
      </c>
      <c r="B20" s="29" t="str">
        <f>_xlfn.XLOOKUP(A20,'[1]ESCALA DE PRODUÇÃO'!$AL$1:$AL$1048566,'[1]ESCALA DE PRODUÇÃO'!$AJ$1:$AJ$1048566,"NÃO ENCOTRADO")</f>
        <v>NÃO ENCOTRADO</v>
      </c>
      <c r="C20" s="44">
        <v>0</v>
      </c>
      <c r="D20" s="28" t="str">
        <f>_xlfn.XLOOKUP(A20,'[1]ESCALA DE PRODUÇÃO'!$AL$1:$AL$1048566,'[1]ESCALA DE PRODUÇÃO'!$AK$1:$AK$1048566,"0")</f>
        <v>0</v>
      </c>
      <c r="E20" s="32" t="str">
        <f>_xlfn.XLOOKUP(A20,'[1]ESCALA DE PRODUÇÃO'!$A$4:$A$42,'[1]ESCALA DE PRODUÇÃO'!$C$4:$C$42,"0")</f>
        <v>0</v>
      </c>
      <c r="F20" s="45" t="str">
        <f>IFERROR(C20/E20,"0")</f>
        <v>0</v>
      </c>
      <c r="G20" s="30" t="str">
        <f>_xlfn.XLOOKUP(A20,'[1]ESCALA DE PRODUÇÃO'!$AL$1:$AL$1048566,'[1]ESCALA DE PRODUÇÃO'!$AM$1:$AM$1048566,"SEM PREÇO")</f>
        <v>SEM PREÇO</v>
      </c>
      <c r="H20" s="33" t="str">
        <f>IFERROR(C20*G20,"0")</f>
        <v>0</v>
      </c>
      <c r="I20" s="50" t="str">
        <f>_xlfn.XLOOKUP(A20,'DADOS DE VENDA'!A:A,'DADOS DE VENDA'!D:D,"SEM VENDA")</f>
        <v>SEM VENDA</v>
      </c>
      <c r="J20" s="42" t="str">
        <f>IFERROR(I20/E20,"0")</f>
        <v>0</v>
      </c>
      <c r="K20" s="43" t="str">
        <f>IFERROR(I20*G20,"0")</f>
        <v>0</v>
      </c>
      <c r="L20" s="51" t="str">
        <f>_xlfn.XLOOKUP(A20,'DADOS DE VENDA'!A:A,'DADOS DE VENDA'!E:E,"RUPTURA NO PERIODO")</f>
        <v>RUPTURA NO PERIODO</v>
      </c>
      <c r="M20" s="88" t="str" cm="1">
        <f t="array" ref="M20">_xlfn.IFS(C20&lt;I20,"ABAIXO",C20&gt;I20,"ACIMA",C20=I20,"OK")</f>
        <v>ABAIXO</v>
      </c>
      <c r="P20" s="87">
        <f>('[1]ESCALA DE PRODUÇÃO'!Q19)</f>
        <v>8323</v>
      </c>
      <c r="Q20" s="29" t="str">
        <f>_xlfn.XLOOKUP(P20,'[1]ESCALA DE PRODUÇÃO'!$AL$1:$AL$1048566,'[1]ESCALA DE PRODUÇÃO'!$AJ$1:$AJ$1048566,"NÃO ENCOTRADO")</f>
        <v>008323 - ROTISSERIA FAROFA BENDITO KG</v>
      </c>
      <c r="R20" s="44">
        <f t="shared" si="0"/>
        <v>0</v>
      </c>
      <c r="S20" s="45" t="str">
        <f t="shared" si="1"/>
        <v>0</v>
      </c>
    </row>
    <row r="21" spans="1:19" ht="15" thickBot="1" x14ac:dyDescent="0.4">
      <c r="A21" s="28" t="str">
        <f>('[1]ESCALA DE PRODUÇÃO'!AF21)</f>
        <v>COD</v>
      </c>
      <c r="B21" s="6" t="s">
        <v>169</v>
      </c>
      <c r="C21" s="3" t="s">
        <v>2</v>
      </c>
      <c r="D21" s="3" t="s">
        <v>106</v>
      </c>
      <c r="E21" s="3" t="s">
        <v>4</v>
      </c>
      <c r="F21" s="3" t="s">
        <v>6</v>
      </c>
      <c r="G21" s="4" t="s">
        <v>3</v>
      </c>
      <c r="H21" s="3" t="s">
        <v>5</v>
      </c>
      <c r="I21" s="7" t="s">
        <v>157</v>
      </c>
      <c r="J21" s="7" t="s">
        <v>152</v>
      </c>
      <c r="K21" s="7" t="s">
        <v>153</v>
      </c>
      <c r="L21" s="3" t="s">
        <v>104</v>
      </c>
      <c r="M21" s="86" t="s">
        <v>105</v>
      </c>
      <c r="P21" s="85" t="s">
        <v>8</v>
      </c>
      <c r="Q21" s="6" t="s">
        <v>169</v>
      </c>
      <c r="R21" s="3" t="s">
        <v>2</v>
      </c>
      <c r="S21" s="3" t="s">
        <v>6</v>
      </c>
    </row>
    <row r="22" spans="1:19" ht="19" thickBot="1" x14ac:dyDescent="0.5">
      <c r="A22" s="28">
        <f>('[1]ESCALA DE PRODUÇÃO'!AF22)</f>
        <v>93583</v>
      </c>
      <c r="B22" s="29" t="str">
        <f>_xlfn.XLOOKUP(A22,'[1]ESCALA DE PRODUÇÃO'!$AL$1:$AL$1048566,'[1]ESCALA DE PRODUÇÃO'!$AJ$1:$AJ$1048566,"NÃO ENCOTRADO")</f>
        <v>093583 - ASS.FRANGO BENDITO INTEIRO</v>
      </c>
      <c r="C22" s="44">
        <v>0</v>
      </c>
      <c r="D22" s="28" t="str">
        <f>_xlfn.XLOOKUP(A22,'[1]ESCALA DE PRODUÇÃO'!$AL$1:$AL$1048566,'[1]ESCALA DE PRODUÇÃO'!$AK$1:$AK$1048566,"0")</f>
        <v>UN/0001</v>
      </c>
      <c r="E22" s="32" t="str">
        <f>_xlfn.XLOOKUP(A22,'[1]ESCALA DE PRODUÇÃO'!$A$4:$A$42,'[1]ESCALA DE PRODUÇÃO'!$C$4:$C$42,"0")</f>
        <v>0</v>
      </c>
      <c r="F22" s="45" t="str">
        <f>IFERROR(C22/E22,"0")</f>
        <v>0</v>
      </c>
      <c r="G22" s="30">
        <f>_xlfn.XLOOKUP(A22,'[1]ESCALA DE PRODUÇÃO'!$AL$1:$AL$1048566,'[1]ESCALA DE PRODUÇÃO'!$AM$1:$AM$1048566,"SEM PREÇO")</f>
        <v>45.9</v>
      </c>
      <c r="H22" s="33">
        <f>IFERROR(C22*G22,"0")</f>
        <v>0</v>
      </c>
      <c r="I22" s="50" t="str">
        <f>_xlfn.XLOOKUP(A22,'DADOS DE VENDA'!A:A,'DADOS DE VENDA'!D:D,"SEM VENDA")</f>
        <v>SEM VENDA</v>
      </c>
      <c r="J22" s="42" t="str">
        <f>IFERROR(I22/E22,"0")</f>
        <v>0</v>
      </c>
      <c r="K22" s="43" t="str">
        <f>IFERROR(I22*G22,"0")</f>
        <v>0</v>
      </c>
      <c r="L22" s="51" t="str">
        <f>_xlfn.XLOOKUP(A22,'DADOS DE VENDA'!A:A,'DADOS DE VENDA'!E:E,"RUPTURA NO PERIODO")</f>
        <v>RUPTURA NO PERIODO</v>
      </c>
      <c r="M22" s="88" t="str" cm="1">
        <f t="array" ref="M22">_xlfn.IFS(C22&lt;I22,"ABAIXO",C22&gt;I22,"ACIMA",C22=I22,"OK")</f>
        <v>ABAIXO</v>
      </c>
      <c r="P22" s="87">
        <f>('[1]ESCALA DE PRODUÇÃO'!Q21)</f>
        <v>8804</v>
      </c>
      <c r="Q22" s="29" t="str">
        <f>_xlfn.XLOOKUP(P22,'[1]ESCALA DE PRODUÇÃO'!$AL$1:$AL$1048566,'[1]ESCALA DE PRODUÇÃO'!$AJ$1:$AJ$1048566,"NÃO ENCOTRADO")</f>
        <v>008804 - ROTISSERIA SOBRECOXA RECHEADA BENDITO KG</v>
      </c>
      <c r="R22" s="44">
        <f t="shared" si="0"/>
        <v>0</v>
      </c>
      <c r="S22" s="45" t="str">
        <f t="shared" si="1"/>
        <v>0</v>
      </c>
    </row>
    <row r="23" spans="1:19" ht="19" thickBot="1" x14ac:dyDescent="0.5">
      <c r="A23" s="28">
        <f>('[1]ESCALA DE PRODUÇÃO'!AF23)</f>
        <v>0</v>
      </c>
      <c r="B23" s="29" t="str">
        <f>_xlfn.XLOOKUP(A23,'[1]ESCALA DE PRODUÇÃO'!$AL$1:$AL$1048566,'[1]ESCALA DE PRODUÇÃO'!$AJ$1:$AJ$1048566,"NÃO ENCOTRADO")</f>
        <v>NÃO ENCOTRADO</v>
      </c>
      <c r="C23" s="44">
        <v>0</v>
      </c>
      <c r="D23" s="28" t="str">
        <f>_xlfn.XLOOKUP(A23,'[1]ESCALA DE PRODUÇÃO'!$AL$1:$AL$1048566,'[1]ESCALA DE PRODUÇÃO'!$AK$1:$AK$1048566,"0")</f>
        <v>0</v>
      </c>
      <c r="E23" s="32" t="str">
        <f>_xlfn.XLOOKUP(A23,'[1]ESCALA DE PRODUÇÃO'!$A$4:$A$42,'[1]ESCALA DE PRODUÇÃO'!$C$4:$C$42,"0")</f>
        <v>0</v>
      </c>
      <c r="F23" s="45" t="str">
        <f>IFERROR(C23/E23,"0")</f>
        <v>0</v>
      </c>
      <c r="G23" s="30" t="str">
        <f>_xlfn.XLOOKUP(A23,'[1]ESCALA DE PRODUÇÃO'!$AL$1:$AL$1048566,'[1]ESCALA DE PRODUÇÃO'!$AM$1:$AM$1048566,"SEM PREÇO")</f>
        <v>SEM PREÇO</v>
      </c>
      <c r="H23" s="33" t="str">
        <f>IFERROR(C23*G23,"0")</f>
        <v>0</v>
      </c>
      <c r="I23" s="50" t="str">
        <f>_xlfn.XLOOKUP(A23,'DADOS DE VENDA'!A:A,'DADOS DE VENDA'!D:D,"SEM VENDA")</f>
        <v>SEM VENDA</v>
      </c>
      <c r="J23" s="42" t="str">
        <f>IFERROR(I23/E23,"0")</f>
        <v>0</v>
      </c>
      <c r="K23" s="43" t="str">
        <f>IFERROR(I23*G23,"0")</f>
        <v>0</v>
      </c>
      <c r="L23" s="51" t="str">
        <f>_xlfn.XLOOKUP(A23,'DADOS DE VENDA'!A:A,'DADOS DE VENDA'!E:E,"RUPTURA NO PERIODO")</f>
        <v>RUPTURA NO PERIODO</v>
      </c>
      <c r="M23" s="88" t="str" cm="1">
        <f t="array" ref="M23">_xlfn.IFS(C23&lt;I23,"ABAIXO",C23&gt;I23,"ACIMA",C23=I23,"OK")</f>
        <v>ABAIXO</v>
      </c>
      <c r="P23" s="87">
        <f>('[1]ESCALA DE PRODUÇÃO'!Q23)</f>
        <v>0</v>
      </c>
      <c r="Q23" s="29" t="str">
        <f>_xlfn.XLOOKUP(P23,'[1]ESCALA DE PRODUÇÃO'!$AL$1:$AL$1048566,'[1]ESCALA DE PRODUÇÃO'!$AJ$1:$AJ$1048566,"NÃO ENCOTRADO")</f>
        <v>NÃO ENCOTRADO</v>
      </c>
      <c r="R23" s="44">
        <f t="shared" si="0"/>
        <v>0</v>
      </c>
      <c r="S23" s="45" t="str">
        <f t="shared" si="1"/>
        <v>0</v>
      </c>
    </row>
    <row r="24" spans="1:19" ht="19" thickBot="1" x14ac:dyDescent="0.5">
      <c r="A24" s="28">
        <f>('[1]ESCALA DE PRODUÇÃO'!AF24)</f>
        <v>2893</v>
      </c>
      <c r="B24" s="6" t="s">
        <v>170</v>
      </c>
      <c r="C24" s="3" t="s">
        <v>2</v>
      </c>
      <c r="D24" s="3" t="s">
        <v>106</v>
      </c>
      <c r="E24" s="3" t="s">
        <v>4</v>
      </c>
      <c r="F24" s="3" t="s">
        <v>6</v>
      </c>
      <c r="G24" s="4" t="s">
        <v>3</v>
      </c>
      <c r="H24" s="3" t="s">
        <v>5</v>
      </c>
      <c r="I24" s="7" t="s">
        <v>157</v>
      </c>
      <c r="J24" s="7" t="s">
        <v>152</v>
      </c>
      <c r="K24" s="7" t="s">
        <v>153</v>
      </c>
      <c r="L24" s="3" t="s">
        <v>104</v>
      </c>
      <c r="M24" s="86" t="s">
        <v>105</v>
      </c>
      <c r="P24" s="87">
        <f>('[1]ESCALA DE PRODUÇÃO'!Q24)</f>
        <v>8519</v>
      </c>
      <c r="Q24" s="29" t="str">
        <f>_xlfn.XLOOKUP(P24,'[1]ESCALA DE PRODUÇÃO'!$AL$1:$AL$1048566,'[1]ESCALA DE PRODUÇÃO'!$AJ$1:$AJ$1048566,"NÃO ENCOTRADO")</f>
        <v>008519 - ROTISSERIA COXINHA BUFALO WINGS KG</v>
      </c>
      <c r="R24" s="44" t="str">
        <f t="shared" si="0"/>
        <v>QTD</v>
      </c>
      <c r="S24" s="45" t="str">
        <f t="shared" si="1"/>
        <v>Q.PCT</v>
      </c>
    </row>
    <row r="25" spans="1:19" ht="19" thickBot="1" x14ac:dyDescent="0.5">
      <c r="A25" s="28">
        <f>('[1]ESCALA DE PRODUÇÃO'!AF25)</f>
        <v>93964</v>
      </c>
      <c r="B25" s="29" t="str">
        <f>_xlfn.XLOOKUP(A25,'[1]ESCALA DE PRODUÇÃO'!$AL$1:$AL$1048566,'[1]ESCALA DE PRODUÇÃO'!$AJ$1:$AJ$1048566,"NÃO ENCOTRADO")</f>
        <v>093964 - ROTISSERIA CUPIM ASSADO MOLHO ALHO  KG</v>
      </c>
      <c r="C25" s="44">
        <v>0</v>
      </c>
      <c r="D25" s="28" t="str">
        <f>_xlfn.XLOOKUP(A25,'[1]ESCALA DE PRODUÇÃO'!$AL$1:$AL$1048566,'[1]ESCALA DE PRODUÇÃO'!$AK$1:$AK$1048566,"0")</f>
        <v>KG/0001</v>
      </c>
      <c r="E25" s="32" t="str">
        <f>_xlfn.XLOOKUP(A25,'[1]ESCALA DE PRODUÇÃO'!$A$4:$A$42,'[1]ESCALA DE PRODUÇÃO'!$C$4:$C$42,"0")</f>
        <v>0</v>
      </c>
      <c r="F25" s="45" t="str">
        <f>IFERROR(C25/E25,"0")</f>
        <v>0</v>
      </c>
      <c r="G25" s="30">
        <f>_xlfn.XLOOKUP(A25,'[1]ESCALA DE PRODUÇÃO'!$AL$1:$AL$1048566,'[1]ESCALA DE PRODUÇÃO'!$AM$1:$AM$1048566,"SEM PREÇO")</f>
        <v>99.9</v>
      </c>
      <c r="H25" s="33">
        <f>IFERROR(C25*G25,"0")</f>
        <v>0</v>
      </c>
      <c r="I25" s="50" t="str">
        <f>_xlfn.XLOOKUP(A25,'DADOS DE VENDA'!A:A,'DADOS DE VENDA'!D:D,"SEM VENDA")</f>
        <v>SEM VENDA</v>
      </c>
      <c r="J25" s="42" t="str">
        <f>IFERROR(I25/E25,"0")</f>
        <v>0</v>
      </c>
      <c r="K25" s="43" t="str">
        <f>IFERROR(I25*G25,"0")</f>
        <v>0</v>
      </c>
      <c r="L25" s="51" t="str">
        <f>_xlfn.XLOOKUP(A25,'DADOS DE VENDA'!A:A,'DADOS DE VENDA'!E:E,"RUPTURA NO PERIODO")</f>
        <v>RUPTURA NO PERIODO</v>
      </c>
      <c r="M25" s="88" t="str" cm="1">
        <f t="array" ref="M25">_xlfn.IFS(C25&lt;I25,"ABAIXO",C25&gt;I25,"ACIMA",C25=I25,"OK")</f>
        <v>ABAIXO</v>
      </c>
      <c r="P25" s="85" t="s">
        <v>8</v>
      </c>
      <c r="Q25" s="6" t="s">
        <v>170</v>
      </c>
      <c r="R25" s="3" t="s">
        <v>2</v>
      </c>
      <c r="S25" s="3" t="s">
        <v>6</v>
      </c>
    </row>
    <row r="26" spans="1:19" ht="19" thickBot="1" x14ac:dyDescent="0.5">
      <c r="A26" s="67">
        <f>('[1]ESCALA DE PRODUÇÃO'!AF26)</f>
        <v>8484</v>
      </c>
      <c r="B26" s="68" t="str">
        <f>_xlfn.XLOOKUP(A26,'[1]ESCALA DE PRODUÇÃO'!$AL$1:$AL$1048566,'[1]ESCALA DE PRODUÇÃO'!$AJ$1:$AJ$1048566,"NÃO ENCOTRADO")</f>
        <v>008484 - ROTISSERIA MAMINHA ASSADA BENDITO KG</v>
      </c>
      <c r="C26" s="69">
        <v>0</v>
      </c>
      <c r="D26" s="67" t="str">
        <f>_xlfn.XLOOKUP(A26,'[1]ESCALA DE PRODUÇÃO'!$AL$1:$AL$1048566,'[1]ESCALA DE PRODUÇÃO'!$AK$1:$AK$1048566,"0")</f>
        <v>KG/0001</v>
      </c>
      <c r="E26" s="70" t="str">
        <f>_xlfn.XLOOKUP(A26,'[1]ESCALA DE PRODUÇÃO'!$A$4:$A$42,'[1]ESCALA DE PRODUÇÃO'!$C$4:$C$42,"0")</f>
        <v>0</v>
      </c>
      <c r="F26" s="71" t="str">
        <f>IFERROR(C26/E26,"0")</f>
        <v>0</v>
      </c>
      <c r="G26" s="72">
        <f>_xlfn.XLOOKUP(A26,'[1]ESCALA DE PRODUÇÃO'!$AL$1:$AL$1048566,'[1]ESCALA DE PRODUÇÃO'!$AM$1:$AM$1048566,"SEM PREÇO")</f>
        <v>115.9</v>
      </c>
      <c r="H26" s="73">
        <f>IFERROR(C26*G26,"0")</f>
        <v>0</v>
      </c>
      <c r="I26" s="74" t="str">
        <f>_xlfn.XLOOKUP(A26,'DADOS DE VENDA'!A:A,'DADOS DE VENDA'!D:D,"SEM VENDA")</f>
        <v>SEM VENDA</v>
      </c>
      <c r="J26" s="75" t="str">
        <f>IFERROR(I26/E26,"0")</f>
        <v>0</v>
      </c>
      <c r="K26" s="76" t="str">
        <f>IFERROR(I26*G26,"0")</f>
        <v>0</v>
      </c>
      <c r="L26" s="77" t="str">
        <f>_xlfn.XLOOKUP(A26,'DADOS DE VENDA'!A:A,'DADOS DE VENDA'!E:E,"RUPTURA NO PERIODO")</f>
        <v>RUPTURA NO PERIODO</v>
      </c>
      <c r="M26" s="102" t="str" cm="1">
        <f t="array" ref="M26">_xlfn.IFS(C26&lt;I26,"ABAIXO",C26&gt;I26,"ACIMA",C26=I26,"OK")</f>
        <v>ABAIXO</v>
      </c>
      <c r="P26" s="87">
        <f>('[1]ESCALA DE PRODUÇÃO'!Q26)</f>
        <v>8671</v>
      </c>
      <c r="Q26" s="29" t="str">
        <f>_xlfn.XLOOKUP(P26,'[1]ESCALA DE PRODUÇÃO'!$AL$1:$AL$1048566,'[1]ESCALA DE PRODUÇÃO'!$AJ$1:$AJ$1048566,"NÃO ENCOTRADO")</f>
        <v>008671 - ROTISSERIA SALADA BATATONESE BENDITO KG</v>
      </c>
      <c r="R26" s="44">
        <f t="shared" si="0"/>
        <v>0</v>
      </c>
      <c r="S26" s="45" t="str">
        <f t="shared" si="1"/>
        <v>0</v>
      </c>
    </row>
    <row r="27" spans="1:19" ht="19" thickBot="1" x14ac:dyDescent="0.5">
      <c r="A27" s="109">
        <f>('[1]ESCALA DE PRODUÇÃO'!AF27)</f>
        <v>8274</v>
      </c>
      <c r="B27" s="110" t="s">
        <v>176</v>
      </c>
      <c r="C27" s="110" t="s">
        <v>173</v>
      </c>
      <c r="D27" s="187"/>
      <c r="E27" s="188"/>
      <c r="F27" s="111" t="s">
        <v>174</v>
      </c>
      <c r="G27" s="189">
        <f>SUM(H4+H5+H6+H8+H9+H10+H12+H13+H15+H16+H18+H19+H20+H22+H23+H25+H26)</f>
        <v>0</v>
      </c>
      <c r="H27" s="190"/>
      <c r="I27" s="111" t="s">
        <v>175</v>
      </c>
      <c r="J27" s="191">
        <f>SUM(K4+K5+K6+K8+K9+K10+K12+K13+K15+K16+K18+K19+K20+K22+K23+K25+K26)</f>
        <v>0</v>
      </c>
      <c r="K27" s="192"/>
      <c r="L27" s="112"/>
      <c r="M27" s="113"/>
      <c r="P27" s="89">
        <f>('[1]ESCALA DE PRODUÇÃO'!Q27)</f>
        <v>8839</v>
      </c>
      <c r="Q27" s="90" t="str">
        <f>_xlfn.XLOOKUP(P27,'[1]ESCALA DE PRODUÇÃO'!$AL$1:$AL$1048566,'[1]ESCALA DE PRODUÇÃO'!$AJ$1:$AJ$1048566,"NÃO ENCOTRADO")</f>
        <v>008839 - ROTISSERIA TABULE BENDITO KG</v>
      </c>
      <c r="R27" s="69" t="str">
        <f t="shared" si="0"/>
        <v>META</v>
      </c>
      <c r="S27" s="45" t="str">
        <f t="shared" si="1"/>
        <v>PEDIDO</v>
      </c>
    </row>
    <row r="28" spans="1:19" ht="19" thickBot="1" x14ac:dyDescent="0.5">
      <c r="C28" s="78"/>
      <c r="E28" s="114"/>
      <c r="F28" s="117"/>
      <c r="G28" s="80"/>
      <c r="H28" s="80"/>
      <c r="I28" s="81"/>
      <c r="J28" s="115"/>
      <c r="K28" s="83"/>
      <c r="M28" s="84"/>
      <c r="P28" s="147" t="s">
        <v>5</v>
      </c>
      <c r="Q28" s="148"/>
      <c r="R28" s="149">
        <f>G28</f>
        <v>0</v>
      </c>
      <c r="S28" s="150"/>
    </row>
    <row r="29" spans="1:19" ht="18.5" x14ac:dyDescent="0.45">
      <c r="C29" s="78"/>
      <c r="E29" s="114"/>
      <c r="F29" s="117"/>
      <c r="G29" s="80"/>
      <c r="H29" s="80"/>
      <c r="I29" s="81"/>
      <c r="J29" s="115"/>
      <c r="K29" s="83"/>
      <c r="M29" s="84"/>
    </row>
  </sheetData>
  <mergeCells count="12">
    <mergeCell ref="A1:M1"/>
    <mergeCell ref="A2:B2"/>
    <mergeCell ref="C2:H2"/>
    <mergeCell ref="I2:M2"/>
    <mergeCell ref="D27:E27"/>
    <mergeCell ref="G27:H27"/>
    <mergeCell ref="J27:K27"/>
    <mergeCell ref="P1:Q1"/>
    <mergeCell ref="P2:Q2"/>
    <mergeCell ref="R2:S2"/>
    <mergeCell ref="P28:Q28"/>
    <mergeCell ref="R28:S28"/>
  </mergeCells>
  <conditionalFormatting sqref="I4:I6 I8:I10 I12:I13 I15:I16 I18:I20 I22:I23 I25:I26">
    <cfRule type="containsText" dxfId="3" priority="9" operator="containsText" text="SEM VENDA">
      <formula>NOT(ISERROR(SEARCH("SEM VENDA",I4)))</formula>
    </cfRule>
  </conditionalFormatting>
  <conditionalFormatting sqref="L4:L6 L8:L10 L12:L13 L15:L16 L18:L20 L22:L23 L25:L27">
    <cfRule type="containsText" dxfId="1" priority="10" operator="containsText" text="RUPTURA NO PERIODO">
      <formula>NOT(ISERROR(SEARCH("RUPTURA NO PERIODO",L4)))</formula>
    </cfRule>
  </conditionalFormatting>
  <pageMargins left="0.25" right="0.25" top="0.75" bottom="0.75" header="0.3" footer="0.3"/>
  <pageSetup scale="85" orientation="landscape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id="{EF9B75D5-BFE3-493B-A407-423E9889B91E}">
            <xm:f>NOT(ISERROR(SEARCH($I$4,I28)))</xm:f>
            <xm:f>$I$4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I28:I29</xm:sqref>
        </x14:conditionalFormatting>
        <x14:conditionalFormatting xmlns:xm="http://schemas.microsoft.com/office/excel/2006/main">
          <x14:cfRule type="containsText" priority="11" operator="containsText" id="{D4FCCFC1-3A90-48CC-A695-23D5A3834B8A}">
            <xm:f>NOT(ISERROR(SEARCH($L$4,L28)))</xm:f>
            <xm:f>$L$4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L28:L29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DADOS DE VENDA</vt:lpstr>
      <vt:lpstr>SEGUNDA</vt:lpstr>
      <vt:lpstr>TERÇA</vt:lpstr>
      <vt:lpstr>QUARTA</vt:lpstr>
      <vt:lpstr>QUINTA</vt:lpstr>
      <vt:lpstr>SEXTA</vt:lpstr>
      <vt:lpstr>SABADO</vt:lpstr>
      <vt:lpstr>DOMINGO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Descontao</dc:creator>
  <cp:lastModifiedBy>Virgilio Oliveira Filho</cp:lastModifiedBy>
  <cp:lastPrinted>2026-01-27T15:30:35Z</cp:lastPrinted>
  <dcterms:created xsi:type="dcterms:W3CDTF">2015-06-05T18:17:20Z</dcterms:created>
  <dcterms:modified xsi:type="dcterms:W3CDTF">2026-01-27T19:14:26Z</dcterms:modified>
</cp:coreProperties>
</file>