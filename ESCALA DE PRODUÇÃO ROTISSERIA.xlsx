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APP COZINHA\"/>
    </mc:Choice>
  </mc:AlternateContent>
  <xr:revisionPtr revIDLastSave="0" documentId="13_ncr:1_{C34C802C-0360-4DC2-BE17-B6845565F6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CALA DE PRODUÇÃO" sheetId="1" r:id="rId1"/>
  </sheets>
  <definedNames>
    <definedName name="_xlnm._FilterDatabase" localSheetId="0" hidden="1">'ESCALA DE PRODUÇÃO'!$AC$1:$AF$368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4" i="1" l="1"/>
  <c r="R43" i="1"/>
  <c r="F24" i="1"/>
  <c r="F23" i="1"/>
  <c r="B24" i="1"/>
  <c r="B23" i="1"/>
  <c r="N22" i="1" l="1"/>
  <c r="B3" i="1"/>
  <c r="B4" i="1"/>
  <c r="N3" i="1"/>
  <c r="J3" i="1"/>
  <c r="F46" i="1"/>
  <c r="F42" i="1"/>
  <c r="F44" i="1"/>
  <c r="F45" i="1"/>
  <c r="F41" i="1"/>
  <c r="F38" i="1"/>
  <c r="F39" i="1"/>
  <c r="F37" i="1"/>
  <c r="F33" i="1"/>
  <c r="F30" i="1"/>
  <c r="F31" i="1"/>
  <c r="F29" i="1"/>
  <c r="F27" i="1"/>
  <c r="F26" i="1"/>
  <c r="B39" i="1"/>
  <c r="B38" i="1"/>
  <c r="B37" i="1"/>
  <c r="B35" i="1"/>
  <c r="B34" i="1"/>
  <c r="B33" i="1"/>
  <c r="B31" i="1"/>
  <c r="B30" i="1"/>
  <c r="B29" i="1"/>
  <c r="B27" i="1"/>
  <c r="B26" i="1"/>
  <c r="B21" i="1"/>
  <c r="B18" i="1"/>
  <c r="B15" i="1"/>
  <c r="B14" i="1"/>
  <c r="B7" i="1"/>
  <c r="B5" i="1"/>
  <c r="B17" i="1"/>
  <c r="B9" i="1"/>
  <c r="B8" i="1"/>
  <c r="B12" i="1"/>
  <c r="B19" i="1"/>
  <c r="B41" i="1"/>
  <c r="B50" i="1"/>
  <c r="B49" i="1"/>
  <c r="B48" i="1"/>
  <c r="B47" i="1"/>
  <c r="B42" i="1"/>
  <c r="B11" i="1"/>
  <c r="F3" i="1"/>
  <c r="F5" i="1"/>
  <c r="F4" i="1"/>
  <c r="F7" i="1"/>
  <c r="F9" i="1"/>
  <c r="F8" i="1"/>
  <c r="F11" i="1"/>
  <c r="F12" i="1"/>
  <c r="F14" i="1"/>
  <c r="F15" i="1"/>
  <c r="F17" i="1"/>
  <c r="F19" i="1"/>
  <c r="F18" i="1"/>
  <c r="F21" i="1"/>
  <c r="J5" i="1"/>
  <c r="J4" i="1"/>
  <c r="J7" i="1"/>
  <c r="J9" i="1"/>
  <c r="J8" i="1"/>
  <c r="J11" i="1"/>
  <c r="J12" i="1"/>
  <c r="J14" i="1"/>
  <c r="J15" i="1"/>
  <c r="J17" i="1"/>
  <c r="J19" i="1"/>
  <c r="J18" i="1"/>
  <c r="J21" i="1"/>
  <c r="J24" i="1"/>
  <c r="J26" i="1"/>
  <c r="J27" i="1"/>
  <c r="J29" i="1"/>
  <c r="J31" i="1"/>
  <c r="J30" i="1"/>
  <c r="J33" i="1"/>
  <c r="J35" i="1"/>
  <c r="J34" i="1"/>
  <c r="J37" i="1"/>
  <c r="J39" i="1"/>
  <c r="J38" i="1"/>
  <c r="J41" i="1"/>
  <c r="J44" i="1"/>
  <c r="J42" i="1"/>
  <c r="J46" i="1"/>
  <c r="J49" i="1"/>
  <c r="J48" i="1"/>
  <c r="J47" i="1"/>
  <c r="N5" i="1"/>
  <c r="N4" i="1"/>
  <c r="N7" i="1"/>
  <c r="N9" i="1"/>
  <c r="N8" i="1"/>
  <c r="N11" i="1"/>
  <c r="N12" i="1"/>
  <c r="N14" i="1"/>
  <c r="N15" i="1"/>
  <c r="N17" i="1"/>
  <c r="N19" i="1"/>
  <c r="N18" i="1"/>
  <c r="N21" i="1"/>
  <c r="N24" i="1"/>
  <c r="N26" i="1"/>
  <c r="N27" i="1"/>
  <c r="N29" i="1"/>
  <c r="N31" i="1"/>
  <c r="N30" i="1"/>
  <c r="N33" i="1"/>
  <c r="N35" i="1"/>
  <c r="N34" i="1"/>
  <c r="N37" i="1"/>
  <c r="N39" i="1"/>
  <c r="N38" i="1"/>
  <c r="N41" i="1"/>
  <c r="N44" i="1"/>
  <c r="N42" i="1"/>
  <c r="N46" i="1"/>
  <c r="N49" i="1"/>
  <c r="N48" i="1"/>
  <c r="N47" i="1"/>
  <c r="R3" i="1"/>
  <c r="R5" i="1"/>
  <c r="R4" i="1"/>
  <c r="R7" i="1"/>
  <c r="R9" i="1"/>
  <c r="R8" i="1"/>
  <c r="R11" i="1"/>
  <c r="R12" i="1"/>
  <c r="R14" i="1"/>
  <c r="R15" i="1"/>
  <c r="R17" i="1"/>
  <c r="R19" i="1"/>
  <c r="R18" i="1"/>
  <c r="R21" i="1"/>
  <c r="R24" i="1"/>
  <c r="R26" i="1"/>
  <c r="R27" i="1"/>
  <c r="R29" i="1"/>
  <c r="R31" i="1"/>
  <c r="R30" i="1"/>
  <c r="R33" i="1"/>
  <c r="R35" i="1"/>
  <c r="R34" i="1"/>
  <c r="R37" i="1"/>
  <c r="R39" i="1"/>
  <c r="R38" i="1"/>
  <c r="R41" i="1"/>
  <c r="R42" i="1"/>
  <c r="R46" i="1"/>
  <c r="R49" i="1"/>
  <c r="R48" i="1"/>
  <c r="R47" i="1"/>
  <c r="V3" i="1"/>
  <c r="V5" i="1"/>
  <c r="V4" i="1"/>
  <c r="V7" i="1"/>
  <c r="V9" i="1"/>
  <c r="V8" i="1"/>
  <c r="V11" i="1"/>
  <c r="V12" i="1"/>
  <c r="V14" i="1"/>
  <c r="V15" i="1"/>
  <c r="V17" i="1"/>
  <c r="V19" i="1"/>
  <c r="V18" i="1"/>
  <c r="V48" i="1"/>
  <c r="V50" i="1"/>
  <c r="V49" i="1"/>
  <c r="V52" i="1"/>
  <c r="V54" i="1"/>
  <c r="V53" i="1"/>
  <c r="V56" i="1"/>
  <c r="V59" i="1"/>
  <c r="V58" i="1"/>
  <c r="V57" i="1"/>
  <c r="Z4" i="1"/>
  <c r="Z6" i="1"/>
  <c r="Z5" i="1"/>
  <c r="Z9" i="1"/>
  <c r="Z11" i="1"/>
  <c r="Z13" i="1"/>
  <c r="Z14" i="1"/>
  <c r="Z17" i="1"/>
  <c r="Z19" i="1"/>
  <c r="Z18" i="1"/>
  <c r="Z10" i="1"/>
  <c r="Z15" i="1"/>
  <c r="Z7" i="1"/>
  <c r="B45" i="1"/>
  <c r="B44" i="1"/>
  <c r="B22" i="1"/>
  <c r="F22" i="1"/>
  <c r="J22" i="1"/>
  <c r="R22" i="1"/>
  <c r="Z31" i="1"/>
  <c r="Z30" i="1"/>
  <c r="Z29" i="1"/>
  <c r="Z28" i="1"/>
  <c r="Z27" i="1"/>
  <c r="Z26" i="1"/>
  <c r="V27" i="1"/>
  <c r="Z25" i="1"/>
  <c r="V26" i="1"/>
  <c r="Z24" i="1"/>
  <c r="Z22" i="1"/>
  <c r="V24" i="1"/>
  <c r="V22" i="1"/>
  <c r="V21" i="1"/>
  <c r="V46" i="1"/>
  <c r="V45" i="1"/>
  <c r="V44" i="1"/>
  <c r="V41" i="1"/>
  <c r="V40" i="1"/>
  <c r="V39" i="1"/>
  <c r="V29" i="1"/>
  <c r="V30" i="1"/>
  <c r="V31" i="1"/>
  <c r="V32" i="1"/>
  <c r="V33" i="1"/>
  <c r="V34" i="1"/>
  <c r="V35" i="1"/>
  <c r="V36" i="1"/>
  <c r="V37" i="1"/>
  <c r="F49" i="1" l="1"/>
  <c r="F50" i="1"/>
  <c r="F51" i="1"/>
  <c r="F48" i="1"/>
  <c r="F34" i="1"/>
  <c r="F35" i="1"/>
</calcChain>
</file>

<file path=xl/sharedStrings.xml><?xml version="1.0" encoding="utf-8"?>
<sst xmlns="http://schemas.openxmlformats.org/spreadsheetml/2006/main" count="1816" uniqueCount="865">
  <si>
    <t>COD</t>
  </si>
  <si>
    <t>PRODUTO</t>
  </si>
  <si>
    <t>Produto</t>
  </si>
  <si>
    <t>Embalagem</t>
  </si>
  <si>
    <t>Código de Barras</t>
  </si>
  <si>
    <t>Preço Venda</t>
  </si>
  <si>
    <t>KG/0001</t>
  </si>
  <si>
    <t>UN/0001</t>
  </si>
  <si>
    <t>PESO  P/PCT</t>
  </si>
  <si>
    <t>MASSAS/PATES/MOLHOS/ETC</t>
  </si>
  <si>
    <t>093583 - ASS.FRANGO BENDITO INTEIRO</t>
  </si>
  <si>
    <t>002893 - ASS.FRANGO METADE BENDITO UNIDADE</t>
  </si>
  <si>
    <t>002353 - COGUMELO FATIADO KG</t>
  </si>
  <si>
    <t xml:space="preserve">005877 - COGUMELO INTEIRO KG </t>
  </si>
  <si>
    <t>002028 - ERVILHA CONGELADA KG</t>
  </si>
  <si>
    <t>035607 - ERVILHA LATA 1,7KG</t>
  </si>
  <si>
    <t>007337 -  F. PROPRIA ISCA DE FRANGO A MILANESA  KG</t>
  </si>
  <si>
    <t>006911 - GORDURA VEGETAL PARA FRITADEIRA KG</t>
  </si>
  <si>
    <t>006270 - HMP SAL KG</t>
  </si>
  <si>
    <t>KG/0012</t>
  </si>
  <si>
    <t>006272 - HMP SALSA  KG</t>
  </si>
  <si>
    <t>006268 - HMP VINAGRE KG</t>
  </si>
  <si>
    <t>007581 - MEDALHAO QUIABO COM BACON BENDITO KG</t>
  </si>
  <si>
    <t>003361 - MILHO VERDE EM CONSERVA LATA 1,7KG (COLOCAR PRECO KG)</t>
  </si>
  <si>
    <t>007570 - MOLHO PESTO BENDITO KG</t>
  </si>
  <si>
    <t>009177 - MP ALGA P/SUSHI KG</t>
  </si>
  <si>
    <t>009167 - MP ARROZ JAPONES KG</t>
  </si>
  <si>
    <t>009196 - MP FARINHA PANKO KG</t>
  </si>
  <si>
    <t>009197 - MP MOLHO AGRIDOCE KG</t>
  </si>
  <si>
    <t>009199 - MP MOLHO SHOYU KG</t>
  </si>
  <si>
    <t>009178 - MP MOLHO TARE KG</t>
  </si>
  <si>
    <t>002753 - OLEO COMP.SOJA/AZEITE GALAO (COLOCAR PRECO POR LITRO)</t>
  </si>
  <si>
    <t>KG/0005</t>
  </si>
  <si>
    <t>006671 - OLEO DE ALGODAO GALAO (PRECO POR LITRO)</t>
  </si>
  <si>
    <t>035544 - OLEO SOJA GALAO (COLOCAR PRECO POR LITRO)</t>
  </si>
  <si>
    <t>001895 - OLEO SOJA  LT (GALAO)</t>
  </si>
  <si>
    <t>102365 - PADARIA TABUA DE FRIOS  KG</t>
  </si>
  <si>
    <t>002173 - PALMITO PUPUNHA PICADO KG</t>
  </si>
  <si>
    <t xml:space="preserve">007573 - PATE DE ATUM BENDITO KG </t>
  </si>
  <si>
    <t xml:space="preserve">007574 - PATE DE AZEITONA PRETA BENDITO KG </t>
  </si>
  <si>
    <t>007575 - PATE DE AZEITONA VERDE BENDITO KG</t>
  </si>
  <si>
    <t xml:space="preserve">007576 - PATE DE GORGONZOLA BENDITO KG </t>
  </si>
  <si>
    <t xml:space="preserve">008079 - PATE DE NOZES BENDITO KG </t>
  </si>
  <si>
    <t>007580 - PATE DE TOMATE SECO BENDITO KG</t>
  </si>
  <si>
    <t>007582 - PRATO EXECUTIVO FIT BENDITO UND</t>
  </si>
  <si>
    <t>007590 - REFEICAO ALMONDEGA BENDITO UN</t>
  </si>
  <si>
    <t>007602 - REFEICAO ARROZ E FILE FRANGO MILANESA BENDITO UN</t>
  </si>
  <si>
    <t>007606 - REFEICAO BIFE ACEBOLADO BENDITO UN</t>
  </si>
  <si>
    <t>007608 - REFEICAO BIFE A PARMEGIANA BENDITO UN</t>
  </si>
  <si>
    <t>007607 - REFEICAO BIFE A ROLE BENDITO UN</t>
  </si>
  <si>
    <t>007609 - REFEICAO CARNE ASSADA BENDITO UN</t>
  </si>
  <si>
    <t>007610 - REFEICAO CARNE BOV+LINGUICA UND - REDONDA BENDITO</t>
  </si>
  <si>
    <t>007621 - REFEICAO CARNE MOIDA C/LEGUMES BENDITO UN</t>
  </si>
  <si>
    <t>007625 - REFEICAO CARNE PANELA BENDITO UN</t>
  </si>
  <si>
    <t>035999 - REFEICAO CARNE PANELA BENDITO UN</t>
  </si>
  <si>
    <t>007623 - REFEICAO CARNE PANELA REDONDA BENDITO</t>
  </si>
  <si>
    <t>035998 - REFEICAO CARNE PANELA REDONDA BENDITO</t>
  </si>
  <si>
    <t>007628 - REFEICAO COPA LOMBO ASSADO E LINGUICA REDONDA BENDITO</t>
  </si>
  <si>
    <t>007646 - REFEICAO COSTELA C.MANDIOCA UND - REDONDA BENDITO</t>
  </si>
  <si>
    <t>007647 - REFEICAO COSTELINHA PORCO ASSADA BENDITO UN</t>
  </si>
  <si>
    <t>007652 - REFEICAO COXA SOBRECOXA ASSADA BENDITO UN</t>
  </si>
  <si>
    <t>007653 - REFEICAO CUPIM M.MADEIRA BENDITO UN</t>
  </si>
  <si>
    <t>007660 - REFEICAO FEIJOADA BENDITO UN</t>
  </si>
  <si>
    <t>007661 - REFEICAO FILE FRANGO A MILANESA BENDITO</t>
  </si>
  <si>
    <t>007663 - REFEICAO FILE FRANGO A PIZZAOLA BENDITO UN</t>
  </si>
  <si>
    <t>007778 - REFEICAO LINGUICA ASSADA BENDITO UN</t>
  </si>
  <si>
    <t>007789 - REFEICAO LOMBO ASSADO BENDITO UN</t>
  </si>
  <si>
    <t>007796 - REFEICAO MEDALHAO FRANGO BENDITO UN</t>
  </si>
  <si>
    <t>007814 - REFEICAO MEDALHAO SUINO - REDONDA BENDITO</t>
  </si>
  <si>
    <t>007840 - REFEICAO PERNIL + LINGUICA UN - REDONDA BENDITO</t>
  </si>
  <si>
    <t>007845 - REFEICAO PERNIL MOLHO FERRUGEM BENDITO UN</t>
  </si>
  <si>
    <t>007860 - REFEICAO PERNIL PANELA BENDITO UN</t>
  </si>
  <si>
    <t>007863 - REFEICAO PICANHA BENDITO UN</t>
  </si>
  <si>
    <t>007867 - REFEICAO PONTA PEITO MOLHO MADEIRA BENDITO UN</t>
  </si>
  <si>
    <t>007874 - REFEICAO STROGONOFF CARNE BENDITO UN</t>
  </si>
  <si>
    <t>007875 - REFEICAO STROGONOFF FRANGO BENDITO UN</t>
  </si>
  <si>
    <t>007876 - REFEICAO TILAPIA EMPANADA BENDITO UN</t>
  </si>
  <si>
    <t>036010 - REFEICAO TILAPIA EMPANADA BENDITO UN</t>
  </si>
  <si>
    <t>007884 - REFEICAO VIRADO A PAULISTA BENDITO UN</t>
  </si>
  <si>
    <t>007943 - REF.LINGUICA.C/CATUPIRY+OVO FRITO+LEG+FAROFA BENDITO</t>
  </si>
  <si>
    <t xml:space="preserve">007887 - REF REDONDA BIFE ACEBOLADO +OVO+ BATATA BENDITO UND </t>
  </si>
  <si>
    <t>007901 - REF REDONDA BISTECA SUINA MILANESA BENDITO</t>
  </si>
  <si>
    <t>007907 - REF REDONDA CHURRASCO MAMINHA+LING+TULIPA+FAROFA BENDITO</t>
  </si>
  <si>
    <t>007923 - REF REDONDA COXINHA C/LINGUICINHA ASSADA BENDITO</t>
  </si>
  <si>
    <t>007925 - REF REDONDA COXINHA C/LINGUICINHA ASSADA BENDITO</t>
  </si>
  <si>
    <t>007927 - REF REDONDA FILE DE SOBRECOXA + LINGUICA ASSADA BENDITO</t>
  </si>
  <si>
    <t>005748 - RMP ABACATE KG</t>
  </si>
  <si>
    <t>003141 - RMP ABACAXI EM CALDA KG</t>
  </si>
  <si>
    <t>003128 - RMP ABACAXI KG</t>
  </si>
  <si>
    <t>002527 - RMP ABOBORA ITALIA KG</t>
  </si>
  <si>
    <t>002526 - RMP ABOBRINHA CAIPIRA  KG</t>
  </si>
  <si>
    <t>005394 - RMP ABOBRINHA ITALIA  KG</t>
  </si>
  <si>
    <t>003090 - RMP ABOBRINHA PAULISTA KG</t>
  </si>
  <si>
    <t xml:space="preserve">003133 - RMP ACAFRAO KG </t>
  </si>
  <si>
    <t>004275 - RMP ACELGA KG</t>
  </si>
  <si>
    <t>002590 - RMP ACUCAR CRISTAL KG</t>
  </si>
  <si>
    <t>002748 - RMP ACUCAR DEMERARA KG</t>
  </si>
  <si>
    <t>005023 - RMP ACUCAR MASCAVO KG</t>
  </si>
  <si>
    <t>002135 - RMP ALECRIM KG</t>
  </si>
  <si>
    <t>002458 - RMP ALFACE KG</t>
  </si>
  <si>
    <t>002220 - RMP ALHO A GRANEL KG</t>
  </si>
  <si>
    <t>005981 - RMP ALHO DESIDRATADO KG</t>
  </si>
  <si>
    <t>002548 - RMP ALHO PORO KG</t>
  </si>
  <si>
    <t>002080 - RMP ALHO TRITURADO KG</t>
  </si>
  <si>
    <t>003127 - RMP AMEIXA S/CAROCO KG</t>
  </si>
  <si>
    <t>002602 - RMP AMENDOIM SALGADO KG</t>
  </si>
  <si>
    <t>002481 - RMP AMIDO DE MILHO KG</t>
  </si>
  <si>
    <t>KG/0040</t>
  </si>
  <si>
    <t>005089 - RMP APRESUNTADO KG</t>
  </si>
  <si>
    <t>002036 - RMP ARROZ  INTEGRAL KG</t>
  </si>
  <si>
    <t>002104 - RMP ARROZ  KG</t>
  </si>
  <si>
    <t>005146 - RMP ARROZ  PARBORIZADO  KG</t>
  </si>
  <si>
    <t>002738 - RMP ATUM KG</t>
  </si>
  <si>
    <t>005990 - RMP AVEIA  KG</t>
  </si>
  <si>
    <t>002647 - RMP AVES CARNE ASSAR ROTISSERIE KG</t>
  </si>
  <si>
    <t>002520 - RMP AVES FRANGO P/ASSAR KG</t>
  </si>
  <si>
    <t>023524 - RMP AVES FRANGO P/ASSAR UN</t>
  </si>
  <si>
    <t>001974 - RMP AZEITE OLIVA EXTRA VIRGEM KG</t>
  </si>
  <si>
    <t>002361 - RMP AZEITONA KG</t>
  </si>
  <si>
    <t>005088 - RMP AZEITONA SEM CAROCO  KG</t>
  </si>
  <si>
    <t>005090 - RMP AZEITONA VERDE RECHEADA KG</t>
  </si>
  <si>
    <t>002319 - RMP BACALHAU  KG</t>
  </si>
  <si>
    <t>002439 - RMP BANANA FRITAR KG</t>
  </si>
  <si>
    <t>002801 - RMP BANANA NANICA KG</t>
  </si>
  <si>
    <t>005913 - RMP BANANA PRATA KG</t>
  </si>
  <si>
    <t>004414 - RMP BATATA DOCE BRANCA KG</t>
  </si>
  <si>
    <t>002550 - RMP BATATA DOCE ROXA KG</t>
  </si>
  <si>
    <t>002221 - RMP BATATA KG</t>
  </si>
  <si>
    <t>002033 - RMP BATATA PALHA KG</t>
  </si>
  <si>
    <t>003436 - RMP BATATA PALITO KG</t>
  </si>
  <si>
    <t>002342 - RMP BATATA PIRULITO KG</t>
  </si>
  <si>
    <t>002515 - RMP BERINJELA KG</t>
  </si>
  <si>
    <t>002343 - RMP BETERRABA KG</t>
  </si>
  <si>
    <t>002484 - RMP BOV CARNE MOIDA KG</t>
  </si>
  <si>
    <t>002519 - RMP BOV CARNE P/ ASSAR ROTISSERIE  KG</t>
  </si>
  <si>
    <t>005329 - RMP BOV CUPIM KG</t>
  </si>
  <si>
    <t>005330 - RMP BOV FRALDINHA KG</t>
  </si>
  <si>
    <t>006473 - RMP BOV LAGARTO KG</t>
  </si>
  <si>
    <t>002405 - RMP BOV MACA DA PALETA KG</t>
  </si>
  <si>
    <t>005943 - RMP BOV MAMINHA  KG</t>
  </si>
  <si>
    <t>002216 - RMP BOV NOA  PONTA DE CONTRA FILE PECA KG</t>
  </si>
  <si>
    <t>002412 - RMP BOV PALETA S/ OSSO KG</t>
  </si>
  <si>
    <t>006468 - RMP BOV PATINHO   KG</t>
  </si>
  <si>
    <t>002419 - RMP BOV PONTA AGULHA KG</t>
  </si>
  <si>
    <t>002406 - RMP BOV PONTA DE ALCATRA KG</t>
  </si>
  <si>
    <t>002407 - RMP BOV P.PEITO MATURATTA KG</t>
  </si>
  <si>
    <t>002196 - RMP BROCOLIS  KG</t>
  </si>
  <si>
    <t>005269 - RMP BUCHO KG</t>
  </si>
  <si>
    <t>002687 - RMP CABOTIA KG</t>
  </si>
  <si>
    <t>006780 - RMP CACHACA KG</t>
  </si>
  <si>
    <t>003747 - RMP CALDO  CARNE KG</t>
  </si>
  <si>
    <t>005258 - RMP CALDO COSTELA KG</t>
  </si>
  <si>
    <t>002300 - RMP CALDO GALINHA KG</t>
  </si>
  <si>
    <t>004576 - RMP CANELA EM PO KG</t>
  </si>
  <si>
    <t>003153 - RMP CANELONE PRESUNTO/QUEIJO KG</t>
  </si>
  <si>
    <t xml:space="preserve">003140 - RMP CANELONE QUATRO QUEIJOS KG </t>
  </si>
  <si>
    <t>005265 - RMP CAPELETTI KG</t>
  </si>
  <si>
    <t>002480 - RMP CARNE BOV MARMITEX KG</t>
  </si>
  <si>
    <t>006081 - RMP CARNE DE FRANGO  MARMITEX KG</t>
  </si>
  <si>
    <t>006082 - RMP CARNE DE PORCO  MARMITEX KG</t>
  </si>
  <si>
    <t>002017 - RMP CARNE SECA KG</t>
  </si>
  <si>
    <t>KG/0060</t>
  </si>
  <si>
    <t>003125 - RMP CASTANHA DE CAJU  KG</t>
  </si>
  <si>
    <t>003130 - RMP CASTANHA DO PARA SEM CASCA KG</t>
  </si>
  <si>
    <t>002616 - RMP CATCHUP KG</t>
  </si>
  <si>
    <t>002222 - RMP CEBOLA KG</t>
  </si>
  <si>
    <t>005434 - RMP CEBOLA PIRULITO KG</t>
  </si>
  <si>
    <t>002601 - RMP CEBOLA ROXA KG</t>
  </si>
  <si>
    <t>002339 - RMP CENOURA KG</t>
  </si>
  <si>
    <t>003143 - RMP CEREJA C/TALO  KG</t>
  </si>
  <si>
    <t>003120 - RMP CEREJA KG</t>
  </si>
  <si>
    <t>003404 - RMP CERVEJA MALZEBIR KG</t>
  </si>
  <si>
    <t>KG/0027</t>
  </si>
  <si>
    <t>002205 - RMP CHEIRO VERDE KG</t>
  </si>
  <si>
    <t>003654 - RMP CHIMICHURI KG SEM PIMENTA</t>
  </si>
  <si>
    <t>005392 - RMP CHIMICHURRI KG</t>
  </si>
  <si>
    <t>002580 - RMP CHUCHU KG</t>
  </si>
  <si>
    <t>005719 - RMP COALHO LIQUIDO KG</t>
  </si>
  <si>
    <t>005408 - RMP COENTRO KG</t>
  </si>
  <si>
    <t>003470 - RMP COLORAU KG</t>
  </si>
  <si>
    <t xml:space="preserve">005011 - RMP CONCHIGLIONE KG </t>
  </si>
  <si>
    <t>006466 - RMP COPA LOMBO  KG</t>
  </si>
  <si>
    <t>002195 - RMP COUVE FLOR KG</t>
  </si>
  <si>
    <t>002938 - RMP COUVE KG</t>
  </si>
  <si>
    <t>006465 - RMP COXINHA DA ASA KG</t>
  </si>
  <si>
    <t>002597 - RMP CRAVO DA INDIA KG</t>
  </si>
  <si>
    <t>002465 - RMP CREME CEBOLA KG</t>
  </si>
  <si>
    <t>002124 - RMP CREME DE LEITE KG</t>
  </si>
  <si>
    <t>006244 - RMP CREME MILHO  KG</t>
  </si>
  <si>
    <t>006685 - RMP ERVILHA PRONTO KG</t>
  </si>
  <si>
    <t>023371 - RMP ESPETO PARA CHURRASCO UN</t>
  </si>
  <si>
    <t>002979 - RMP ESPINAFRE KG</t>
  </si>
  <si>
    <t>002125 - RMP EXTRATO TOMATE KG</t>
  </si>
  <si>
    <t>004289 - RMP FARINHA DE MILHO KG</t>
  </si>
  <si>
    <t>003730 - RMP FARINHA MANDIOCA BRANCA KG</t>
  </si>
  <si>
    <t>002518 - RMP FARINHA MANDIOCA TORRADA KG</t>
  </si>
  <si>
    <t>003578 - RMP FARINHA MILANESA KG</t>
  </si>
  <si>
    <t>KG/0010</t>
  </si>
  <si>
    <t>002098 - RMP FARINHA TRIGO KG</t>
  </si>
  <si>
    <t>002099 - RMP FAROFA KG</t>
  </si>
  <si>
    <t>002564 - RMP FEIJAO BRANCO KG</t>
  </si>
  <si>
    <t>002024 - RMP FEIJAO KG</t>
  </si>
  <si>
    <t>002020 - RMP FEIJAO PRETO KG</t>
  </si>
  <si>
    <t>004575 - RMP FERMENTO KG</t>
  </si>
  <si>
    <t>003145 - RMP FIGO EM CALDA  KG</t>
  </si>
  <si>
    <t>002499 - RMP FILE COXA SOBRECOXA C/ PELE SEM OSSO KG</t>
  </si>
  <si>
    <t>005328 - RMP FILE DE COXA/SOBRECOXA TEMP KG</t>
  </si>
  <si>
    <t>002250 - RMP FILE FRANGO KG</t>
  </si>
  <si>
    <t>002420 - RMP FRANGO PASSARINHO KG</t>
  </si>
  <si>
    <t>001897 - RMP FUBA KG</t>
  </si>
  <si>
    <t>005054 - RMP GENGIBRE KG</t>
  </si>
  <si>
    <t>004353 - RMP GERGELIM KG</t>
  </si>
  <si>
    <t xml:space="preserve">003138 - RMP GLICOSE YOKI MEL KG </t>
  </si>
  <si>
    <t>002301 - RMP GRAO BICO KG</t>
  </si>
  <si>
    <t xml:space="preserve">005888 - RMP HAMBURGER KG </t>
  </si>
  <si>
    <t>002614 - RMP HORTELA KG</t>
  </si>
  <si>
    <t>006034 - RMP INHAME  KG</t>
  </si>
  <si>
    <t>002505 - RMP JILO KG</t>
  </si>
  <si>
    <t>005209 - RMP KIBE PARA ASSAR  KG</t>
  </si>
  <si>
    <t>002493 - RMP LARANJA KG</t>
  </si>
  <si>
    <t>003331 - RMP LEGUMES KG</t>
  </si>
  <si>
    <t>002565 - RMP LEITE COCO KG</t>
  </si>
  <si>
    <t>KG/0024</t>
  </si>
  <si>
    <t>002136 - RMP LEITE KG</t>
  </si>
  <si>
    <t>005393 - RMP LEMON PEPPER  KG</t>
  </si>
  <si>
    <t>003265 - RMP LENTILHA  KG</t>
  </si>
  <si>
    <t>002454 - RMP LIMAO KG</t>
  </si>
  <si>
    <t>002019 - RMP LINGUICA CALABRESA KG</t>
  </si>
  <si>
    <t>006431 - RMP LINGUICA FRANGO KG</t>
  </si>
  <si>
    <t>005230 - RMP LINGUICA  KG</t>
  </si>
  <si>
    <t>002018 - RMP LINGUICA PAIO KG</t>
  </si>
  <si>
    <t>003162 - RMP LINGUICA TOSCANA KG</t>
  </si>
  <si>
    <t>002021 - RMP LOURO EM FOLHA KG</t>
  </si>
  <si>
    <t>002533 - RMP MACA KG</t>
  </si>
  <si>
    <t>003853 - RMP MACARRAO AVE MARIA  KG</t>
  </si>
  <si>
    <t>002817 - RMP MACARRAO BAVETI KG</t>
  </si>
  <si>
    <t>002901 - RMP MACARRAO CABELOS ANJOS KG</t>
  </si>
  <si>
    <t>002316 - RMP MACARRAO ESPAGUETE KG</t>
  </si>
  <si>
    <t>002095 - RMP MACARRAO ESPAGUETINHO KG</t>
  </si>
  <si>
    <t>003746 - RMP MACARRAO FETTUCCINE KG</t>
  </si>
  <si>
    <t>002094 - RMP MACARRAO FURADINHO  KG</t>
  </si>
  <si>
    <t>005843 - RMP MACARRAO GRAVATA KG</t>
  </si>
  <si>
    <t>002127 - RMP MACARRAO INTEGRAL ESPAGUETE KG</t>
  </si>
  <si>
    <t>006809 - RMP MACARRAO LINGUINE  KG</t>
  </si>
  <si>
    <t>002695 - RMP MACARRAO NINHO KG</t>
  </si>
  <si>
    <t>KG/0020</t>
  </si>
  <si>
    <t>002317 - RMP MACARRAO ORIENTAL BIFUM KG</t>
  </si>
  <si>
    <t>003054 - RMP MACARRAO PADRE NOSSO</t>
  </si>
  <si>
    <t>002128 - RMP MACARRAO PARAFUSO KG</t>
  </si>
  <si>
    <t>002129 - RMP MACARRAO PENE KG</t>
  </si>
  <si>
    <t>002673 - RMP MACARRAO TALHARIM KG</t>
  </si>
  <si>
    <t>003339 - RMP MACARRAO TORTIGLIONI KG</t>
  </si>
  <si>
    <t>002076 - RMP MACARRAO YAKISSOBA KG</t>
  </si>
  <si>
    <t>002507 - RMP MAC.TRICOLORI GRAVATA KG</t>
  </si>
  <si>
    <t>002122 - RMP MAIONESE KG</t>
  </si>
  <si>
    <t>KG/0006</t>
  </si>
  <si>
    <t>002344 - RMP MANDIOQUINHA KG</t>
  </si>
  <si>
    <t>002568 - RMP MANJERICAO KG</t>
  </si>
  <si>
    <t>002627 - RMP MARACUJA KG</t>
  </si>
  <si>
    <t>002123 - RMP MARGARINA KG</t>
  </si>
  <si>
    <t>006488 - RMP MASSA PANQUECA KG</t>
  </si>
  <si>
    <t>033555 - RMP MASSA PANQUECA PRONTA</t>
  </si>
  <si>
    <t>002163 - RMP MASSA PARA LASANHA KG</t>
  </si>
  <si>
    <t>KG/0048</t>
  </si>
  <si>
    <t>002023 - RMP MILHO VERDE PRONTO KG</t>
  </si>
  <si>
    <t>021846 - RMP MILHO VERDE UND</t>
  </si>
  <si>
    <t>002699 - RMP MOLHO BARBECUE KG</t>
  </si>
  <si>
    <t>006456 - RMP MOLHO BOLONHESA KG</t>
  </si>
  <si>
    <t>002506 - RMP MOLHO BRANCO BECHAMEL KG</t>
  </si>
  <si>
    <t>006457 - RMP MOLHO BRANCO KG CASEIRO</t>
  </si>
  <si>
    <t>006521 - RMP MOLHO ESCURO DEMIGLACE KG</t>
  </si>
  <si>
    <t>002482 - RMP MOLHO INGLES KG</t>
  </si>
  <si>
    <t>006177 - RMP MOLHO MADEIRA KG</t>
  </si>
  <si>
    <t>005962 - RMP MOLHO PARA YAKISSOBA  KG</t>
  </si>
  <si>
    <t>005527 - RMP MOLHO PESTO KG</t>
  </si>
  <si>
    <t>002096 - RMP MOLHO PIMENTA KG</t>
  </si>
  <si>
    <t>002137 - RMP MOLHO SHOYU KG</t>
  </si>
  <si>
    <t>006447 - RMP MOLHO TOMATE AO SUGO   KG</t>
  </si>
  <si>
    <t>002100 - RMP MOLHO TOMATE KG</t>
  </si>
  <si>
    <t>006463 - RMP MOLHO TOMATE KG CASEIRO</t>
  </si>
  <si>
    <t>005987 - RMP MORANGA  KG</t>
  </si>
  <si>
    <t>002238 - RMP MORTADELA KG</t>
  </si>
  <si>
    <t>002126 - RMP MOSTARDA KG</t>
  </si>
  <si>
    <t>002349 - RMP MUSSARELA KG</t>
  </si>
  <si>
    <t>002083 - RMP NHOQUE BATATA KG</t>
  </si>
  <si>
    <t>003084 - RMP NHOQUE RECHEADO KG</t>
  </si>
  <si>
    <t>002803 - RMP NOZES SEM CASCA KG</t>
  </si>
  <si>
    <t>007524 - RMP OLEO SOJA KG</t>
  </si>
  <si>
    <t>002566 - RMP OREGANO KG</t>
  </si>
  <si>
    <t>029785 - RMP OVOS GRANJA AMANO TP GRANDE UND</t>
  </si>
  <si>
    <t>002223 - RMP PADARIA FARINHA ROSCA CASEIRA KG</t>
  </si>
  <si>
    <t>021480 - RMP PALITO UN</t>
  </si>
  <si>
    <t>006474 - RMP PANCETA TEMP KG</t>
  </si>
  <si>
    <t>002224 - RMP PAO FRANCES KG</t>
  </si>
  <si>
    <t>KG/0008</t>
  </si>
  <si>
    <t>002366 - RMP PAPRICA KG</t>
  </si>
  <si>
    <t>005980 - RMP PEITO DE PERU  KG</t>
  </si>
  <si>
    <t>002225 - RMP PEIXE BACALHAU COD DESFIADO KG</t>
  </si>
  <si>
    <t>002436 - RMP PEIXE FILE DE MAPARA  KG</t>
  </si>
  <si>
    <t>002437 - RMP PEIXE FILE DE TILAPIA KG</t>
  </si>
  <si>
    <t>004785 - RMP PEIXE KANIKAMA KG</t>
  </si>
  <si>
    <t>005847 - RMP PEIXE POSTA TILAPIA KG</t>
  </si>
  <si>
    <t>004025 - RMP PEIXE SALMAO  KG</t>
  </si>
  <si>
    <t>002735 - RMP PEPINO CAIPIRA KG</t>
  </si>
  <si>
    <t>002457 - RMP PEPINO JAPONES KG</t>
  </si>
  <si>
    <t>003146 - RMP PESSEGO EM CALDA  KG</t>
  </si>
  <si>
    <t>002156 - RMP PIMENTA BIQUINHO KG</t>
  </si>
  <si>
    <t>002097 - RMP PIMENTA CALABRESA KG</t>
  </si>
  <si>
    <t>002691 - RMP PIMENTA CHAPEU DE PADRE KG</t>
  </si>
  <si>
    <t>002084 - RMP PIMENTA DO REINO MOIDA KG</t>
  </si>
  <si>
    <t>002226 - RMP PIMENTAO AMARELO KG</t>
  </si>
  <si>
    <t>004881 - RMP PIMENTAO LARANJA KG</t>
  </si>
  <si>
    <t>002516 - RMP PIMENTAO VERDE KG</t>
  </si>
  <si>
    <t>002227 - RMP PIMENTAO VERMELHO KG</t>
  </si>
  <si>
    <t>002085 - RMP PIMENTA REINO BRANCA MOIDA KG</t>
  </si>
  <si>
    <t>002914 - RMP PIMENTA VERMELHA KG</t>
  </si>
  <si>
    <t>006391 - RMP POLENTA PRONTA KG</t>
  </si>
  <si>
    <t>002363 - RMP PRESUNTO KG</t>
  </si>
  <si>
    <t>002535 - RMP QUEIJO COALHO PECA KG</t>
  </si>
  <si>
    <t>002251 - RMP QUEIJO COTTAGE KG</t>
  </si>
  <si>
    <t>003074 - RMP QUEIJO GORGONZOLA KG</t>
  </si>
  <si>
    <t>002951 - RMP QUEIJO GRUYERE KG</t>
  </si>
  <si>
    <t>002888 - RMP QUEIJO MASSDAM SAO VICENTE KG</t>
  </si>
  <si>
    <t>002926 - RMP QUEIJO PARMESAO KG</t>
  </si>
  <si>
    <t>002318 - RMP QUEIJO PARMESAO RALADO KG</t>
  </si>
  <si>
    <t>002345 - RMP QUEIJO PARMESAO T.MINAS KG</t>
  </si>
  <si>
    <t>002675 - RMP QUEIJO PRATO KG</t>
  </si>
  <si>
    <t>003840 - RMP QUEIJO PROVOLONE KG</t>
  </si>
  <si>
    <t>004345 - RMP QUEIJO RICOTA KG</t>
  </si>
  <si>
    <t>002341 - RMP QUIABO KG</t>
  </si>
  <si>
    <t>006445 - RMP RABADA  KG</t>
  </si>
  <si>
    <t>002561 - RMP REPOLHO ROXO KG</t>
  </si>
  <si>
    <t>002491 - RMP REPOLHO VERDE KG</t>
  </si>
  <si>
    <t>002121 - RMP REQUEIJAO KG</t>
  </si>
  <si>
    <t xml:space="preserve">003148 - RMP RONDELLI 4 QUEIJO KG </t>
  </si>
  <si>
    <t xml:space="preserve">005025 - RMP RONDELLI FRANGO C/REQUEIJAO KG </t>
  </si>
  <si>
    <t>002138 - RMP RONDELLI PRESUNTO E MUSSARELA KG</t>
  </si>
  <si>
    <t>002456 - RMP RUCULA KG</t>
  </si>
  <si>
    <t>002022 - RMP SAL GROSSO KG</t>
  </si>
  <si>
    <t>001898 - RMP SAL REFINADO KG</t>
  </si>
  <si>
    <t>002466 - RMP SAL REFINADOLIGHT KG</t>
  </si>
  <si>
    <t>004603 - RMP SALSA KG</t>
  </si>
  <si>
    <t>005203 - RMP SALSICHA CELOFANE KG</t>
  </si>
  <si>
    <t>002562 - RMP SALSICHA KG</t>
  </si>
  <si>
    <t>002782 - RMP SALSINHA KG</t>
  </si>
  <si>
    <t>002045 - RMP SARDINHA EVISCERADA KG</t>
  </si>
  <si>
    <t>006246 - RMP SARDINHA KG</t>
  </si>
  <si>
    <t>003261 - RMP SAZON KG</t>
  </si>
  <si>
    <t>004140 - RMP SEBO PARA COZINHA KG</t>
  </si>
  <si>
    <t>002483 - RMP SELETA LEGUMES KG</t>
  </si>
  <si>
    <t>003507 - RMP SHIMEJI KG</t>
  </si>
  <si>
    <t xml:space="preserve">006533 - RMP SOFIATELI  KG </t>
  </si>
  <si>
    <t>002240 - RMP SUI BACON KG</t>
  </si>
  <si>
    <t>006469 - RMP SUI BISTECA SUINO KG</t>
  </si>
  <si>
    <t>002556 - RMP SUI CARNE P/ ASSAR ROTISSERIE  KG</t>
  </si>
  <si>
    <t>003161 - RMP SUI COSTELA PORCO KG</t>
  </si>
  <si>
    <t>002418 - RMP SUI JOELHO PORCO KG</t>
  </si>
  <si>
    <t>002242 - RMP SUI LOMBO SUINO KG</t>
  </si>
  <si>
    <t>002485 - RMP SUI MASCARA C/ORELHA PORCO SALGADA KG</t>
  </si>
  <si>
    <t>002722 - RMP SUI PELE SALGADA KG</t>
  </si>
  <si>
    <t>003101 - RMP SUI PE PORCO SALGADA KG</t>
  </si>
  <si>
    <t>004466 - RMP SUI PERNIL KG</t>
  </si>
  <si>
    <t>002557 - RMP SUI RABO SALGADO KG</t>
  </si>
  <si>
    <t xml:space="preserve">003137 - RMP SUI TENDER KG </t>
  </si>
  <si>
    <t>004061 - RMP TEMPERO ANA MARIA  KG</t>
  </si>
  <si>
    <t>004290 - RMP TEMPERO BAIANO KG</t>
  </si>
  <si>
    <t>006472 - RMP TEMPERO CASEIRO  KG</t>
  </si>
  <si>
    <t>006782 - RMP TEMPERO CURRY KG</t>
  </si>
  <si>
    <t>004354 - RMP TEMPERO EDU  KG</t>
  </si>
  <si>
    <t>003344 - RMP TEMPERO KNORR KG</t>
  </si>
  <si>
    <t>004168 - RMP TEMPERO LEMON KG</t>
  </si>
  <si>
    <t>005420 - RMP TEMPERO PEGA MARIDO KG</t>
  </si>
  <si>
    <t>006207 - RMP TEMPERO PICANHA KG</t>
  </si>
  <si>
    <t>002455 - RMP TOMATE CEREJA  KG</t>
  </si>
  <si>
    <t>002239 - RMP TOMATE  KG</t>
  </si>
  <si>
    <t>003190 - RMP TRIGO P/KIBE  KG</t>
  </si>
  <si>
    <t>003160 - RMP UVA  KG</t>
  </si>
  <si>
    <t>002365 - RMP UVA PASSA BRANCA KG</t>
  </si>
  <si>
    <t>002364 - RMP UVA PASSA PRETA  KG</t>
  </si>
  <si>
    <t>002340 - RMP VAGEM KG</t>
  </si>
  <si>
    <t>002293 - RMP VINAGRE ARROZ  KG</t>
  </si>
  <si>
    <t>002101 - RMP VINAGRE KG</t>
  </si>
  <si>
    <t>002130 - RMP VINAGRE LIMAO KG</t>
  </si>
  <si>
    <t>002324 - RMP VINHO BRANCO KG</t>
  </si>
  <si>
    <t>007960 - ROT CALDO DE FEIJAO C/ BACON BENDITO KG</t>
  </si>
  <si>
    <t>008321 - ROT.ESPAGUETE A BOLONHESA + POLPETONE RECHEADO BENDITO</t>
  </si>
  <si>
    <t>008945 - ROT.ISCA DE FRANGO A MILANESA BENDITO KG</t>
  </si>
  <si>
    <t>007990 - ROTISSERIA ABOBRINHA RECHEADA BENDITO KG</t>
  </si>
  <si>
    <t>008000 - ROTISSERIA ABOBRINHA REFOGADA BENDITO  KG</t>
  </si>
  <si>
    <t>008006 - ROTISSERIA ALMONDEGAS AO MOLHO BENDITO KG</t>
  </si>
  <si>
    <t>008015 - ROTISSERIA ANTEPASTO DE ABOBRINHA BENDITO KG</t>
  </si>
  <si>
    <t>008019 - ROTISSERIA ANTEPASTO DE BERINJELA BENDITO KG</t>
  </si>
  <si>
    <t>008023 - ROTISSERIA ARROZ A GREGA BENDITO KG</t>
  </si>
  <si>
    <t>008028 - ROTISSERIA ARROZ BRANCO BENDITO KG</t>
  </si>
  <si>
    <t>008037 - ROTISSERIA ARROZ CARRETEIRO BENDITO KG</t>
  </si>
  <si>
    <t>008039 - ROTISSERIA ARROZ COM OVOS MEXIDOS BENDITO KG</t>
  </si>
  <si>
    <t>008040 - ROTISSERIA ARROZ INTEGRAL BENDITO KG</t>
  </si>
  <si>
    <t>008046 - ROTISSERIA ARROZ LENTILHA BENDITO KG</t>
  </si>
  <si>
    <t>008047 - ROTISSERIA ARROZ PRIMAVERA BENDITO KG</t>
  </si>
  <si>
    <t>008048 - ROTISSERIA ARROZ TEMPERADO BENDITO KG</t>
  </si>
  <si>
    <t>093908 - ROTISSERIA ARROZ TEMPERADO KG</t>
  </si>
  <si>
    <t>008051 - ROTISSERIA AVE RECHEADA COM FAROFA BENDITO KG</t>
  </si>
  <si>
    <t>008064 - ROTISSERIA BACALHOADA BENDITO KG</t>
  </si>
  <si>
    <t>008080 - ROTISSERIA BANANA BENDITO KG</t>
  </si>
  <si>
    <t>008089 - ROTISSERIA BATATA ASSADA BENDITO KG</t>
  </si>
  <si>
    <t>008090 - ROTISSERIA BATATA BENDITO KG</t>
  </si>
  <si>
    <t>008093 - ROTISSERIA BATATA  DOCE ASSADA BENDITO KG</t>
  </si>
  <si>
    <t>008098 - ROTISSERIA BATATA FRITA BENDITO KG</t>
  </si>
  <si>
    <t>008104 - ROTISSERIA BATATA GRATINADA BENDITO KG</t>
  </si>
  <si>
    <t>008333 - ROTISSERIA BATATA/RECHEADA  BROCOLIS E BACON</t>
  </si>
  <si>
    <t>008332 - ROTISSERIA BATATA/RECHEADA  FRANGO C/ REQUEIJAO</t>
  </si>
  <si>
    <t>008111 - ROTISSERIA BATATA RECHEADA FRICASSE FRANGO BENDITO KG</t>
  </si>
  <si>
    <t>008133 - ROTISSERIA BATATA RECHEADA PRES/QUEIJO BENDITO KG</t>
  </si>
  <si>
    <t>008148 - ROTISSERIA BATATA RECHEADA STROGONOFF CARNE BENDITO KG</t>
  </si>
  <si>
    <t>008149 - ROTISSERIA BERINJELA EMPANADA BENDITO KG</t>
  </si>
  <si>
    <t>008151 - ROTISSERIA BERINJELA PARMEGGIANA BENDITO KG</t>
  </si>
  <si>
    <t>008153 - ROTISSERIA BERINJELA PIZZAOLA BENDITO KG</t>
  </si>
  <si>
    <t>008154 - ROTISSERIA BERINJELA RECHEADA BENDITO KG</t>
  </si>
  <si>
    <t>008155 - ROTISSERIA BIFE ACEBOLADO BENDITO  KG</t>
  </si>
  <si>
    <t>008156 - ROTISSERIA BIFE A MILANESA BENDITO KG</t>
  </si>
  <si>
    <t>008157 - ROTISSERIA BIFE A PARMEGIANA BENDITO KG</t>
  </si>
  <si>
    <t>008158 - ROTISSERIA BIFE A ROLE BENDITO KG</t>
  </si>
  <si>
    <t>008159 - ROTISSERIA BIFE DE LOMBO BENDITO KG</t>
  </si>
  <si>
    <t>008160 - ROTISSERIA BIFE DE PERNIL AO MOLHO BARBECUE BENDITO KG</t>
  </si>
  <si>
    <t>008161 - ROTISSERIA BIFE DE PERNIL BENDITO KG</t>
  </si>
  <si>
    <t xml:space="preserve">008162 - ROTISSERIA BIFE EM TIRAS C/PALMITO E REQUEIJAO BENDITO KG </t>
  </si>
  <si>
    <t>008163 - ROTISSERIA BIFE SUINO A MILANESA BENDITO KG</t>
  </si>
  <si>
    <t>008164 - ROTISSERIA BISTECA ACEBOLADA BENDITO KG</t>
  </si>
  <si>
    <t>009016 - ROTISSERIA BISTECA MILSANES BENDITO KG</t>
  </si>
  <si>
    <t>008165 - ROTISSERIA BOLINHA DE QUEIJO BENITO KG</t>
  </si>
  <si>
    <t>008166 - ROTISSERIA BOLINHO DE ARROZ BENDITO KG</t>
  </si>
  <si>
    <t>008167 - ROTISSERIA BOLINHO DE BACALHAU FRITO BENDITO KG</t>
  </si>
  <si>
    <t>008168 - ROTISSERIA BOLINHO DE CARNE BENDITO KG</t>
  </si>
  <si>
    <t>008169 - ROTISSERIA BOLINHO DE FEIJOADA BENDITO KG</t>
  </si>
  <si>
    <t>008170 - ROTISSERIA BOMBOM DO ALCATRA AO MOLHO MADEIRA BENDITO KG</t>
  </si>
  <si>
    <t xml:space="preserve">008171 - ROTISSERIA CABOTIA COM CREME DE ALHO BENDITO KG </t>
  </si>
  <si>
    <t>008172 - ROTISSERIA CABOTIA REFOGADA BENDITO KG</t>
  </si>
  <si>
    <t>008174 - ROTISSERIA CALDO DE CABOTIA BENDITO KG</t>
  </si>
  <si>
    <t>008173 - ROTISSERIA CALDO DE CABOTIA/CARNE SECA BENDITO KG</t>
  </si>
  <si>
    <t>008176 - ROTISSERIA CALDO DE MANDIOCA BENDITO KG</t>
  </si>
  <si>
    <t>008175 - ROTISSERIA CALDO DE MANDIOCA COM CARNE BENDITO KG</t>
  </si>
  <si>
    <t>008178 - ROTISSERIA CALDO DE MANDIOQUINHA BENDITO KG</t>
  </si>
  <si>
    <t>008177 - ROTISSERIA CALDO DE MANDIOQUINHA C/CARNE SECA BENDITO KG</t>
  </si>
  <si>
    <t>008179 - ROTISSERIA CALDO FRANGO BENDITO KG</t>
  </si>
  <si>
    <t>008197 - ROTISSERIA CALDO VERDE BENDITO KG</t>
  </si>
  <si>
    <t xml:space="preserve">009119 - ROTISSERIA CALIFORNIA BENDITO UN </t>
  </si>
  <si>
    <t>008201 - ROTISSERIA CANELONE FRANGO COM REQUEIJAO BENDITO KG</t>
  </si>
  <si>
    <t>008204 - ROTISSERIA CANELONE PRESUNTO E MUSSARELA BENDITO KG</t>
  </si>
  <si>
    <t xml:space="preserve">008206 - ROTISSERIA CANELONE Q.QUEIJOS BENDITO KG </t>
  </si>
  <si>
    <t>008221 - ROTISSERIA CAPONATA BERINJELA BENDITO KG</t>
  </si>
  <si>
    <t>008222 - ROTISSERIA CARNE C/ LEGUMES BENDITO KG</t>
  </si>
  <si>
    <t>008223 - ROTISSERIA CARNE DE PANELA BENDITO  KG</t>
  </si>
  <si>
    <t>008224 - ROTISSERIA CARNE FATIADA COM CEBOLA A DORE BENDITO KG</t>
  </si>
  <si>
    <t>008226 - ROTISSERIA CARNE FRIA DE PERNIL BENDITO KG</t>
  </si>
  <si>
    <t>008228 - ROTISSERIA CARNE MOIDA COM LEGUMES BENDITO KG</t>
  </si>
  <si>
    <t>008229 - ROTISSERIA CARNE MOIDA COM LEGUMES BENDITO KG</t>
  </si>
  <si>
    <t>008231 - ROTISSERIA CHARUTO BENDITO KG</t>
  </si>
  <si>
    <t>008232 - ROTISSERIA COMBO MINI LANCHE BENDITO UN</t>
  </si>
  <si>
    <t>008235 - ROTISSERIA CONCHIGLIONE BENDITO KG</t>
  </si>
  <si>
    <t>008237 - ROTISSERIA COPA LOMBO ACEBOLADO BENDITO KG</t>
  </si>
  <si>
    <t>008239 - ROTISSERIA COPA LOMBO A MILANESA BENDITO KG</t>
  </si>
  <si>
    <t>008240 - ROTISSERIA COSTELA ASSADA COM OSSO BENDITO KG</t>
  </si>
  <si>
    <t>008247 - ROTISSERIA COSTELA BOI DE PANELA BENDITO KG</t>
  </si>
  <si>
    <t>008259 - ROTISSERIA COSTELA BOVINA ASSADA BENDITO UN</t>
  </si>
  <si>
    <t>036025 - ROTISSERIA COSTELA BOVINA ASSADA BENDITO UN</t>
  </si>
  <si>
    <t>008251 - ROTISSERIA COSTELA BOVINA ASSADA SEM OSSO BENDITO  KG</t>
  </si>
  <si>
    <t>008267 - ROTISSERIA COSTELA C/ MANDIOCA BENDITO KG</t>
  </si>
  <si>
    <t>093693 - ROTISSERIA COSTELINHA DE PORCO FRITA KG</t>
  </si>
  <si>
    <t>008273 - ROTISSERIA COSTELINHA PORCO ASSADA BENDITO KG</t>
  </si>
  <si>
    <t>008274 - ROTISSERIA COSTELINHA PORCO MOLHO BARBECUE BENDITO KG</t>
  </si>
  <si>
    <t>008276 - ROTISSERIA COUVE FLOR AO MOLHO BRANCO BENDITO  KG</t>
  </si>
  <si>
    <t>008279 - ROTISSERIA COUVE FLOR EMPANADA BENDITO KG</t>
  </si>
  <si>
    <t>008281 - ROTISSERIA COUVE REFOGADA BENDITO KG</t>
  </si>
  <si>
    <t>008282 - ROTISSERIA COXA ASSADA BENDITO KG</t>
  </si>
  <si>
    <t>008284 - ROTISSERIA COXA SOBRECOXA ASSADA BENDITO KG</t>
  </si>
  <si>
    <t>008287 - ROTISSERIA COXINHA ASA ASSADA BENDITO KG</t>
  </si>
  <si>
    <t>008290 - ROTISSERIA COXINHA ASA EMPANADA BENDITO KG</t>
  </si>
  <si>
    <t>008519 - ROTISSERIA COXINHA BUFALO WINGS KG</t>
  </si>
  <si>
    <t>008291 - ROTISSERIA  CREME  DE BACALHAU BENDITO KG</t>
  </si>
  <si>
    <t>008292 - ROTISSERIA CREME DE MILHO BENDITO KG</t>
  </si>
  <si>
    <t>001717 - ROTISSERIA CROQUETE DE CARNE KG</t>
  </si>
  <si>
    <t>093966 - ROTISSERIA CUBOS DE FRANGO COM CREME MILHO KG</t>
  </si>
  <si>
    <t>008296 - ROTISSERIA CUPIM ASSADO AO MOLHO MADEIRA BENDITO KG</t>
  </si>
  <si>
    <t>093964 - ROTISSERIA CUPIM ASSADO MOLHO ALHO  KG</t>
  </si>
  <si>
    <t>008298 - ROTISSERIA DOBRADINHA BENDITO KG</t>
  </si>
  <si>
    <t>008302 - ROTISSERIA ESCONDIDINHO CALABRESA BENDITO KG</t>
  </si>
  <si>
    <t>008306 - ROTISSERIA ESCONDIDINHO DE CARNE BENDITO KG</t>
  </si>
  <si>
    <t>008307 - ROTISSERIA ESCONDIDINHO DE CARNE SECA BENDITO KG</t>
  </si>
  <si>
    <t>008309 - ROTISSERIA ESCONDIDINHO DE PERNIL BENDITO  KG</t>
  </si>
  <si>
    <t>008316 - ROTISSERIA ESCONDIDINHO FRANGO BENDITO KG</t>
  </si>
  <si>
    <t>008308 - ROTISSERIA ESCONDIDINHO FRANGO C/REQ.MANDIO.BENDITO KG</t>
  </si>
  <si>
    <t>008312 - ROTISSERIA ESCONDI.FRANGO C/PURE BATATA DOCE BENDITO  KG</t>
  </si>
  <si>
    <t>008317 - ROTISSERIA ESPAGUETE A BOLONHESA BENDITO KG</t>
  </si>
  <si>
    <t>006903 - ROTISSERIA ESPAGUETE A BOLONHESA + POLPETONE RECHEADO</t>
  </si>
  <si>
    <t>008323 - ROTISSERIA FAROFA BENDITO KG</t>
  </si>
  <si>
    <t>008328 - ROTISSERIA FEIJAO BENDITO KG</t>
  </si>
  <si>
    <t>008324 - ROTISSERIA FEIJAO GORDO BENDITO KG</t>
  </si>
  <si>
    <t>008331 - ROTISSERIA FEIJAO PRETO GORDO BENDITO KG</t>
  </si>
  <si>
    <t>008330 - ROTISSERIA FEIJAO PRETO GORDO BENDITO  KG</t>
  </si>
  <si>
    <t>008334 - ROTISSERIA FEIJAO TROPEIRO BENDITO KG</t>
  </si>
  <si>
    <t>008336 - ROTISSERIA FEIJOADA BENDITO KG</t>
  </si>
  <si>
    <t>008337 - ROTISSERIA FILE FRANGO 3 QUEIJOS BENDITO KG</t>
  </si>
  <si>
    <t>008341 - ROTISSERIA FILE FRANGO A MILANESA BENDITO KG</t>
  </si>
  <si>
    <t>003683 - ROTISSERIA FILE FRANGO AO MOLHO BRANCO KG</t>
  </si>
  <si>
    <t>008346 - ROTISSERIA FILE FRANGO BENDITO KG</t>
  </si>
  <si>
    <t>008345 - ROTISSERIA FILE FRANGO GRELHADO BENDITO KG</t>
  </si>
  <si>
    <t>103645 - ROTISSERIA FILE FRANGO KG</t>
  </si>
  <si>
    <t>006952 - ROTISSERIA FILE FRANGO M. MOSTARDA  KG</t>
  </si>
  <si>
    <t>008349 - ROTISSERIA FILE FRANGO PARMEGIANA BENDITO KG</t>
  </si>
  <si>
    <t>008350 - ROTISSERIA FILE FRANGO PIZZAIOLA BENDITO KG</t>
  </si>
  <si>
    <t>008352 - ROTISSERIA FILE MERLUZA EMPANADO BENDITO KG</t>
  </si>
  <si>
    <t>008358 - ROTISSERIA FILE PEIXE EMPANADO BENDITO KG</t>
  </si>
  <si>
    <t>008360 - ROTISSERIA FILE PEIXE FRITO BENDITO KG</t>
  </si>
  <si>
    <t>008361 - ROTISSERIA FILE SOBRECOXA ASSADA BENDITO KG</t>
  </si>
  <si>
    <t>008362 - ROTISSERIA FILE TILAPIA A PARMEGIANA BENDITO KG</t>
  </si>
  <si>
    <t>008363 - ROTISSERIA FILE TILAPIA ASSADA BENDITO KG</t>
  </si>
  <si>
    <t>008367 - ROTISSERIA FILE TILAPIA GRELHADA BENDITO KG</t>
  </si>
  <si>
    <t>001560 - ROTISSERIA FILE TILAPIA GRELHADA KG</t>
  </si>
  <si>
    <t>008371 - ROTISSERIA FILE TILAPIA MILANESA BENDITO KG</t>
  </si>
  <si>
    <t>001706 - ROTISSERIA FILE TILAPIA MILANESA KG</t>
  </si>
  <si>
    <t>008372 - ROTISSERIA FRALDINHA ASSADA BENDITO KG</t>
  </si>
  <si>
    <t>003682 - ROTISSERIA FRALDINHA ASSADA KG</t>
  </si>
  <si>
    <t>008374 - ROTISSERIA FRALDINHA BENDITO KG</t>
  </si>
  <si>
    <t>001814 - ROTISSERIA FRALDINHA KG</t>
  </si>
  <si>
    <t>008375 - ROTISSERIA FRANGO ASSADO C/FAROFA BENDITO KG</t>
  </si>
  <si>
    <t>003156 - ROTISSERIA FRANGO ASSADO C/FAROFA KG</t>
  </si>
  <si>
    <t>008379 - ROTISSERIA FRANGO DE PANELA BENDITO KG</t>
  </si>
  <si>
    <t>096119 - ROTISSERIA FRANGO DE PANELA KG</t>
  </si>
  <si>
    <t>004083 - ROTISSERIA FRANGO DESOSSADO RECHEADO</t>
  </si>
  <si>
    <t xml:space="preserve">008380 - ROTISSERIA FRANGO DESOSSADO RECHEADO BENDITO KG </t>
  </si>
  <si>
    <t>008381 - ROTISSERIA FRANGO XADREZ BENDITO KG</t>
  </si>
  <si>
    <t>094313 - ROTISSERIA FRANGO XADREZ KG</t>
  </si>
  <si>
    <t>008383 - ROTISSERIA FRICASSE DE FRANGO BENDITO KG</t>
  </si>
  <si>
    <t>109163 - ROTISSERIA FRICASSE DE FRANGO KG</t>
  </si>
  <si>
    <t>008384 - ROTISSERIA GALINHADA BENDITO KG</t>
  </si>
  <si>
    <t xml:space="preserve">008386 - ROTISSERIA GELEIA DE PIMENTA BENDITO KG </t>
  </si>
  <si>
    <t>008385 - ROTISSERIA GELEIA DE PIMENTA C/ABACAXI BENDITO KG</t>
  </si>
  <si>
    <t>004642 - ROTISSERIA GELEIA DE PIMENTA C/ABACAXI KG</t>
  </si>
  <si>
    <t>005688 - ROTISSERIA GELEIA DE PIMENTA C/ CREAM CHEESE 200 GR</t>
  </si>
  <si>
    <t xml:space="preserve">005687 - ROTISSERIA GELEIA DE PIMENTA KG </t>
  </si>
  <si>
    <t>008387 - ROTISSERIA HAMBURGUER FRANGO BENDITO KG</t>
  </si>
  <si>
    <t>004141 - ROTISSERIA HAMBURGUER FRANGO KG</t>
  </si>
  <si>
    <t>008389 - ROTISSERIA HAMBURGUER GOURMET BENDITO KG</t>
  </si>
  <si>
    <t>009124 - ROTISSERIA HOT HOLL BENDITO UN</t>
  </si>
  <si>
    <t>008390 - ROTISSERIA ISCA DE FRANGO ACEBOLADA BENDITO KG</t>
  </si>
  <si>
    <t>008391 - ROTISSERIA JILO FRITO BENDITO KG</t>
  </si>
  <si>
    <t>008392 - ROTISSERIA JILO REFOGADO BENDITO KG</t>
  </si>
  <si>
    <t>008393 - ROTISSERIA JOELHO PORCO ASSADO BENDITO KG</t>
  </si>
  <si>
    <t>095389 - ROTISSERIA JOELHO PORCO ASSADO KG</t>
  </si>
  <si>
    <t>008396 - ROTISSERIA LAGARTO AO MOLHO MADEIRA BENDITO KG</t>
  </si>
  <si>
    <t>093466 - ROTISSERIA LAGARTO AO MOLHO MADEIRA KG</t>
  </si>
  <si>
    <t>008397 - ROTISSERIA LAGARTO ASSADO BENDITO KG</t>
  </si>
  <si>
    <t>008398 - ROTISSERIA LAGARTO RECH AO MOLHO MADEIRA BENDITO KG</t>
  </si>
  <si>
    <t>005764 - ROTISSERIA LAGARTO RECH AO MOLHO MADEIRA KG</t>
  </si>
  <si>
    <t>008399 - ROTISSERIA LASANHA ABOBRINHA BENDITO KG</t>
  </si>
  <si>
    <t>003706 - ROTISSERIA LASANHA ABOBRINHA KG</t>
  </si>
  <si>
    <t>008400 - ROTISSERIA LASANHA A BOLONHESA BENDITO  KG</t>
  </si>
  <si>
    <t>008401 - ROTISSERIA LASANHA A BOLONHESA MASSA FRESCA BENDITO KG</t>
  </si>
  <si>
    <t>008402 - ROTISSERIA LASANHA BERINJELA BENDITO KG</t>
  </si>
  <si>
    <t>008403 - ROTISSERIA LEGUMES BENDITO KG</t>
  </si>
  <si>
    <t>008404 - ROTISSERIA LEGUMES REFOGADO BENDITO KG</t>
  </si>
  <si>
    <t>008408 - ROTISSERIA LINGUICA ARTESANAL ASSADA BENDITO  KG</t>
  </si>
  <si>
    <t>008409 - ROTISSERIA LINGUICA ASSADA BENDITO KG</t>
  </si>
  <si>
    <t>008410 - ROTISSERIA LINGUICA FRANGO ASSADA BENDITO KG</t>
  </si>
  <si>
    <t>008416 - ROTISSERIA LINGUICA RECHEADA ASSADA BENDITO KG</t>
  </si>
  <si>
    <t>008424 - ROTISSERIA LINGUICINHA FINININHA BENDITO KG</t>
  </si>
  <si>
    <t>008426 - ROTISSERIA LOMBO ASSADO BENDITO KG</t>
  </si>
  <si>
    <t>008427 - ROTISSERIA LOMBO EMPANADO BENDITO KG</t>
  </si>
  <si>
    <t>004980 - ROTISSERIA LOMBO RECHEADO 1KG</t>
  </si>
  <si>
    <t>036026 - ROTISSERIA LOMBO RECHEADO BENDITO 1KG</t>
  </si>
  <si>
    <t>008435 - ROTISSERIA LOMBO RECHEADO BENDITO KG</t>
  </si>
  <si>
    <t>008436 - ROTISSERIA MACARRAO ALHO E OLEO BENDITO KG</t>
  </si>
  <si>
    <t>100058 - ROTISSERIA MACARRAO ALHO E OLEO KG</t>
  </si>
  <si>
    <t>102857 - ROTISSERIA MACARRAO ALHO E OLEO KG</t>
  </si>
  <si>
    <t>008438 - ROTISSERIA MACARRAO A MODA BENDITO KG</t>
  </si>
  <si>
    <t>008439 - ROTISSERIA MACARRAO AO MOLHO BRANCO BENDITO KG</t>
  </si>
  <si>
    <t>107413 - ROTISSERIA MACARRAO AO MOLHO BRANCO KG</t>
  </si>
  <si>
    <t>008474 - ROTISSERIA MACARRAO BENDITO  KG</t>
  </si>
  <si>
    <t>008441 - ROTISSERIA MACARRAO C/ALMONDEGA BENDITO KG</t>
  </si>
  <si>
    <t>093626 - ROTISSERIA MACARRAO C/BROCOLIS E BACON KG</t>
  </si>
  <si>
    <t>008442 - ROTISSERIA MACARRAO C/CALABRESA MOLHO ROSE BENDITO KG</t>
  </si>
  <si>
    <t>008326 - ROTISSERIA MACARRAO C/CHEDDAR E BACON</t>
  </si>
  <si>
    <t>008444 - ROTISSERIA MACARRAO  C/ MOLHO PESTO BENDITO KG</t>
  </si>
  <si>
    <t>008445 - ROTISSERIA MACARRAO COM BACALHAU BENDITO  KG</t>
  </si>
  <si>
    <t>008450 - ROTISSERIA MACARRAO C/SALSICHA BENDITO KG</t>
  </si>
  <si>
    <t>008459 - ROTISSERIA MACARRAO ESPECIAL BENDITO KG</t>
  </si>
  <si>
    <t>001998 - ROTISSERIA MACARRAO ESPECIAL KG</t>
  </si>
  <si>
    <t>008465 - ROTISSERIA MACARRAO INTEGRAL ALHO PORO TOMATE BENDITO KG</t>
  </si>
  <si>
    <t>008473 - ROTISSERIA MACARRAO INTEGRAL C/ MOLHO PESTO BENDITO KG</t>
  </si>
  <si>
    <t>110332 - ROTISSERIA MACARRAO  KG</t>
  </si>
  <si>
    <t>008475 - ROTISSERIA MACARRAO MOLHO BRANCO C/ALHO PORO BENDITO KG</t>
  </si>
  <si>
    <t>008479 - ROTISSERIA  MACARRAO PRIMAVERA BENDITO KG</t>
  </si>
  <si>
    <t>002957 - ROTISSERIA  MACARRAO PRIMAVERA  KG</t>
  </si>
  <si>
    <t>008480 - ROTISSERIA MACARRONADA A BOLONHESA BENDITO KG</t>
  </si>
  <si>
    <t>094461 - ROTISSERIA MACARRONADA A BOLONHESA KG</t>
  </si>
  <si>
    <t>008481 - ROTISSERIA MAC.SPAGUETI M.ALMONDEGA FGO BENDITO KG</t>
  </si>
  <si>
    <t>006237 - ROTISSERIA MAC.SPAGUETI M.ALMONDEGA FGO KG</t>
  </si>
  <si>
    <t>008483 - ROTISSERIA MAIONESE BENDITO KG</t>
  </si>
  <si>
    <t>006857 - ROTISSERIA MAIONESE DE LEGUMES COM FRANGO</t>
  </si>
  <si>
    <t>008482 - ROTISSERIA MAIONESE DE LEGUMES COM FRANGO BENDITO KG</t>
  </si>
  <si>
    <t>093469 - ROTISSERIA MAIONESE KG</t>
  </si>
  <si>
    <t>100865 - ROTISSERIA MAMINHA ASSADA</t>
  </si>
  <si>
    <t>008484 - ROTISSERIA MAMINHA ASSADA BENDITO KG</t>
  </si>
  <si>
    <t>008485 - ROTISSERIA MANDIOCA FRITA BENDITO KG</t>
  </si>
  <si>
    <t>096166 - ROTISSERIA MANDIOCA FRITA KG</t>
  </si>
  <si>
    <t>008491 - ROTISSERIA MEDALHAO FRANGO BENDITO KG</t>
  </si>
  <si>
    <t>094146 - ROTISSERIA MEDALHAO FRANGO KG</t>
  </si>
  <si>
    <t>008492 - ROTISSERIA MEDALHAO SUINO BENDITO KG</t>
  </si>
  <si>
    <t>094808 - ROTISSERIA MEDALHAO SUINO DESCONTAO KG</t>
  </si>
  <si>
    <t>008493 - ROTISSERIA MILHO REFOGADO BENDITO KG</t>
  </si>
  <si>
    <t>100583 - ROTISSERIA MILHO REFOGADO KG</t>
  </si>
  <si>
    <t>008494 - ROTISSERIA MIX CHURRASCO BENDITO KG</t>
  </si>
  <si>
    <t>006815 - ROTISSERIA MIX CHURRASCO KG</t>
  </si>
  <si>
    <t>008497 - ROTISSERIA MIX LEGUMES ASSADO BENDITO KG</t>
  </si>
  <si>
    <t>001984 - ROTISSERIA MIX LEGUMES ASSADO KG</t>
  </si>
  <si>
    <t xml:space="preserve">004651 - ROTISSERIA MOLHO PIMENTA ARTESANAL </t>
  </si>
  <si>
    <t>008498 - ROTISSERIA MOLHO PIMENTA ARTESANAL BENDITO KG</t>
  </si>
  <si>
    <t>006960 - ROTISSERIA NHOQUE AO MOLHO SUGO KG</t>
  </si>
  <si>
    <t>008502 - ROTISSERIA NHOQUE DE BATATA C/ CARNE BENDITO KG</t>
  </si>
  <si>
    <t>093473 - ROTISSERIA NHOQUE DE BATATA C/ CARNE KG</t>
  </si>
  <si>
    <t>008503 - ROTISSERIA OMELETE DE FORNO BENDITO KG</t>
  </si>
  <si>
    <t>006519 - ROTISSERIA OMELETE DE FORNO  KG</t>
  </si>
  <si>
    <t>008505 - ROTISSERIA OVOS COZIDO BENDITO KG</t>
  </si>
  <si>
    <t>005299 - ROTISSERIA OVOS COZIDO KG</t>
  </si>
  <si>
    <t>008506 - ROTISSERIA OVOS FRITOS BENDITO KG</t>
  </si>
  <si>
    <t>005312 - ROTISSERIA OVOS FRITOS KG</t>
  </si>
  <si>
    <t>008507 - ROTISSERIA PANCETA ASSADA BENDITO KG</t>
  </si>
  <si>
    <t>098130 - ROTISSERIA PANCETA ASSADA KG</t>
  </si>
  <si>
    <t>008518 - ROTISSERIA PANCETA PURURUCA BENDITO KG</t>
  </si>
  <si>
    <t>001293 - ROTISSERIA PANCETA PURURUCA KG</t>
  </si>
  <si>
    <t>006991 - ROTISSERIA PANQUECA 3 QUEJOS KG</t>
  </si>
  <si>
    <t>006998 - ROTISSERIA PANQUECA 3 QUEJOS KG</t>
  </si>
  <si>
    <t>008525 - ROTISSERIA PANQUECA CALABRESA BENDITO  KG</t>
  </si>
  <si>
    <t>006578 - ROTISSERIA PANQUECA CALABRESA KG</t>
  </si>
  <si>
    <t>008526 - ROTISSERIA PANQUECA CARNE QUEIJO BENDITO KG</t>
  </si>
  <si>
    <t>005753 - ROTISSERIA PANQUECA CARNE QUEIJO KG</t>
  </si>
  <si>
    <t>105406 - ROTISSERIA PANQUECA DE CARNE AO POMODORO</t>
  </si>
  <si>
    <t>008529 - ROTISSERIA PANQUECA DE CARNE AO POMODORO BENDITO KG</t>
  </si>
  <si>
    <t>008532 - ROTISSERIA PANQUECA DE FRANGO BENDITO KG</t>
  </si>
  <si>
    <t>105407 - ROTISSERIA PANQUECA DE FRANGO KG</t>
  </si>
  <si>
    <t>008541 - ROTISSERIA PANQUECA FRANGO C REQUEIJAO BENDITO KG</t>
  </si>
  <si>
    <t>005752 - ROTISSERIA PANQUECA FRANGO C REQUEIJAO KG</t>
  </si>
  <si>
    <t>006032 - ROTISSERIA PANQUECA INTEGRAL DE BETERRABA COM FRANGO  KG</t>
  </si>
  <si>
    <t>006031 - ROTISSERIA PANQUECA INTEGRAL DE COUVE COM CARNE MOIDA  KG</t>
  </si>
  <si>
    <t>009067 - ROTISSERIA PANQUECA MASSA ESPINAFRE C/PALMITO BENDITO KG</t>
  </si>
  <si>
    <t>009075 - ROTISSERIA PANQUECA MASSA ESPINAFRE FRAN.CREAM.BENDITO KG</t>
  </si>
  <si>
    <t>008544 - ROTISSERIA PANQUECA PRESUNTO E MUSSARELA BENDITO KG</t>
  </si>
  <si>
    <t>093471 - ROTISSERIA PANQUECA PRESUNTO E MUSSARELA KG</t>
  </si>
  <si>
    <t>008545 - ROTISSERIA PANQUECA S/MOLHO CARNE BENDITO KG</t>
  </si>
  <si>
    <t>006834 - ROTISSERIA PANQUECA S/MOLHO CARNE KG</t>
  </si>
  <si>
    <t>008546 - ROTISSERIA PANQUECA S/MOLHO FRANGO BENDITO KG</t>
  </si>
  <si>
    <t>006833 - ROTISSERIA PANQUECA S/MOLHO FRANGO KG</t>
  </si>
  <si>
    <t>008547 - ROTISSERIA PANQUECA S/MOLHO PRESUNTO E QUEIJO BENDITO KG</t>
  </si>
  <si>
    <t>006832 - ROTISSERIA PANQUECA S/MOLHO PRESUNTO E QUEIJO KG</t>
  </si>
  <si>
    <t>027995 - ROTISSERIA PATE ALHO 180GR</t>
  </si>
  <si>
    <t>008548 - ROTISSERIA PATE ALHO BENDITO 180GR</t>
  </si>
  <si>
    <t>008551 - ROTISSERIA PATE ALHO BENDITO KG</t>
  </si>
  <si>
    <t>003221 - ROTISSERIA PATE ALHO C/ AZEITONA PRETA</t>
  </si>
  <si>
    <t>008549 - ROTISSERIA PATE ALHO C/ AZEITONA PRETA BENDITO KG</t>
  </si>
  <si>
    <t>003219 - ROTISSERIA PATE ALHO KG</t>
  </si>
  <si>
    <t>008552 - ROTISSERIA PATE BACONESE BENDITO KG</t>
  </si>
  <si>
    <t>006558 - ROTISSERIA PATE BACONESE KG</t>
  </si>
  <si>
    <t>001613 - ROTISSERIA PATE DE ALHO CROCANTE KG</t>
  </si>
  <si>
    <t>027997 - ROTISSERIA PATE DE RICOTA 180GR</t>
  </si>
  <si>
    <t>008553 - ROTISSERIA PATE DE RICOTA BENDITO 180GR</t>
  </si>
  <si>
    <t>008554 - ROTISSERIA PATE DE RICOTA BENDITO  KG</t>
  </si>
  <si>
    <t>004347 - ROTISSERIA PATE DE RICOTA KG</t>
  </si>
  <si>
    <t>008555 - ROTISSERIA PATE GORGONZOLA BENDITO KG</t>
  </si>
  <si>
    <t>006835 - ROTISSERIA PATE GORGONZOLA KG</t>
  </si>
  <si>
    <t>008556 - ROTISSERIA PATE PIMENTA BIQUINHO BENDITO KG</t>
  </si>
  <si>
    <t>006689 - ROTISSERIA PATE PIMENTA BIQUINHO KG</t>
  </si>
  <si>
    <t>094812 - ROTISSERIA PEIXE ASSADO</t>
  </si>
  <si>
    <t xml:space="preserve">008557 - ROTISSERIA PEIXE ASSADO BENDITO KG </t>
  </si>
  <si>
    <t>006901 - ROTISSERIA PENNE MOLHO BECHAMEL C/ BROCOLIS E BACON</t>
  </si>
  <si>
    <t xml:space="preserve">008559 - ROTISSERIA PENNE MOLHO BECHAMEL C/ BROCOLIS E BACON BENDITO </t>
  </si>
  <si>
    <t>008563 - ROTISSERIA PERNIL ACEBOLADO BENDITO  KG</t>
  </si>
  <si>
    <t>093485 - ROTISSERIA PERNIL ACEBOLADO KG</t>
  </si>
  <si>
    <t>008565 - ROTISSERIA PERNIL ASSADO C/OSSO BENDITO KG</t>
  </si>
  <si>
    <t>101682 - ROTISSERIA PERNIL ASSADO C/OSSO KG</t>
  </si>
  <si>
    <t>093651 - ROTISSERIA PERNIL ASSADO DESOSSADO KG</t>
  </si>
  <si>
    <t>008566 - ROTISSERIA PERNIL DE PANELA BENDITO KG</t>
  </si>
  <si>
    <t>094646 - ROTISSERIA PERNIL DE PANELA KG</t>
  </si>
  <si>
    <t>008568 - ROTISSERIA PICADINHO CARNE ASSADA BENDITO KG</t>
  </si>
  <si>
    <t>097608 - ROTISSERIA PICADINHO CARNE ASSADA KG</t>
  </si>
  <si>
    <t>008569 - ROTISSERIA PICANHA ASSADA BENDITO  KG</t>
  </si>
  <si>
    <t>099666 - ROTISSERIA PICANHA ASSADA KG</t>
  </si>
  <si>
    <t>101183 - ROTISSERIA POLENTA AO MOLHO KG</t>
  </si>
  <si>
    <t>008572 - ROTISSERIA POLENTA COM COUVE E FRANGO BENDITO KG</t>
  </si>
  <si>
    <t>008574 - ROTISSERIA POLENTA COM COUVE E FRANGO BENDITO UND</t>
  </si>
  <si>
    <t>005966 - ROTISSERIA POLENTA COM COUVE E FRANGO KG</t>
  </si>
  <si>
    <t>004699 - ROTISSERIA POLENTA COM COUVE E FRANGO UND</t>
  </si>
  <si>
    <t>008575 - ROTISSERIA POLPETONE ITALIANO BENDITO KG</t>
  </si>
  <si>
    <t>005686 - ROTISSERIA POLPETONE ITALIANO KG</t>
  </si>
  <si>
    <t>008577 - ROTISSERIA PONTA DE PEITO ASSADA BENDITO  KG</t>
  </si>
  <si>
    <t>094424 - ROTISSERIA PONTA DE PEITO ASSADA KG</t>
  </si>
  <si>
    <t>096543 - ROTISSERIA PONTA PEITO ASSADA UNIDADE</t>
  </si>
  <si>
    <t>008578 - ROTISSERIA POSTA DE TILAPIA BENDITO KG</t>
  </si>
  <si>
    <t>005848 - ROTISSERIA POSTA DE TILAPIA KG</t>
  </si>
  <si>
    <t>008580 - ROTISSERIA PRIME RIB ASSADO BENDITO KG</t>
  </si>
  <si>
    <t>002822 - ROTISSERIA PRIME RIB ASSADO KG</t>
  </si>
  <si>
    <t>008598 - ROTISSERIA PURE DE BATATA BENDITO KG</t>
  </si>
  <si>
    <t>093489 - ROTISSERIA PURE DE BATATA KG</t>
  </si>
  <si>
    <t>008599 - ROTISSERIA PURE DE MANDIOQUINHA BENDITO KG</t>
  </si>
  <si>
    <t>001227 - ROTISSERIA PURE DE MANDIOQUINHA KG</t>
  </si>
  <si>
    <t>008602 - ROTISSERIA QUIBE ASSADO BENDITO KG</t>
  </si>
  <si>
    <t>094238 - ROTISSERIA QUIBE ASSADO KG</t>
  </si>
  <si>
    <t>008605 - ROTISSERIA QUIBEBE DE MANDIOCA BENDITO KG</t>
  </si>
  <si>
    <t>003480 - ROTISSERIA QUIBEBE DE MANDIOCA KG</t>
  </si>
  <si>
    <t>008614 - ROTISSERIA QUIBE FRITO BENDITO KG</t>
  </si>
  <si>
    <t>095180 - ROTISSERIA QUIBE FRITO KG</t>
  </si>
  <si>
    <t>008616 - ROTISSERIA QUIBE RECHEADO BENDITO  KG</t>
  </si>
  <si>
    <t>102073 - ROTISSERIA QUIBE RECHEADO KG</t>
  </si>
  <si>
    <t>008619 - ROTISSERIA RABADA AO MOLHO BENDITO KG</t>
  </si>
  <si>
    <t>094692 - ROTISSERIA RABADA AO MOLHO KG</t>
  </si>
  <si>
    <t>008624 - ROTISSERIA RABADA COM POLENTA BENDITO KG</t>
  </si>
  <si>
    <t>003456 - ROTISSERIA RABADA COM POLENTA KG</t>
  </si>
  <si>
    <t>008633 - ROTISSERIA REPOLHO REFOGADO BENDITO KG</t>
  </si>
  <si>
    <t>098190 - ROTISSERIA REPOLHO REFOGADO KG</t>
  </si>
  <si>
    <t>008646 - ROTISSERIA ROCAMBOLE DE CARNE MOIDA BENDITO KG</t>
  </si>
  <si>
    <t>093456 - ROTISSERIA ROCAMBOLE DE CARNE MOIDA KG</t>
  </si>
  <si>
    <t>004985 - ROTISSERIA ROCAMBOLE DE FRANGO 650G</t>
  </si>
  <si>
    <t>008647 - ROTISSERIA ROCAMBOLE DE FRANGO BENDITO  650G</t>
  </si>
  <si>
    <t>008648 - ROTISSERIA ROCAMBOLE DE FRANGO BENDITO KG</t>
  </si>
  <si>
    <t>093907 - ROTISSERIA ROCAMBOLE DE FRANGO KG</t>
  </si>
  <si>
    <t>008649 - ROTISSERIA ROCAMBOLE DE KAFTA RECHEADO BENDITO KG</t>
  </si>
  <si>
    <t>001734 - ROTISSERIA ROCAMBOLE DE KAFTA RECHEADO KG</t>
  </si>
  <si>
    <t>008658 - ROTISSERIA ROLE FRANGO RECHEADO BENDITO KG</t>
  </si>
  <si>
    <t>001017 - ROTISSERIA ROLE FRANGO RECHEADO KG</t>
  </si>
  <si>
    <t xml:space="preserve">003152 - ROTISSERIA RONDELE 4 QUEIJOS </t>
  </si>
  <si>
    <t>008659 - ROTISSERIA RONDELE 4 QUEIJOS BENDITO KG</t>
  </si>
  <si>
    <t>008663 - ROTISSERIA RONDELE FRANGO REQUEIJAO BENDITO KG</t>
  </si>
  <si>
    <t>001296 - ROTISSERIA RONDELE FRANGO REQUEIJAO KG</t>
  </si>
  <si>
    <t>008667 - ROTISSERIA RONDELE PRESUNTO MUSSARELA BOLONHESA BENDITO KG</t>
  </si>
  <si>
    <t>093480 - ROTISSERIA RONDELE PRESUNTO MUSSARELA BOLONHESA KG</t>
  </si>
  <si>
    <t>009121 - ROTISSERIA RUCULA C/CREAM CHEESE BENDITO UN</t>
  </si>
  <si>
    <t>008668 - ROTISSERIA SALADA BATATA DOCE BENDITO KG</t>
  </si>
  <si>
    <t>008671 - ROTISSERIA SALADA BATATONESE BENDITO KG</t>
  </si>
  <si>
    <t>008963 - ROTISSERIA SALADA CEASER C/FRANGO BENDITO</t>
  </si>
  <si>
    <t>008688 - ROTISSERIA SALADA CENOURA BENDITO KG</t>
  </si>
  <si>
    <t>008673 - ROTISSERIA SALADA CENOURA/BETERRABA BENDITO KG</t>
  </si>
  <si>
    <t>003232 - ROTISSERIA SALADA CENOURA/BETERRABA  KG</t>
  </si>
  <si>
    <t>008674 - ROTISSERIA SALADA CENOURA C/CHUCHU BENDITO KG</t>
  </si>
  <si>
    <t>008687 - ROTISSERIA SALADA CENOURA C/VAGEM BENDITO KG</t>
  </si>
  <si>
    <t>008689 - ROTISSERIA SALADA CENOURA/VAGEM/MANDIOQ BENDITO KG</t>
  </si>
  <si>
    <t>008690 - ROTISSERIA SALADA DE BATATA CURTINHA BENDITO KG</t>
  </si>
  <si>
    <t>008694 - ROTISSERIA SALADA DE BERINJELA BENDITO KG</t>
  </si>
  <si>
    <t>008695 - ROTISSERIA SALADA DE BETERRABA BENDITO KG</t>
  </si>
  <si>
    <t>005497 - ROTISSERIA SALADA DE BETERRABA KG</t>
  </si>
  <si>
    <t>008703 - ROTISSERIA SALADA DE BROCOLIS BENDITO KG</t>
  </si>
  <si>
    <t>008702 - ROTISSERIA SALADA DE BROCOLIS C/COUVE FLOR BENDITO KG</t>
  </si>
  <si>
    <t>105400 - ROTISSERIA SALADA DE CHUCHU KG</t>
  </si>
  <si>
    <t>008704 - ROTISSERIA SALADA DE COUVE FLOR BENDITO KG</t>
  </si>
  <si>
    <t>094885 - ROTISSERIA SALADA DE COUVE FLOR KG</t>
  </si>
  <si>
    <t>008713 - ROTISSERIA SALADA DE GRAO DE BICO BENDITO KG</t>
  </si>
  <si>
    <t>008707 - ROTISSERIA SALADA DE GRAO DE BICO C/ ATUM BENDITO KG</t>
  </si>
  <si>
    <t>008712 - ROTISSERIA SALADA DE GRAO DE BICO C/BACALHAU BENDITO KG</t>
  </si>
  <si>
    <t>008714 - ROTISSERIA SALADA DE JILO  BENDITO KG</t>
  </si>
  <si>
    <t>105659 - ROTISSERIA SALADA DE JILO DESCONTAO KG</t>
  </si>
  <si>
    <t>008725 - ROTISSERIA SALADA DE MACARRAO BENDITO KG</t>
  </si>
  <si>
    <t>008716 - ROTISSERIA SALADA DE MACARRAO BIFUM BENDITO KG</t>
  </si>
  <si>
    <t>001490 - ROTISSERIA SALADA DE MACARRAO BIFUM KG</t>
  </si>
  <si>
    <t>008726 - ROTISSERIA SALADA DE VINAGRETE BENDITO KG</t>
  </si>
  <si>
    <t>004593 - ROTISSERIA SALADA DE VINAGRETE KG</t>
  </si>
  <si>
    <t>008727 - ROTISSERIA SALADA FEIJAO BRANCO BENDITO KG</t>
  </si>
  <si>
    <t>008728 - ROTISSERIA SALADA FRIA BENDITO KG</t>
  </si>
  <si>
    <t>008729 - ROTISSERIA SALADA MANDIOCA VINAGRETE BENDITO KG</t>
  </si>
  <si>
    <t>008964 - ROTISSERIA SALADA MIX DE FOLHA C/PEITO PERU BENDITO</t>
  </si>
  <si>
    <t>008962 - ROTISSERIA SALADA MIX DE FOLHA E LEGUMES C/PROTEINAS BENDITO</t>
  </si>
  <si>
    <t xml:space="preserve">008960 - ROTISSERIA SALADA MIX DE FOLHA E LEGUMES C/PROTEINAS KG </t>
  </si>
  <si>
    <t>008759 - ROTISSERIA SALADA MIX LEGUMES BENDITO KG</t>
  </si>
  <si>
    <t>008769 - ROTISSERIA SALADA OVO CODORNA MIX BENDITO KG</t>
  </si>
  <si>
    <t>009125 - ROTISSERIA SALADA POKE DE KANI BENDITO UN</t>
  </si>
  <si>
    <t>009126 - ROTISSERIA SALADA POKE DE SALMAO GRELHADO BENDITO UN</t>
  </si>
  <si>
    <t>009129 - ROTISSERIA SALADA POKE DE SHIMEJI BENDITO UN</t>
  </si>
  <si>
    <t>008782 - ROTISSERIA SALADA QUIABO BENDITO KG</t>
  </si>
  <si>
    <t>008789 - ROTISSERIA SALADA SUNOMONO BENDITOKG</t>
  </si>
  <si>
    <t xml:space="preserve">009120 - ROTISSERIA SALMAO GRELHADO BEDNITO UN </t>
  </si>
  <si>
    <t>008790 - ROTISSERIA SALPICAO BENDITO KG</t>
  </si>
  <si>
    <t>008791 - ROTISSERIA SALSICHA AO MOLHO BENDITO KG</t>
  </si>
  <si>
    <t>102528 - ROTISSERIA SALSICHA AO MOLHO KG</t>
  </si>
  <si>
    <t>008801 - ROTISSERIA SOBRECOXA DE FRANGO DE PANELA BENDITO KG</t>
  </si>
  <si>
    <t>111271 - ROTISSERIA SOBRECOXA DE FRANGO DE PANELA KG</t>
  </si>
  <si>
    <t>008804 - ROTISSERIA SOBRECOXA RECHEADA BENDITO KG</t>
  </si>
  <si>
    <t>008821 - ROTISSERIA SOBRECOXA RECHEADA BENDITO KG</t>
  </si>
  <si>
    <t>093965 - ROTISSERIA SOBRECOXA RECHEADA KG</t>
  </si>
  <si>
    <t>008824 - ROTISSERIA SOFIATELLI PRESUNTO E MUSSARELA BENDITO KG</t>
  </si>
  <si>
    <t>006435 - ROTISSERIA SOFIATELLI PRESUNTO E MUSSARELA KG</t>
  </si>
  <si>
    <t>008829 - ROTISSERIA SOFIATELLI Q.QUEIJO BENDITO KG</t>
  </si>
  <si>
    <t>006437 - ROTISSERIA SOFIATELLI Q.QUEIJO KG</t>
  </si>
  <si>
    <t>008834 - ROTISSERIA STROGONOFF DE CARNE BENDITO KG</t>
  </si>
  <si>
    <t>008837 - ROTISSERIA STROGONOFF DE FRANGO BENDITO KG</t>
  </si>
  <si>
    <t>009123 - ROTISSERIA SUSHI KANI C/CREAM CHEESE BENDITO UN</t>
  </si>
  <si>
    <t>009122 - ROTISSERIA SUSHI TOMATE SECO BENDITO UN</t>
  </si>
  <si>
    <t>008839 - ROTISSERIA TABULE BENDITO KG</t>
  </si>
  <si>
    <t>008846 - ROTISSERIA TENDER BOLINHA BENDITO UN</t>
  </si>
  <si>
    <t>036049 - ROTISSERIA TENDER BOLINHA BENDITO UN</t>
  </si>
  <si>
    <t>008847 - ROTISSERIA TIRINHA DE CARNE BENDITO KG</t>
  </si>
  <si>
    <t>008854 - ROTISSERIA TIRINHA MERLUZA EMPANADA BENDITO KG</t>
  </si>
  <si>
    <t>006768 - ROTISSERIA TIRINHA MERLUZA EMPANADA  KG</t>
  </si>
  <si>
    <t>008855 - ROTISSERIA TIRINHA TILAPIA EMPANADA BENDITO KG</t>
  </si>
  <si>
    <t>002829 - ROTISSERIA TIRINHA TILAPIA EMPANADA  KG</t>
  </si>
  <si>
    <t xml:space="preserve">008862 - ROTISSERIA TOMATE CONFIT BENDITO KG </t>
  </si>
  <si>
    <t>008863 - ROTISSERIA TOMATE RECHEADO BENDITO KG</t>
  </si>
  <si>
    <t>008872 - ROTISSERIA TULIPA ASSADA BENDITO KG</t>
  </si>
  <si>
    <t>008523 - ROTISSERIA TULIPA BUFALO WINGS KG</t>
  </si>
  <si>
    <t>008874 - ROTISSERIA TUTU DE FEIJAO BENDITO KG</t>
  </si>
  <si>
    <t>096167 - ROTISSERIA TUTU DE FEIJAO KG</t>
  </si>
  <si>
    <t>008895 - ROTISSERIA VACA ATOLADA BENDITO KG</t>
  </si>
  <si>
    <t>008900 - ROTISSERIA YAKISSOBA BENDITO KG</t>
  </si>
  <si>
    <t>008898 - ROTISSERIA YAKISSOBA INTEGRAL BENDITO KG</t>
  </si>
  <si>
    <t>001669 - ROTISSERIA YAKISSOBA KG</t>
  </si>
  <si>
    <t>008542 - ROT.PANQUECA INTEGRAL BETERRABA C/FRANGO BENDITO  KG</t>
  </si>
  <si>
    <t>008543 - ROT.PANQUECA INTEGRAL DE COUVE COM CARNE MOIDA BENDITO KG</t>
  </si>
  <si>
    <t>006872 - ROT REFFRIGERADO FEIJOADA KG</t>
  </si>
  <si>
    <t>006925 - ROT REFRIGERADA COSTELINHA PORCO MOLHO BARBECUE UN</t>
  </si>
  <si>
    <t>005988 - ROT REFRIGERADO BOBO DE FRANGO  KG</t>
  </si>
  <si>
    <t>005932 - ROT REFRIGERADO CALDO DE CABOTIA COM CARNE SECA KG</t>
  </si>
  <si>
    <t>005937 - ROT REFRIGERADO CALDO DE MANDIOCA KG</t>
  </si>
  <si>
    <t>005933 - ROT REFRIGERADO CALDO DE MANDIOQUINHA COM BACON KG</t>
  </si>
  <si>
    <t>093444 - ROT REFRIGERADO CANELONE AO MOLHO SUGO KG</t>
  </si>
  <si>
    <t>005768 - ROT REFRIGERADO CANELONE PRESUNTO E MUSSARELA AO PESTO KG</t>
  </si>
  <si>
    <t>006910 - ROT REFRIGERADO CARNE MOIDA COM LEGUMES KG</t>
  </si>
  <si>
    <t>005935 - ROT REFRIGERADO CARNE PANELA C BATATA KG</t>
  </si>
  <si>
    <t>001859 - ROT REFRIGERADO COSTELINHA MOLHO BARBECUE KG</t>
  </si>
  <si>
    <t>006875 - ROT REFRIGERADO COUVE KG</t>
  </si>
  <si>
    <t>006906 - ROT REFRIGERADO DOBRADINHA KG</t>
  </si>
  <si>
    <t>006896 - ROT REFRIGERADO ESPAGUETE A BOLONHESA</t>
  </si>
  <si>
    <t>006904 - ROT REFRIGERADO ESPAGUETE + POLPETONE</t>
  </si>
  <si>
    <t>006873 - ROT REFRIGERADO FAROFA KG</t>
  </si>
  <si>
    <t>005974 - ROT REFRIGERADO FILE FRANGO A PARMEGIANA KG</t>
  </si>
  <si>
    <t>001857 - ROT REFRIGERADO LAGARTO AO MOLHO MADEIRA KG</t>
  </si>
  <si>
    <t>006077 - ROT REFRIGERADO LASANHA DE BROCOLIS E QUEIJO KG</t>
  </si>
  <si>
    <t>005975 - ROT REFRIGERADO MAMINHA AO MOLHO MADEIRA KG</t>
  </si>
  <si>
    <t>002764 - ROT REFRIGERADO NHOQUE A BOLONHESA KG</t>
  </si>
  <si>
    <t>006879 - ROT REFRIGERADO PANQUECA DE CARNE AO POMODORO</t>
  </si>
  <si>
    <t>005908 - ROT REFRIGERADO PANQUECA DE ESPINAFRE KG</t>
  </si>
  <si>
    <t>006878 - ROT REFRIGERADO PANQUECA FRANGO C/CATUPIRY KG</t>
  </si>
  <si>
    <t>002771 - ROT REFRIGERADO PANQUECA PRESUNTO MUSSARELA KG</t>
  </si>
  <si>
    <t>006874 - ROT REFRIGERADO PENNE AO MOLHO BRANCO C/BACON</t>
  </si>
  <si>
    <t>006898 - ROT REFRIGERADO PENNE MOLHO BECHAMEL BROCOLIS E BACON</t>
  </si>
  <si>
    <t>003129 - ROT REFRIGERADO PERNIL ASSADO AO MOLHO FERRUGEM KG</t>
  </si>
  <si>
    <t>006893 - ROT REFRIGERADO REFEICAO CARNE MOIDA C/ LEGUMES</t>
  </si>
  <si>
    <t xml:space="preserve">005395 - ROT REFRIGERADO REFEICAO FEIJOADA UN </t>
  </si>
  <si>
    <t>006894 - ROT REFRIGERADO REFEICAO LAGARTO MOLHO MADEIRA</t>
  </si>
  <si>
    <t xml:space="preserve">006876 - ROT REFRIGERADO REFEICAO STROGONOFF FRANGO UN </t>
  </si>
  <si>
    <t>005782 - ROT REFRIGERADO RONDELE RICOTA E ALHO PORO AO MOLHO SUGO KG</t>
  </si>
  <si>
    <t>005775 - ROT REFRIGERADO RONDELLI RICOTA COM ALHO PORO AO SUGO KG</t>
  </si>
  <si>
    <t>001861 - ROT REFRIGERADO STROGONOFE DE FRANGO KG</t>
  </si>
  <si>
    <t>008904 - SALADA PRIMAVERA BENDITO KG</t>
  </si>
  <si>
    <t xml:space="preserve">008901 - SALADA PRIMAVERA GRANDE BENDITO UND </t>
  </si>
  <si>
    <t xml:space="preserve">036055 - SALADA PRIMAVERA PEQUENA BENDITO UND </t>
  </si>
  <si>
    <t>008905 - SOPA DE LEGUMES COM FRANGO BENDITO KG</t>
  </si>
  <si>
    <t>008907 - STEAK DE FRANGO BENDITO KG</t>
  </si>
  <si>
    <t>008908 - SUI PROD.BANHA BENDITO KG</t>
  </si>
  <si>
    <t>007065 - SUI PROD.BANHA KG</t>
  </si>
  <si>
    <t>007075 - SUI PROD.TORRESMO FRITO KG</t>
  </si>
  <si>
    <t>007930 - REF COPA LOMBO ACEBOLADA BENDITO</t>
  </si>
  <si>
    <t xml:space="preserve">008948 - REF COPA LOMBO SUINA MILANESA BENDITO </t>
  </si>
  <si>
    <t>007877 - REFEICAO TIRINHA CARNE CHINESA BENDITO UN</t>
  </si>
  <si>
    <t>008571 - ROTISSERIA POLENTA AO MOLHO CARNE MOIDA BENDITO KG</t>
  </si>
  <si>
    <t>08966 - REFEICAO ISCA DE FRANGO A MILANESA</t>
  </si>
  <si>
    <t>007768 - REFEICAO LAGARTO M.MADEIRA + BATATA ASSADA BENDITO</t>
  </si>
  <si>
    <t>007673 - REFEICAO FILE FRANGO PARMEGIANA BENDITO UN</t>
  </si>
  <si>
    <t>009289 - ROTISSERIA TEMAKI HOT SALMAO GRELAHADO</t>
  </si>
  <si>
    <t>009362 - REFEICAO ISCA DE FRANGO A ACEBOLADA BENDITO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</si>
</sst>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theme="9"/>
      </patternFill>
    </fill>
    <fill>
      <patternFill patternType="solid">
        <fgColor theme="4" tint="-0.249977111117893"/>
        <b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3300"/>
        <bgColor theme="9"/>
      </patternFill>
    </fill>
    <fill>
      <patternFill patternType="solid">
        <fgColor theme="5" tint="-0.249977111117893"/>
        <bgColor theme="9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theme="9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theme="9"/>
      </patternFill>
    </fill>
    <fill>
      <patternFill patternType="solid">
        <fgColor rgb="FFFFFFCC"/>
        <bgColor theme="9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theme="9" tint="0.79998168889431442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4" fillId="6" borderId="5" xfId="0" applyFont="1" applyFill="1" applyBorder="1"/>
    <xf numFmtId="0" fontId="4" fillId="6" borderId="1" xfId="0" applyFont="1" applyFill="1" applyBorder="1"/>
    <xf numFmtId="0" fontId="0" fillId="4" borderId="5" xfId="0" applyFill="1" applyBorder="1"/>
    <xf numFmtId="164" fontId="0" fillId="0" borderId="6" xfId="0" applyNumberFormat="1" applyBorder="1"/>
    <xf numFmtId="164" fontId="0" fillId="4" borderId="4" xfId="0" applyNumberFormat="1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164" fontId="0" fillId="4" borderId="15" xfId="0" applyNumberFormat="1" applyFill="1" applyBorder="1"/>
    <xf numFmtId="0" fontId="0" fillId="4" borderId="2" xfId="0" applyFill="1" applyBorder="1"/>
    <xf numFmtId="164" fontId="0" fillId="0" borderId="4" xfId="0" applyNumberFormat="1" applyBorder="1"/>
    <xf numFmtId="164" fontId="0" fillId="0" borderId="15" xfId="0" applyNumberFormat="1" applyBorder="1"/>
    <xf numFmtId="0" fontId="0" fillId="4" borderId="11" xfId="0" applyFill="1" applyBorder="1"/>
    <xf numFmtId="0" fontId="0" fillId="4" borderId="3" xfId="0" applyFill="1" applyBorder="1"/>
    <xf numFmtId="0" fontId="0" fillId="8" borderId="0" xfId="0" applyFill="1"/>
    <xf numFmtId="164" fontId="0" fillId="4" borderId="17" xfId="0" applyNumberFormat="1" applyFill="1" applyBorder="1"/>
    <xf numFmtId="164" fontId="0" fillId="9" borderId="0" xfId="0" applyNumberFormat="1" applyFill="1"/>
    <xf numFmtId="0" fontId="0" fillId="9" borderId="0" xfId="0" applyFill="1"/>
    <xf numFmtId="164" fontId="0" fillId="8" borderId="0" xfId="0" applyNumberFormat="1" applyFill="1"/>
    <xf numFmtId="0" fontId="0" fillId="9" borderId="0" xfId="0" applyFill="1" applyAlignment="1">
      <alignment horizontal="center"/>
    </xf>
    <xf numFmtId="0" fontId="0" fillId="8" borderId="18" xfId="0" applyFill="1" applyBorder="1"/>
    <xf numFmtId="164" fontId="0" fillId="8" borderId="14" xfId="0" applyNumberFormat="1" applyFill="1" applyBorder="1"/>
    <xf numFmtId="164" fontId="0" fillId="8" borderId="19" xfId="0" applyNumberFormat="1" applyFill="1" applyBorder="1"/>
    <xf numFmtId="0" fontId="4" fillId="10" borderId="0" xfId="0" applyFont="1" applyFill="1"/>
    <xf numFmtId="164" fontId="3" fillId="0" borderId="0" xfId="0" applyNumberFormat="1" applyFont="1"/>
    <xf numFmtId="164" fontId="1" fillId="0" borderId="0" xfId="0" applyNumberFormat="1" applyFont="1"/>
    <xf numFmtId="164" fontId="5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164" fontId="0" fillId="9" borderId="14" xfId="0" applyNumberFormat="1" applyFill="1" applyBorder="1"/>
    <xf numFmtId="0" fontId="0" fillId="9" borderId="13" xfId="0" applyFill="1" applyBorder="1"/>
    <xf numFmtId="0" fontId="4" fillId="12" borderId="5" xfId="0" applyFont="1" applyFill="1" applyBorder="1"/>
    <xf numFmtId="0" fontId="4" fillId="12" borderId="1" xfId="0" applyFont="1" applyFill="1" applyBorder="1"/>
    <xf numFmtId="0" fontId="4" fillId="6" borderId="11" xfId="0" applyFont="1" applyFill="1" applyBorder="1"/>
    <xf numFmtId="0" fontId="4" fillId="13" borderId="5" xfId="0" applyFont="1" applyFill="1" applyBorder="1"/>
    <xf numFmtId="0" fontId="4" fillId="13" borderId="1" xfId="0" applyFont="1" applyFill="1" applyBorder="1"/>
    <xf numFmtId="164" fontId="0" fillId="4" borderId="20" xfId="0" applyNumberFormat="1" applyFill="1" applyBorder="1"/>
    <xf numFmtId="164" fontId="0" fillId="4" borderId="21" xfId="0" applyNumberFormat="1" applyFill="1" applyBorder="1"/>
    <xf numFmtId="0" fontId="0" fillId="4" borderId="7" xfId="0" applyFill="1" applyBorder="1"/>
    <xf numFmtId="0" fontId="0" fillId="4" borderId="12" xfId="0" applyFill="1" applyBorder="1"/>
    <xf numFmtId="164" fontId="0" fillId="4" borderId="1" xfId="0" applyNumberFormat="1" applyFill="1" applyBorder="1"/>
    <xf numFmtId="164" fontId="0" fillId="0" borderId="22" xfId="0" applyNumberFormat="1" applyBorder="1"/>
    <xf numFmtId="164" fontId="0" fillId="8" borderId="23" xfId="0" applyNumberFormat="1" applyFill="1" applyBorder="1"/>
    <xf numFmtId="0" fontId="0" fillId="8" borderId="16" xfId="0" applyFill="1" applyBorder="1"/>
    <xf numFmtId="0" fontId="4" fillId="15" borderId="5" xfId="0" applyFont="1" applyFill="1" applyBorder="1"/>
    <xf numFmtId="0" fontId="4" fillId="15" borderId="1" xfId="0" applyFont="1" applyFill="1" applyBorder="1"/>
    <xf numFmtId="0" fontId="4" fillId="16" borderId="5" xfId="0" applyFont="1" applyFill="1" applyBorder="1"/>
    <xf numFmtId="0" fontId="4" fillId="16" borderId="1" xfId="0" applyFont="1" applyFill="1" applyBorder="1"/>
    <xf numFmtId="0" fontId="0" fillId="17" borderId="5" xfId="0" applyFill="1" applyBorder="1"/>
    <xf numFmtId="0" fontId="0" fillId="17" borderId="7" xfId="0" applyFill="1" applyBorder="1"/>
    <xf numFmtId="164" fontId="0" fillId="17" borderId="15" xfId="0" applyNumberFormat="1" applyFill="1" applyBorder="1"/>
    <xf numFmtId="164" fontId="0" fillId="18" borderId="6" xfId="0" applyNumberFormat="1" applyFill="1" applyBorder="1"/>
    <xf numFmtId="0" fontId="0" fillId="17" borderId="2" xfId="0" applyFill="1" applyBorder="1"/>
    <xf numFmtId="0" fontId="0" fillId="17" borderId="12" xfId="0" applyFill="1" applyBorder="1"/>
    <xf numFmtId="164" fontId="0" fillId="17" borderId="4" xfId="0" applyNumberFormat="1" applyFill="1" applyBorder="1"/>
    <xf numFmtId="164" fontId="0" fillId="17" borderId="17" xfId="0" applyNumberFormat="1" applyFill="1" applyBorder="1"/>
    <xf numFmtId="164" fontId="0" fillId="18" borderId="1" xfId="0" applyNumberFormat="1" applyFill="1" applyBorder="1"/>
    <xf numFmtId="164" fontId="0" fillId="17" borderId="21" xfId="0" applyNumberFormat="1" applyFill="1" applyBorder="1"/>
    <xf numFmtId="0" fontId="0" fillId="17" borderId="16" xfId="0" applyFill="1" applyBorder="1"/>
    <xf numFmtId="164" fontId="0" fillId="17" borderId="1" xfId="0" applyNumberFormat="1" applyFill="1" applyBorder="1"/>
    <xf numFmtId="164" fontId="0" fillId="18" borderId="21" xfId="0" applyNumberFormat="1" applyFill="1" applyBorder="1"/>
    <xf numFmtId="164" fontId="0" fillId="18" borderId="22" xfId="0" applyNumberFormat="1" applyFill="1" applyBorder="1"/>
    <xf numFmtId="164" fontId="0" fillId="17" borderId="23" xfId="0" applyNumberFormat="1" applyFill="1" applyBorder="1"/>
    <xf numFmtId="164" fontId="0" fillId="18" borderId="15" xfId="0" applyNumberFormat="1" applyFill="1" applyBorder="1"/>
    <xf numFmtId="0" fontId="0" fillId="17" borderId="11" xfId="0" applyFill="1" applyBorder="1"/>
    <xf numFmtId="0" fontId="0" fillId="17" borderId="3" xfId="0" applyFill="1" applyBorder="1"/>
    <xf numFmtId="164" fontId="0" fillId="17" borderId="20" xfId="0" applyNumberFormat="1" applyFill="1" applyBorder="1"/>
    <xf numFmtId="0" fontId="4" fillId="20" borderId="5" xfId="0" applyFont="1" applyFill="1" applyBorder="1"/>
    <xf numFmtId="0" fontId="4" fillId="20" borderId="1" xfId="0" applyFont="1" applyFill="1" applyBorder="1"/>
    <xf numFmtId="0" fontId="0" fillId="21" borderId="5" xfId="0" applyFill="1" applyBorder="1"/>
    <xf numFmtId="0" fontId="0" fillId="21" borderId="7" xfId="0" applyFill="1" applyBorder="1"/>
    <xf numFmtId="164" fontId="0" fillId="21" borderId="1" xfId="0" applyNumberFormat="1" applyFill="1" applyBorder="1"/>
    <xf numFmtId="164" fontId="0" fillId="22" borderId="22" xfId="0" applyNumberFormat="1" applyFill="1" applyBorder="1"/>
    <xf numFmtId="0" fontId="0" fillId="21" borderId="2" xfId="0" applyFill="1" applyBorder="1"/>
    <xf numFmtId="0" fontId="0" fillId="21" borderId="12" xfId="0" applyFill="1" applyBorder="1"/>
    <xf numFmtId="164" fontId="0" fillId="21" borderId="21" xfId="0" applyNumberFormat="1" applyFill="1" applyBorder="1"/>
    <xf numFmtId="164" fontId="0" fillId="21" borderId="20" xfId="0" applyNumberFormat="1" applyFill="1" applyBorder="1"/>
    <xf numFmtId="0" fontId="0" fillId="21" borderId="3" xfId="0" applyFill="1" applyBorder="1"/>
    <xf numFmtId="0" fontId="0" fillId="21" borderId="11" xfId="0" applyFill="1" applyBorder="1"/>
    <xf numFmtId="164" fontId="0" fillId="22" borderId="1" xfId="0" applyNumberFormat="1" applyFill="1" applyBorder="1"/>
    <xf numFmtId="0" fontId="0" fillId="21" borderId="18" xfId="0" applyFill="1" applyBorder="1"/>
    <xf numFmtId="164" fontId="0" fillId="21" borderId="23" xfId="0" applyNumberFormat="1" applyFill="1" applyBorder="1"/>
    <xf numFmtId="164" fontId="0" fillId="22" borderId="21" xfId="0" applyNumberFormat="1" applyFill="1" applyBorder="1"/>
    <xf numFmtId="164" fontId="0" fillId="22" borderId="15" xfId="0" applyNumberFormat="1" applyFill="1" applyBorder="1"/>
    <xf numFmtId="164" fontId="0" fillId="21" borderId="4" xfId="0" applyNumberFormat="1" applyFill="1" applyBorder="1"/>
    <xf numFmtId="164" fontId="0" fillId="21" borderId="15" xfId="0" applyNumberFormat="1" applyFill="1" applyBorder="1"/>
    <xf numFmtId="164" fontId="0" fillId="22" borderId="6" xfId="0" applyNumberFormat="1" applyFill="1" applyBorder="1"/>
    <xf numFmtId="0" fontId="0" fillId="23" borderId="5" xfId="0" applyFill="1" applyBorder="1"/>
    <xf numFmtId="0" fontId="0" fillId="23" borderId="7" xfId="0" applyFill="1" applyBorder="1"/>
    <xf numFmtId="164" fontId="0" fillId="23" borderId="15" xfId="0" applyNumberFormat="1" applyFill="1" applyBorder="1"/>
    <xf numFmtId="164" fontId="0" fillId="24" borderId="6" xfId="0" applyNumberFormat="1" applyFill="1" applyBorder="1"/>
    <xf numFmtId="0" fontId="0" fillId="23" borderId="2" xfId="0" applyFill="1" applyBorder="1"/>
    <xf numFmtId="164" fontId="0" fillId="23" borderId="4" xfId="0" applyNumberFormat="1" applyFill="1" applyBorder="1"/>
    <xf numFmtId="164" fontId="0" fillId="23" borderId="17" xfId="0" applyNumberFormat="1" applyFill="1" applyBorder="1"/>
    <xf numFmtId="0" fontId="0" fillId="23" borderId="3" xfId="0" applyFill="1" applyBorder="1"/>
    <xf numFmtId="0" fontId="0" fillId="23" borderId="11" xfId="0" applyFill="1" applyBorder="1"/>
    <xf numFmtId="164" fontId="0" fillId="24" borderId="15" xfId="0" applyNumberFormat="1" applyFill="1" applyBorder="1"/>
    <xf numFmtId="0" fontId="0" fillId="23" borderId="12" xfId="0" applyFill="1" applyBorder="1"/>
    <xf numFmtId="164" fontId="0" fillId="23" borderId="1" xfId="0" applyNumberFormat="1" applyFill="1" applyBorder="1"/>
    <xf numFmtId="164" fontId="0" fillId="24" borderId="22" xfId="0" applyNumberFormat="1" applyFill="1" applyBorder="1"/>
    <xf numFmtId="164" fontId="0" fillId="23" borderId="23" xfId="0" applyNumberFormat="1" applyFill="1" applyBorder="1"/>
    <xf numFmtId="0" fontId="0" fillId="23" borderId="16" xfId="0" applyFill="1" applyBorder="1"/>
    <xf numFmtId="164" fontId="0" fillId="24" borderId="21" xfId="0" applyNumberFormat="1" applyFill="1" applyBorder="1"/>
    <xf numFmtId="164" fontId="0" fillId="23" borderId="21" xfId="0" applyNumberFormat="1" applyFill="1" applyBorder="1"/>
    <xf numFmtId="164" fontId="0" fillId="23" borderId="20" xfId="0" applyNumberFormat="1" applyFill="1" applyBorder="1"/>
    <xf numFmtId="0" fontId="4" fillId="26" borderId="5" xfId="0" applyFont="1" applyFill="1" applyBorder="1"/>
    <xf numFmtId="0" fontId="4" fillId="26" borderId="1" xfId="0" applyFont="1" applyFill="1" applyBorder="1"/>
    <xf numFmtId="0" fontId="4" fillId="28" borderId="5" xfId="0" applyFont="1" applyFill="1" applyBorder="1"/>
    <xf numFmtId="0" fontId="4" fillId="28" borderId="1" xfId="0" applyFont="1" applyFill="1" applyBorder="1"/>
    <xf numFmtId="0" fontId="0" fillId="29" borderId="5" xfId="0" applyFill="1" applyBorder="1"/>
    <xf numFmtId="0" fontId="0" fillId="29" borderId="7" xfId="0" applyFill="1" applyBorder="1"/>
    <xf numFmtId="164" fontId="0" fillId="29" borderId="15" xfId="0" applyNumberFormat="1" applyFill="1" applyBorder="1"/>
    <xf numFmtId="164" fontId="0" fillId="30" borderId="6" xfId="0" applyNumberFormat="1" applyFill="1" applyBorder="1"/>
    <xf numFmtId="0" fontId="0" fillId="29" borderId="2" xfId="0" applyFill="1" applyBorder="1"/>
    <xf numFmtId="0" fontId="0" fillId="29" borderId="12" xfId="0" applyFill="1" applyBorder="1"/>
    <xf numFmtId="164" fontId="0" fillId="29" borderId="4" xfId="0" applyNumberFormat="1" applyFill="1" applyBorder="1"/>
    <xf numFmtId="164" fontId="0" fillId="29" borderId="17" xfId="0" applyNumberFormat="1" applyFill="1" applyBorder="1"/>
    <xf numFmtId="164" fontId="0" fillId="29" borderId="19" xfId="0" applyNumberFormat="1" applyFill="1" applyBorder="1"/>
    <xf numFmtId="0" fontId="0" fillId="29" borderId="16" xfId="0" applyFill="1" applyBorder="1"/>
    <xf numFmtId="164" fontId="0" fillId="30" borderId="1" xfId="0" applyNumberFormat="1" applyFill="1" applyBorder="1"/>
    <xf numFmtId="164" fontId="0" fillId="29" borderId="21" xfId="0" applyNumberFormat="1" applyFill="1" applyBorder="1"/>
    <xf numFmtId="0" fontId="4" fillId="7" borderId="24" xfId="0" applyFont="1" applyFill="1" applyBorder="1"/>
    <xf numFmtId="0" fontId="4" fillId="7" borderId="25" xfId="0" applyFont="1" applyFill="1" applyBorder="1"/>
    <xf numFmtId="0" fontId="4" fillId="7" borderId="26" xfId="0" applyFont="1" applyFill="1" applyBorder="1"/>
    <xf numFmtId="0" fontId="0" fillId="8" borderId="12" xfId="0" applyFill="1" applyBorder="1"/>
    <xf numFmtId="164" fontId="0" fillId="21" borderId="14" xfId="0" applyNumberFormat="1" applyFill="1" applyBorder="1"/>
    <xf numFmtId="0" fontId="0" fillId="0" borderId="0" xfId="0" applyAlignment="1">
      <alignment vertical="center" wrapText="1"/>
    </xf>
    <xf numFmtId="164" fontId="0" fillId="23" borderId="22" xfId="0" applyNumberFormat="1" applyFill="1" applyBorder="1"/>
    <xf numFmtId="0" fontId="0" fillId="23" borderId="27" xfId="0" applyFill="1" applyBorder="1"/>
    <xf numFmtId="164" fontId="0" fillId="23" borderId="27" xfId="0" applyNumberFormat="1" applyFill="1" applyBorder="1"/>
    <xf numFmtId="0" fontId="0" fillId="31" borderId="5" xfId="0" applyFill="1" applyBorder="1"/>
    <xf numFmtId="0" fontId="0" fillId="25" borderId="1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7" borderId="11" xfId="0" applyFill="1" applyBorder="1" applyAlignment="1">
      <alignment horizontal="center"/>
    </xf>
    <xf numFmtId="0" fontId="0" fillId="27" borderId="1" xfId="0" applyFill="1" applyBorder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3300"/>
      <color rgb="FFFFFFCC"/>
      <color rgb="FFFFCCFF"/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9912F-9366-4195-B35C-FEAC101B6267}" name="Tabela1" displayName="Tabela1" ref="AC1:AF1048568" totalsRowShown="0" headerRowDxfId="2" headerRowBorderDxfId="1" tableBorderDxfId="0">
  <autoFilter ref="AC1:AF1048568" xr:uid="{7889912F-9366-4195-B35C-FEAC101B6267}"/>
  <tableColumns count="4">
    <tableColumn id="1" xr3:uid="{5E41943C-4F43-4997-94F7-177C32197616}" name="Produto"/>
    <tableColumn id="2" xr3:uid="{01BAFD02-4291-4541-848B-8AB605CC4A91}" name="Embalagem"/>
    <tableColumn id="3" xr3:uid="{651F0D08-3930-4171-902A-13D49A072B77}" name="Código de Barras"/>
    <tableColumn id="4" xr3:uid="{7C330B57-BFB4-439A-886F-29649A26E095}" name="Preço Venda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878"/>
  <sheetViews>
    <sheetView tabSelected="1" zoomScale="85" zoomScaleNormal="85" workbookViewId="0">
      <selection activeCell="A2" sqref="A1:AA1048576"/>
    </sheetView>
  </sheetViews>
  <sheetFormatPr defaultRowHeight="14.5" x14ac:dyDescent="0.35"/>
  <cols>
    <col min="1" max="1" width="8.90625" customWidth="1"/>
    <col min="2" max="2" width="54.7265625" bestFit="1" customWidth="1"/>
    <col min="3" max="3" width="16.6328125" bestFit="1" customWidth="1"/>
    <col min="4" max="4" width="16.6328125" style="24" customWidth="1"/>
    <col min="5" max="5" width="8.90625" customWidth="1"/>
    <col min="6" max="6" width="66.90625" bestFit="1" customWidth="1"/>
    <col min="7" max="7" width="14.453125" bestFit="1" customWidth="1"/>
    <col min="8" max="8" width="14.453125" customWidth="1"/>
    <col min="9" max="9" width="8.90625" customWidth="1"/>
    <col min="10" max="10" width="62.7265625" bestFit="1" customWidth="1"/>
    <col min="11" max="11" width="14.453125" bestFit="1" customWidth="1"/>
    <col min="12" max="12" width="14.453125" customWidth="1"/>
    <col min="13" max="13" width="8.90625" customWidth="1"/>
    <col min="14" max="14" width="60" bestFit="1" customWidth="1"/>
    <col min="15" max="15" width="16.26953125" bestFit="1" customWidth="1"/>
    <col min="16" max="16" width="14.453125" customWidth="1"/>
    <col min="17" max="17" width="8.90625" customWidth="1"/>
    <col min="18" max="18" width="64.54296875" bestFit="1" customWidth="1"/>
    <col min="19" max="19" width="14.453125" bestFit="1" customWidth="1"/>
    <col min="20" max="20" width="14.453125" customWidth="1"/>
    <col min="21" max="21" width="8.90625" customWidth="1"/>
    <col min="22" max="22" width="56.36328125" bestFit="1" customWidth="1"/>
    <col min="23" max="23" width="16.26953125" bestFit="1" customWidth="1"/>
    <col min="24" max="24" width="14" customWidth="1"/>
    <col min="25" max="25" width="8.90625" customWidth="1"/>
    <col min="26" max="26" width="45.36328125" bestFit="1" customWidth="1"/>
    <col min="27" max="27" width="16.26953125" bestFit="1" customWidth="1"/>
    <col min="29" max="29" width="61.453125" customWidth="1"/>
    <col min="30" max="30" width="15.6328125" customWidth="1"/>
    <col min="31" max="31" width="21.90625" customWidth="1"/>
    <col min="32" max="32" width="17.36328125" customWidth="1"/>
  </cols>
  <sheetData>
    <row r="1" spans="1:32" ht="15" thickBot="1" x14ac:dyDescent="0.4">
      <c r="A1" s="149"/>
      <c r="B1" s="149"/>
      <c r="C1" s="150"/>
      <c r="D1" s="26"/>
      <c r="E1" s="145"/>
      <c r="F1" s="145"/>
      <c r="G1" s="146"/>
      <c r="H1" s="35"/>
      <c r="I1" s="147"/>
      <c r="J1" s="147"/>
      <c r="K1" s="148"/>
      <c r="L1" s="35"/>
      <c r="M1" s="143"/>
      <c r="N1" s="143"/>
      <c r="O1" s="144"/>
      <c r="P1" s="35"/>
      <c r="Q1" s="141"/>
      <c r="R1" s="141"/>
      <c r="S1" s="142"/>
      <c r="T1" s="35"/>
      <c r="U1" s="139"/>
      <c r="V1" s="139"/>
      <c r="W1" s="140"/>
      <c r="X1" s="35"/>
      <c r="Y1" s="151"/>
      <c r="Z1" s="151"/>
      <c r="AA1" s="152"/>
      <c r="AC1" s="129" t="s">
        <v>2</v>
      </c>
      <c r="AD1" s="130" t="s">
        <v>3</v>
      </c>
      <c r="AE1" s="130" t="s">
        <v>4</v>
      </c>
      <c r="AF1" s="131" t="s">
        <v>5</v>
      </c>
    </row>
    <row r="2" spans="1:32" ht="15" thickBot="1" x14ac:dyDescent="0.4">
      <c r="A2" s="1" t="s">
        <v>0</v>
      </c>
      <c r="B2" s="1" t="s">
        <v>1</v>
      </c>
      <c r="C2" s="2" t="s">
        <v>8</v>
      </c>
      <c r="D2" s="30"/>
      <c r="E2" s="39" t="s">
        <v>0</v>
      </c>
      <c r="F2" s="39" t="s">
        <v>1</v>
      </c>
      <c r="G2" s="40" t="s">
        <v>8</v>
      </c>
      <c r="H2" s="36"/>
      <c r="I2" s="54" t="s">
        <v>0</v>
      </c>
      <c r="J2" s="54" t="s">
        <v>1</v>
      </c>
      <c r="K2" s="55" t="s">
        <v>8</v>
      </c>
      <c r="L2" s="36"/>
      <c r="M2" s="75" t="s">
        <v>0</v>
      </c>
      <c r="N2" s="75" t="s">
        <v>1</v>
      </c>
      <c r="O2" s="76" t="s">
        <v>8</v>
      </c>
      <c r="P2" s="36"/>
      <c r="Q2" s="42" t="s">
        <v>0</v>
      </c>
      <c r="R2" s="42" t="s">
        <v>1</v>
      </c>
      <c r="S2" s="43" t="s">
        <v>8</v>
      </c>
      <c r="T2" s="36"/>
      <c r="U2" s="113" t="s">
        <v>0</v>
      </c>
      <c r="V2" s="113" t="s">
        <v>1</v>
      </c>
      <c r="W2" s="114" t="s">
        <v>8</v>
      </c>
      <c r="X2" s="36"/>
      <c r="Y2" s="115" t="s">
        <v>0</v>
      </c>
      <c r="Z2" s="115" t="s">
        <v>1</v>
      </c>
      <c r="AA2" s="116" t="s">
        <v>8</v>
      </c>
      <c r="AC2" s="9" t="s">
        <v>10</v>
      </c>
      <c r="AD2" s="10" t="s">
        <v>7</v>
      </c>
      <c r="AE2" s="10">
        <v>93583</v>
      </c>
      <c r="AF2" s="11">
        <v>45.9</v>
      </c>
    </row>
    <row r="3" spans="1:32" ht="15" thickBot="1" x14ac:dyDescent="0.4">
      <c r="A3" s="3">
        <v>7768</v>
      </c>
      <c r="B3" s="3" t="str">
        <f>_xlfn.XLOOKUP(A3,AE$1:AE$1048568,AC$1:AC$1048568,"NÃO ENCONTRADO")</f>
        <v>007768 - REFEICAO LAGARTO M.MADEIRA + BATATA ASSADA BENDITO</v>
      </c>
      <c r="C3" s="15">
        <v>1</v>
      </c>
      <c r="D3" s="25"/>
      <c r="E3" s="3">
        <v>7875</v>
      </c>
      <c r="F3" s="46" t="str">
        <f>_xlfn.XLOOKUP(E3,$AE$1:$AE$1048568,$AC$1:$AC$1048568,"NÃO ENCONTRADO")</f>
        <v>007875 - REFEICAO STROGONOFF FRANGO BENDITO UN</v>
      </c>
      <c r="G3" s="48">
        <v>1</v>
      </c>
      <c r="H3" s="34"/>
      <c r="I3" s="56">
        <v>7673</v>
      </c>
      <c r="J3" s="57" t="str">
        <f>_xlfn.XLOOKUP(I3,$AE$1:$AE$1048568,$AC$1:$AC$1048568,"NÃO ENCONTRADO")</f>
        <v>007673 - REFEICAO FILE FRANGO PARMEGIANA BENDITO UN</v>
      </c>
      <c r="K3" s="58">
        <v>1</v>
      </c>
      <c r="L3" s="31"/>
      <c r="M3" s="77">
        <v>7625</v>
      </c>
      <c r="N3" s="78" t="str">
        <f>_xlfn.XLOOKUP(M3,$AE$1:$AE$1048568,$AC$1:$AC$1048568,"NÃO ENCONTRADO")</f>
        <v>007625 - REFEICAO CARNE PANELA BENDITO UN</v>
      </c>
      <c r="O3" s="79">
        <v>1</v>
      </c>
      <c r="P3" s="31"/>
      <c r="Q3" s="95">
        <v>9362</v>
      </c>
      <c r="R3" s="96" t="str">
        <f>_xlfn.XLOOKUP(Q3,$AE$1:$AE$1048568,$AC$1:$AC$1048568,"NÃO ENCONTRADO")</f>
        <v>009362 - REFEICAO ISCA DE FRANGO A ACEBOLADA BENDITO UN</v>
      </c>
      <c r="S3" s="97">
        <v>1</v>
      </c>
      <c r="T3" s="31"/>
      <c r="U3" s="56">
        <v>7673</v>
      </c>
      <c r="V3" s="57" t="str">
        <f>_xlfn.XLOOKUP(U3,$AE$1:$AE$1048568,$AC$1:$AC$1048568,"NÃO ENCONTRADO")</f>
        <v>007673 - REFEICAO FILE FRANGO PARMEGIANA BENDITO UN</v>
      </c>
      <c r="W3" s="67">
        <v>1</v>
      </c>
      <c r="X3" s="31"/>
      <c r="Y3" s="21"/>
      <c r="Z3" s="21"/>
      <c r="AA3" s="37"/>
      <c r="AC3" s="6" t="s">
        <v>11</v>
      </c>
      <c r="AD3" s="7" t="s">
        <v>7</v>
      </c>
      <c r="AE3" s="7">
        <v>2893</v>
      </c>
      <c r="AF3" s="8">
        <v>26.9</v>
      </c>
    </row>
    <row r="4" spans="1:32" ht="15" thickBot="1" x14ac:dyDescent="0.4">
      <c r="A4" s="3">
        <v>8966</v>
      </c>
      <c r="B4" s="3" t="str">
        <f>_xlfn.XLOOKUP(A4,AE$1:AE$1048568,AC$1:AC$1048568,"NÃO ENCONTRADO")</f>
        <v>08966 - REFEICAO ISCA DE FRANGO A MILANESA</v>
      </c>
      <c r="C4" s="4">
        <v>1</v>
      </c>
      <c r="D4" s="23"/>
      <c r="E4" s="3">
        <v>7877</v>
      </c>
      <c r="F4" s="46" t="str">
        <f>_xlfn.XLOOKUP(E4,$AE$1:$AE$1048568,$AC$1:$AC$1048568,"NÃO ENCONTRADO")</f>
        <v>007877 - REFEICAO TIRINHA CARNE CHINESA BENDITO UN</v>
      </c>
      <c r="G4" s="49">
        <v>1</v>
      </c>
      <c r="H4" s="34"/>
      <c r="I4" s="56">
        <v>8948</v>
      </c>
      <c r="J4" s="57" t="str">
        <f>_xlfn.XLOOKUP(I4,$AE$1:$AE$1048568,$AC$1:$AC$1048568,"NÃO ENCONTRADO")</f>
        <v xml:space="preserve">008948 - REF COPA LOMBO SUINA MILANESA BENDITO </v>
      </c>
      <c r="K4" s="59">
        <v>1</v>
      </c>
      <c r="L4" s="31"/>
      <c r="M4" s="77">
        <v>8491</v>
      </c>
      <c r="N4" s="78" t="str">
        <f>_xlfn.XLOOKUP(M4,$AE$1:$AE$1048568,$AC$1:$AC$1048568,"NÃO ENCONTRADO")</f>
        <v>008491 - ROTISSERIA MEDALHAO FRANGO BENDITO KG</v>
      </c>
      <c r="O4" s="80">
        <v>1</v>
      </c>
      <c r="P4" s="31"/>
      <c r="Q4" s="95">
        <v>7874</v>
      </c>
      <c r="R4" s="96" t="str">
        <f>_xlfn.XLOOKUP(Q4,$AE$1:$AE$1048568,$AC$1:$AC$1048568,"NÃO ENCONTRADO")</f>
        <v>007874 - REFEICAO STROGONOFF CARNE BENDITO UN</v>
      </c>
      <c r="S4" s="98">
        <v>1</v>
      </c>
      <c r="T4" s="31"/>
      <c r="U4" s="56">
        <v>7660</v>
      </c>
      <c r="V4" s="57" t="str">
        <f>_xlfn.XLOOKUP(U4,$AE$1:$AE$1048568,$AC$1:$AC$1048568,"NÃO ENCONTRADO")</f>
        <v>007660 - REFEICAO FEIJOADA BENDITO UN</v>
      </c>
      <c r="W4" s="69">
        <v>1</v>
      </c>
      <c r="X4" s="31"/>
      <c r="Y4" s="117">
        <v>8480</v>
      </c>
      <c r="Z4" s="118" t="str">
        <f>_xlfn.XLOOKUP(Y4,$AE$1:$AE$1048568,$AC$1:$AC$1048568,"NÃO ENCONTRADO")</f>
        <v>008480 - ROTISSERIA MACARRONADA A BOLONHESA BENDITO KG</v>
      </c>
      <c r="AA4" s="119">
        <v>0</v>
      </c>
      <c r="AC4" s="9" t="s">
        <v>12</v>
      </c>
      <c r="AD4" s="10" t="s">
        <v>6</v>
      </c>
      <c r="AE4" s="10">
        <v>2353</v>
      </c>
      <c r="AF4" s="11">
        <v>0</v>
      </c>
    </row>
    <row r="5" spans="1:32" ht="15" thickBot="1" x14ac:dyDescent="0.4">
      <c r="A5" s="16">
        <v>0</v>
      </c>
      <c r="B5" s="16" t="str">
        <f>_xlfn.XLOOKUP(A5,AE$1:AE$1048568,AC$1:AC$1048568,"NÃO ENCONTRADO")</f>
        <v>NÃO ENCONTRADO</v>
      </c>
      <c r="C5" s="5">
        <v>0</v>
      </c>
      <c r="D5" s="25"/>
      <c r="E5" s="16">
        <v>7305</v>
      </c>
      <c r="F5" s="47" t="str">
        <f>_xlfn.XLOOKUP(E5,$AE$1:$AE$1048568,$AC$1:$AC$1048568,"NÃO ENCONTRADO")</f>
        <v>NÃO ENCONTRADO</v>
      </c>
      <c r="G5" s="45">
        <v>1</v>
      </c>
      <c r="H5" s="34"/>
      <c r="I5" s="60">
        <v>0</v>
      </c>
      <c r="J5" s="61" t="str">
        <f>_xlfn.XLOOKUP(I5,$AE$1:$AE$1048568,$AC$1:$AC$1048568,"NÃO ENCONTRADO")</f>
        <v>NÃO ENCONTRADO</v>
      </c>
      <c r="K5" s="62">
        <v>1</v>
      </c>
      <c r="L5" s="31"/>
      <c r="M5" s="81">
        <v>0</v>
      </c>
      <c r="N5" s="82" t="str">
        <f>_xlfn.XLOOKUP(M5,$AE$1:$AE$1048568,$AC$1:$AC$1048568,"NÃO ENCONTRADO")</f>
        <v>NÃO ENCONTRADO</v>
      </c>
      <c r="O5" s="83">
        <v>1</v>
      </c>
      <c r="P5" s="31"/>
      <c r="Q5" s="99">
        <v>0</v>
      </c>
      <c r="R5" s="105" t="str">
        <f>_xlfn.XLOOKUP(Q5,$AE$1:$AE$1048568,$AC$1:$AC$1048568,"NÃO ENCONTRADO")</f>
        <v>NÃO ENCONTRADO</v>
      </c>
      <c r="S5" s="100">
        <v>1</v>
      </c>
      <c r="T5" s="31"/>
      <c r="U5" s="60">
        <v>7305</v>
      </c>
      <c r="V5" s="61" t="str">
        <f>_xlfn.XLOOKUP(U5,$AE$1:$AE$1048568,$AC$1:$AC$1048568,"NÃO ENCONTRADO")</f>
        <v>NÃO ENCONTRADO</v>
      </c>
      <c r="W5" s="65">
        <v>1</v>
      </c>
      <c r="X5" s="31"/>
      <c r="Y5" s="117">
        <v>8321</v>
      </c>
      <c r="Z5" s="118" t="str">
        <f>_xlfn.XLOOKUP(Y5,$AE$1:$AE$1048568,$AC$1:$AC$1048568,"NÃO ENCONTRADO")</f>
        <v>008321 - ROT.ESPAGUETE A BOLONHESA + POLPETONE RECHEADO BENDITO</v>
      </c>
      <c r="AA5" s="119">
        <v>0</v>
      </c>
      <c r="AC5" s="6" t="s">
        <v>13</v>
      </c>
      <c r="AD5" s="7" t="s">
        <v>6</v>
      </c>
      <c r="AE5" s="7">
        <v>5877</v>
      </c>
      <c r="AF5" s="8">
        <v>0</v>
      </c>
    </row>
    <row r="6" spans="1:32" ht="15" thickBot="1" x14ac:dyDescent="0.4">
      <c r="A6" s="21"/>
      <c r="B6" s="21"/>
      <c r="C6" s="37"/>
      <c r="D6" s="23"/>
      <c r="E6" s="21"/>
      <c r="F6" s="21"/>
      <c r="G6" s="37"/>
      <c r="H6" s="32"/>
      <c r="I6" s="21"/>
      <c r="J6" s="21"/>
      <c r="K6" s="37"/>
      <c r="L6" s="32"/>
      <c r="M6" s="21"/>
      <c r="N6" s="21"/>
      <c r="O6" s="37"/>
      <c r="P6" s="32"/>
      <c r="Q6" s="21"/>
      <c r="R6" s="21"/>
      <c r="S6" s="37"/>
      <c r="T6" s="32"/>
      <c r="U6" s="21"/>
      <c r="V6" s="21"/>
      <c r="W6" s="37"/>
      <c r="X6" s="32"/>
      <c r="Y6" s="121">
        <v>8400</v>
      </c>
      <c r="Z6" s="122" t="str">
        <f>_xlfn.XLOOKUP(Y6,$AE$1:$AE$1048568,$AC$1:$AC$1048568,"NÃO ENCONTRADO")</f>
        <v>008400 - ROTISSERIA LASANHA A BOLONHESA BENDITO  KG</v>
      </c>
      <c r="AA6" s="124">
        <v>0</v>
      </c>
      <c r="AC6" s="9" t="s">
        <v>14</v>
      </c>
      <c r="AD6" s="10" t="s">
        <v>6</v>
      </c>
      <c r="AE6" s="10">
        <v>2028</v>
      </c>
      <c r="AF6" s="11">
        <v>0</v>
      </c>
    </row>
    <row r="7" spans="1:32" ht="15" thickBot="1" x14ac:dyDescent="0.4">
      <c r="A7" s="3">
        <v>8480</v>
      </c>
      <c r="B7" s="3" t="str">
        <f>_xlfn.XLOOKUP(A7,AE$1:AE$1048568,AC$1:AC$1048568,"NÃO ENCONTRADO")</f>
        <v>008480 - ROTISSERIA MACARRONADA A BOLONHESA BENDITO KG</v>
      </c>
      <c r="C7" s="15">
        <v>0.35</v>
      </c>
      <c r="D7" s="25"/>
      <c r="E7" s="3">
        <v>8480</v>
      </c>
      <c r="F7" s="3" t="str">
        <f>_xlfn.XLOOKUP(E7,$AE$1:$AE$1048568,$AC$1:$AC$1048568,"NÃO ENCONTRADO")</f>
        <v>008480 - ROTISSERIA MACARRONADA A BOLONHESA BENDITO KG</v>
      </c>
      <c r="G7" s="15">
        <v>0.35</v>
      </c>
      <c r="H7" s="34"/>
      <c r="I7" s="56">
        <v>8480</v>
      </c>
      <c r="J7" s="57" t="str">
        <f>_xlfn.XLOOKUP(I7,$AE$1:$AE$1048568,$AC$1:$AC$1048568,"NÃO ENCONTRADO")</f>
        <v>008480 - ROTISSERIA MACARRONADA A BOLONHESA BENDITO KG</v>
      </c>
      <c r="K7" s="58">
        <v>0.35</v>
      </c>
      <c r="L7" s="31"/>
      <c r="M7" s="77">
        <v>8480</v>
      </c>
      <c r="N7" s="78" t="str">
        <f>_xlfn.XLOOKUP(M7,$AE$1:$AE$1048568,$AC$1:$AC$1048568,"NÃO ENCONTRADO")</f>
        <v>008480 - ROTISSERIA MACARRONADA A BOLONHESA BENDITO KG</v>
      </c>
      <c r="O7" s="79">
        <v>0.35</v>
      </c>
      <c r="P7" s="31"/>
      <c r="Q7" s="95">
        <v>8480</v>
      </c>
      <c r="R7" s="96" t="str">
        <f>_xlfn.XLOOKUP(Q7,$AE$1:$AE$1048568,$AC$1:$AC$1048568,"NÃO ENCONTRADO")</f>
        <v>008480 - ROTISSERIA MACARRONADA A BOLONHESA BENDITO KG</v>
      </c>
      <c r="S7" s="97">
        <v>0.35</v>
      </c>
      <c r="T7" s="31"/>
      <c r="U7" s="56">
        <v>8900</v>
      </c>
      <c r="V7" s="57" t="str">
        <f>_xlfn.XLOOKUP(U7,$AE$1:$AE$1048568,$AC$1:$AC$1048568,"NÃO ENCONTRADO")</f>
        <v>008900 - ROTISSERIA YAKISSOBA BENDITO KG</v>
      </c>
      <c r="W7" s="67">
        <v>0.35</v>
      </c>
      <c r="X7" s="31"/>
      <c r="Y7" s="121">
        <v>9020</v>
      </c>
      <c r="Z7" s="122" t="str">
        <f>_xlfn.XLOOKUP(Y7,$AE$1:$AE$1048568,$AC$1:$AC$1048568,"NÃO ENCONTRADO")</f>
        <v>NÃO ENCONTRADO</v>
      </c>
      <c r="AA7" s="124">
        <v>0</v>
      </c>
      <c r="AC7" s="6" t="s">
        <v>15</v>
      </c>
      <c r="AD7" s="7" t="s">
        <v>7</v>
      </c>
      <c r="AE7" s="7">
        <v>356077</v>
      </c>
      <c r="AF7" s="8">
        <v>10</v>
      </c>
    </row>
    <row r="8" spans="1:32" ht="15" thickBot="1" x14ac:dyDescent="0.4">
      <c r="A8" s="3">
        <v>93626</v>
      </c>
      <c r="B8" s="3" t="str">
        <f>_xlfn.XLOOKUP(A8,AE$1:AE$1048568,AC$1:AC$1048568,"NÃO ENCONTRADO")</f>
        <v>093626 - ROTISSERIA MACARRAO C/BROCOLIS E BACON KG</v>
      </c>
      <c r="C8" s="15">
        <v>0.35</v>
      </c>
      <c r="D8" s="25"/>
      <c r="E8" s="3">
        <v>8442</v>
      </c>
      <c r="F8" s="3" t="str">
        <f>_xlfn.XLOOKUP(E8,$AE$1:$AE$1048568,$AC$1:$AC$1048568,"NÃO ENCONTRADO")</f>
        <v>008442 - ROTISSERIA MACARRAO C/CALABRESA MOLHO ROSE BENDITO KG</v>
      </c>
      <c r="G8" s="15">
        <v>0.35</v>
      </c>
      <c r="H8" s="34"/>
      <c r="I8" s="56">
        <v>8321</v>
      </c>
      <c r="J8" s="57" t="str">
        <f>_xlfn.XLOOKUP(I8,$AE$1:$AE$1048568,$AC$1:$AC$1048568,"NÃO ENCONTRADO")</f>
        <v>008321 - ROT.ESPAGUETE A BOLONHESA + POLPETONE RECHEADO BENDITO</v>
      </c>
      <c r="K8" s="58">
        <v>1</v>
      </c>
      <c r="L8" s="31"/>
      <c r="M8" s="77">
        <v>8321</v>
      </c>
      <c r="N8" s="78" t="str">
        <f>_xlfn.XLOOKUP(M8,$AE$1:$AE$1048568,$AC$1:$AC$1048568,"NÃO ENCONTRADO")</f>
        <v>008321 - ROT.ESPAGUETE A BOLONHESA + POLPETONE RECHEADO BENDITO</v>
      </c>
      <c r="O8" s="79">
        <v>1</v>
      </c>
      <c r="P8" s="31"/>
      <c r="Q8" s="95">
        <v>8321</v>
      </c>
      <c r="R8" s="96" t="str">
        <f>_xlfn.XLOOKUP(Q8,$AE$1:$AE$1048568,$AC$1:$AC$1048568,"NÃO ENCONTRADO")</f>
        <v>008321 - ROT.ESPAGUETE A BOLONHESA + POLPETONE RECHEADO BENDITO</v>
      </c>
      <c r="S8" s="97">
        <v>1</v>
      </c>
      <c r="T8" s="31"/>
      <c r="U8" s="56">
        <v>8480</v>
      </c>
      <c r="V8" s="57" t="str">
        <f>_xlfn.XLOOKUP(U8,$AE$1:$AE$1048568,$AC$1:$AC$1048568,"NÃO ENCONTRADO")</f>
        <v>008480 - ROTISSERIA MACARRONADA A BOLONHESA BENDITO KG</v>
      </c>
      <c r="W8" s="67">
        <v>0.35</v>
      </c>
      <c r="X8" s="31"/>
      <c r="Y8" s="21"/>
      <c r="Z8" s="21"/>
      <c r="AA8" s="37"/>
      <c r="AC8" s="9" t="s">
        <v>16</v>
      </c>
      <c r="AD8" s="10" t="s">
        <v>6</v>
      </c>
      <c r="AE8" s="10">
        <v>7337</v>
      </c>
      <c r="AF8" s="11">
        <v>69.900000000000006</v>
      </c>
    </row>
    <row r="9" spans="1:32" ht="15" thickBot="1" x14ac:dyDescent="0.4">
      <c r="A9" s="16">
        <v>0</v>
      </c>
      <c r="B9" s="16" t="str">
        <f>_xlfn.XLOOKUP(A9,AE$1:AE$1048568,AC$1:AC$1048568,"NÃO ENCONTRADO")</f>
        <v>NÃO ENCONTRADO</v>
      </c>
      <c r="C9" s="22">
        <v>0.35</v>
      </c>
      <c r="D9" s="25"/>
      <c r="E9" s="16">
        <v>9019</v>
      </c>
      <c r="F9" s="3" t="str">
        <f>_xlfn.XLOOKUP(E9,$AE$1:$AE$1048568,$AC$1:$AC$1048568,"NÃO ENCONTRADO")</f>
        <v>NÃO ENCONTRADO</v>
      </c>
      <c r="G9" s="22">
        <v>0</v>
      </c>
      <c r="H9" s="34"/>
      <c r="I9" s="60">
        <v>9019</v>
      </c>
      <c r="J9" s="61" t="str">
        <f>_xlfn.XLOOKUP(I9,$AE$1:$AE$1048568,$AC$1:$AC$1048568,"NÃO ENCONTRADO")</f>
        <v>NÃO ENCONTRADO</v>
      </c>
      <c r="K9" s="63">
        <v>0</v>
      </c>
      <c r="L9" s="31"/>
      <c r="M9" s="81">
        <v>0</v>
      </c>
      <c r="N9" s="82" t="str">
        <f>_xlfn.XLOOKUP(M9,$AE$1:$AE$1048568,$AC$1:$AC$1048568,"NÃO ENCONTRADO")</f>
        <v>NÃO ENCONTRADO</v>
      </c>
      <c r="O9" s="84">
        <v>1</v>
      </c>
      <c r="P9" s="31"/>
      <c r="Q9" s="99">
        <v>0</v>
      </c>
      <c r="R9" s="105" t="str">
        <f>_xlfn.XLOOKUP(Q9,$AE$1:$AE$1048568,$AC$1:$AC$1048568,"NÃO ENCONTRADO")</f>
        <v>NÃO ENCONTRADO</v>
      </c>
      <c r="S9" s="101">
        <v>0.35</v>
      </c>
      <c r="T9" s="31"/>
      <c r="U9" s="60">
        <v>8321</v>
      </c>
      <c r="V9" s="61" t="str">
        <f>_xlfn.XLOOKUP(U9,$AE$1:$AE$1048568,$AC$1:$AC$1048568,"NÃO ENCONTRADO")</f>
        <v>008321 - ROT.ESPAGUETE A BOLONHESA + POLPETONE RECHEADO BENDITO</v>
      </c>
      <c r="W9" s="74">
        <v>1</v>
      </c>
      <c r="X9" s="31"/>
      <c r="Y9" s="121">
        <v>8037</v>
      </c>
      <c r="Z9" s="118" t="str">
        <f>_xlfn.XLOOKUP(Y9,$AE$1:$AE$1048568,$AC$1:$AC$1048568,"NÃO ENCONTRADO")</f>
        <v>008037 - ROTISSERIA ARROZ CARRETEIRO BENDITO KG</v>
      </c>
      <c r="AA9" s="124">
        <v>0</v>
      </c>
      <c r="AC9" s="6" t="s">
        <v>17</v>
      </c>
      <c r="AD9" s="7" t="s">
        <v>6</v>
      </c>
      <c r="AE9" s="7">
        <v>6911</v>
      </c>
      <c r="AF9" s="8">
        <v>10</v>
      </c>
    </row>
    <row r="10" spans="1:32" ht="15" thickBot="1" x14ac:dyDescent="0.4">
      <c r="A10" s="21"/>
      <c r="B10" s="21"/>
      <c r="C10" s="37"/>
      <c r="D10" s="23"/>
      <c r="E10" s="21"/>
      <c r="F10" s="21"/>
      <c r="G10" s="37"/>
      <c r="H10" s="34"/>
      <c r="I10" s="21"/>
      <c r="J10" s="21"/>
      <c r="K10" s="37"/>
      <c r="L10" s="31"/>
      <c r="M10" s="21"/>
      <c r="N10" s="21"/>
      <c r="O10" s="37"/>
      <c r="P10" s="31"/>
      <c r="Q10" s="21"/>
      <c r="R10" s="21"/>
      <c r="S10" s="37"/>
      <c r="T10" s="31"/>
      <c r="U10" s="21"/>
      <c r="V10" s="21"/>
      <c r="W10" s="37"/>
      <c r="X10" s="31"/>
      <c r="Y10" s="121">
        <v>8023</v>
      </c>
      <c r="Z10" s="118" t="str">
        <f>_xlfn.XLOOKUP(Y10,$AE$1:$AE$1048568,$AC$1:$AC$1048568,"NÃO ENCONTRADO")</f>
        <v>008023 - ROTISSERIA ARROZ A GREGA BENDITO KG</v>
      </c>
      <c r="AA10" s="124">
        <v>0</v>
      </c>
      <c r="AC10" s="9" t="s">
        <v>18</v>
      </c>
      <c r="AD10" s="10" t="s">
        <v>19</v>
      </c>
      <c r="AE10" s="10">
        <v>6270</v>
      </c>
      <c r="AF10" s="11">
        <v>2.4500000000000002</v>
      </c>
    </row>
    <row r="11" spans="1:32" ht="15" thickBot="1" x14ac:dyDescent="0.4">
      <c r="A11" s="20">
        <v>8028</v>
      </c>
      <c r="B11" s="16" t="str">
        <f>_xlfn.XLOOKUP(A11,AE$1:AE$1048568,AC$1:AC$1048568,"NÃO ENCONTRADO")</f>
        <v>008028 - ROTISSERIA ARROZ BRANCO BENDITO KG</v>
      </c>
      <c r="C11" s="22">
        <v>0.12</v>
      </c>
      <c r="D11" s="25"/>
      <c r="E11" s="16">
        <v>8028</v>
      </c>
      <c r="F11" s="46" t="str">
        <f>_xlfn.XLOOKUP(E11,$AE$1:$AE$1048568,$AC$1:$AC$1048568,"NÃO ENCONTRADO")</f>
        <v>008028 - ROTISSERIA ARROZ BRANCO BENDITO KG</v>
      </c>
      <c r="G11" s="44">
        <v>0.12</v>
      </c>
      <c r="H11" s="34"/>
      <c r="I11" s="60">
        <v>8028</v>
      </c>
      <c r="J11" s="57" t="str">
        <f>_xlfn.XLOOKUP(I11,$AE$1:$AE$1048568,$AC$1:$AC$1048568,"NÃO ENCONTRADO")</f>
        <v>008028 - ROTISSERIA ARROZ BRANCO BENDITO KG</v>
      </c>
      <c r="K11" s="63">
        <v>0.12</v>
      </c>
      <c r="L11" s="31"/>
      <c r="M11" s="85">
        <v>8028</v>
      </c>
      <c r="N11" s="78" t="str">
        <f>_xlfn.XLOOKUP(M11,$AE$1:$AE$1048568,$AC$1:$AC$1048568,"NÃO ENCONTRADO")</f>
        <v>008028 - ROTISSERIA ARROZ BRANCO BENDITO KG</v>
      </c>
      <c r="O11" s="84">
        <v>0.15</v>
      </c>
      <c r="P11" s="31"/>
      <c r="Q11" s="99">
        <v>8028</v>
      </c>
      <c r="R11" s="96" t="str">
        <f>_xlfn.XLOOKUP(Q11,$AE$1:$AE$1048568,$AC$1:$AC$1048568,"NÃO ENCONTRADO")</f>
        <v>008028 - ROTISSERIA ARROZ BRANCO BENDITO KG</v>
      </c>
      <c r="S11" s="101">
        <v>0.12</v>
      </c>
      <c r="T11" s="31"/>
      <c r="U11" s="73">
        <v>8028</v>
      </c>
      <c r="V11" s="57" t="str">
        <f>_xlfn.XLOOKUP(U11,$AE$1:$AE$1048568,$AC$1:$AC$1048568,"NÃO ENCONTRADO")</f>
        <v>008028 - ROTISSERIA ARROZ BRANCO BENDITO KG</v>
      </c>
      <c r="W11" s="74">
        <v>0.12</v>
      </c>
      <c r="X11" s="31"/>
      <c r="Y11" s="121">
        <v>0</v>
      </c>
      <c r="Z11" s="122" t="str">
        <f>_xlfn.XLOOKUP(Y11,$AE$1:$AE$1048568,$AC$1:$AC$1048568,"NÃO ENCONTRADO")</f>
        <v>NÃO ENCONTRADO</v>
      </c>
      <c r="AA11" s="123">
        <v>0</v>
      </c>
      <c r="AC11" s="6" t="s">
        <v>20</v>
      </c>
      <c r="AD11" s="7" t="s">
        <v>6</v>
      </c>
      <c r="AE11" s="7">
        <v>6272</v>
      </c>
      <c r="AF11" s="8">
        <v>37.950000000000003</v>
      </c>
    </row>
    <row r="12" spans="1:32" ht="15" thickBot="1" x14ac:dyDescent="0.4">
      <c r="A12" s="20">
        <v>0</v>
      </c>
      <c r="B12" s="16" t="str">
        <f>_xlfn.XLOOKUP(A12,AE$1:AE$1048568,AC$1:AC$1048568,"NÃO ENCONTRADO")</f>
        <v>NÃO ENCONTRADO</v>
      </c>
      <c r="C12" s="5">
        <v>0</v>
      </c>
      <c r="D12" s="25"/>
      <c r="E12" s="16">
        <v>346</v>
      </c>
      <c r="F12" s="47" t="str">
        <f>_xlfn.XLOOKUP(E12,$AE$1:$AE$1048568,$AC$1:$AC$1048568,"NÃO ENCONTRADO")</f>
        <v>NÃO ENCONTRADO</v>
      </c>
      <c r="G12" s="45">
        <v>0</v>
      </c>
      <c r="H12" s="34"/>
      <c r="I12" s="60">
        <v>346</v>
      </c>
      <c r="J12" s="61" t="str">
        <f>_xlfn.XLOOKUP(I12,$AE$1:$AE$1048568,$AC$1:$AC$1048568,"NÃO ENCONTRADO")</f>
        <v>NÃO ENCONTRADO</v>
      </c>
      <c r="K12" s="62">
        <v>0</v>
      </c>
      <c r="L12" s="31"/>
      <c r="M12" s="85">
        <v>0</v>
      </c>
      <c r="N12" s="82" t="str">
        <f>_xlfn.XLOOKUP(M12,$AE$1:$AE$1048568,$AC$1:$AC$1048568,"NÃO ENCONTRADO")</f>
        <v>NÃO ENCONTRADO</v>
      </c>
      <c r="O12" s="83">
        <v>1</v>
      </c>
      <c r="P12" s="31"/>
      <c r="Q12" s="99">
        <v>0</v>
      </c>
      <c r="R12" s="105" t="str">
        <f>_xlfn.XLOOKUP(Q12,$AE$1:$AE$1048568,$AC$1:$AC$1048568,"NÃO ENCONTRADO")</f>
        <v>NÃO ENCONTRADO</v>
      </c>
      <c r="S12" s="100">
        <v>1</v>
      </c>
      <c r="T12" s="31"/>
      <c r="U12" s="73">
        <v>346</v>
      </c>
      <c r="V12" s="61" t="str">
        <f>_xlfn.XLOOKUP(U12,$AE$1:$AE$1048568,$AC$1:$AC$1048568,"NÃO ENCONTRADO")</f>
        <v>NÃO ENCONTRADO</v>
      </c>
      <c r="W12" s="65">
        <v>0</v>
      </c>
      <c r="X12" s="31"/>
      <c r="Y12" s="21"/>
      <c r="Z12" s="21"/>
      <c r="AA12" s="28"/>
      <c r="AC12" s="9" t="s">
        <v>21</v>
      </c>
      <c r="AD12" s="10" t="s">
        <v>19</v>
      </c>
      <c r="AE12" s="10">
        <v>6268</v>
      </c>
      <c r="AF12" s="11">
        <v>5</v>
      </c>
    </row>
    <row r="13" spans="1:32" ht="15" thickBot="1" x14ac:dyDescent="0.4">
      <c r="A13" s="21"/>
      <c r="B13" s="21"/>
      <c r="C13" s="28"/>
      <c r="D13" s="25"/>
      <c r="E13" s="21"/>
      <c r="F13" s="21"/>
      <c r="G13" s="28"/>
      <c r="H13" s="33"/>
      <c r="I13" s="21"/>
      <c r="J13" s="21"/>
      <c r="K13" s="28"/>
      <c r="L13" s="33"/>
      <c r="M13" s="21"/>
      <c r="N13" s="21"/>
      <c r="O13" s="28"/>
      <c r="P13" s="33"/>
      <c r="Q13" s="21"/>
      <c r="R13" s="21"/>
      <c r="S13" s="28"/>
      <c r="T13" s="33"/>
      <c r="U13" s="21"/>
      <c r="V13" s="21"/>
      <c r="W13" s="28"/>
      <c r="X13" s="33"/>
      <c r="Y13" s="118">
        <v>6857</v>
      </c>
      <c r="Z13" s="118" t="str">
        <f>_xlfn.XLOOKUP(Y13,$AE$1:$AE$1048568,$AC$1:$AC$1048568,"NÃO ENCONTRADO")</f>
        <v>006857 - ROTISSERIA MAIONESE DE LEGUMES COM FRANGO</v>
      </c>
      <c r="AA13" s="127">
        <v>0</v>
      </c>
      <c r="AC13" s="6" t="s">
        <v>22</v>
      </c>
      <c r="AD13" s="7" t="s">
        <v>6</v>
      </c>
      <c r="AE13" s="7">
        <v>7581</v>
      </c>
      <c r="AF13" s="8">
        <v>59.9</v>
      </c>
    </row>
    <row r="14" spans="1:32" ht="15" thickBot="1" x14ac:dyDescent="0.4">
      <c r="A14" s="19">
        <v>8328</v>
      </c>
      <c r="B14" s="3" t="str">
        <f>_xlfn.XLOOKUP(A14,AE$1:AE$1048568,AC$1:AC$1048568,"NÃO ENCONTRADO")</f>
        <v>008328 - ROTISSERIA FEIJAO BENDITO KG</v>
      </c>
      <c r="C14" s="18">
        <v>0.18</v>
      </c>
      <c r="D14" s="23"/>
      <c r="E14" s="19">
        <v>8328</v>
      </c>
      <c r="F14" s="3" t="str">
        <f>_xlfn.XLOOKUP(E14,$AE$1:$AE$1048568,$AC$1:$AC$1048568,"NÃO ENCONTRADO")</f>
        <v>008328 - ROTISSERIA FEIJAO BENDITO KG</v>
      </c>
      <c r="G14" s="18">
        <v>0.18</v>
      </c>
      <c r="H14" s="34"/>
      <c r="I14" s="56">
        <v>8328</v>
      </c>
      <c r="J14" s="57" t="str">
        <f>_xlfn.XLOOKUP(I14,$AE$1:$AE$1048568,$AC$1:$AC$1048568,"NÃO ENCONTRADO")</f>
        <v>008328 - ROTISSERIA FEIJAO BENDITO KG</v>
      </c>
      <c r="K14" s="64">
        <v>0.18</v>
      </c>
      <c r="L14" s="31"/>
      <c r="M14" s="86">
        <v>8328</v>
      </c>
      <c r="N14" s="78" t="str">
        <f>_xlfn.XLOOKUP(M14,$AE$1:$AE$1048568,$AC$1:$AC$1048568,"NÃO ENCONTRADO")</f>
        <v>008328 - ROTISSERIA FEIJAO BENDITO KG</v>
      </c>
      <c r="O14" s="87">
        <v>0.15</v>
      </c>
      <c r="P14" s="31"/>
      <c r="Q14" s="95">
        <v>8328</v>
      </c>
      <c r="R14" s="96" t="str">
        <f>_xlfn.XLOOKUP(Q14,$AE$1:$AE$1048568,$AC$1:$AC$1048568,"NÃO ENCONTRADO")</f>
        <v>008328 - ROTISSERIA FEIJAO BENDITO KG</v>
      </c>
      <c r="S14" s="104">
        <v>0.18</v>
      </c>
      <c r="T14" s="31"/>
      <c r="U14" s="72">
        <v>8328</v>
      </c>
      <c r="V14" s="57" t="str">
        <f>_xlfn.XLOOKUP(U14,$AE$1:$AE$1048568,$AC$1:$AC$1048568,"NÃO ENCONTRADO")</f>
        <v>008328 - ROTISSERIA FEIJAO BENDITO KG</v>
      </c>
      <c r="W14" s="64">
        <v>0.18</v>
      </c>
      <c r="X14" s="31"/>
      <c r="Y14" s="122">
        <v>8482</v>
      </c>
      <c r="Z14" s="118" t="str">
        <f>_xlfn.XLOOKUP(Y14,$AE$1:$AE$1048568,$AC$1:$AC$1048568,"NÃO ENCONTRADO")</f>
        <v>008482 - ROTISSERIA MAIONESE DE LEGUMES COM FRANGO BENDITO KG</v>
      </c>
      <c r="AA14" s="128">
        <v>0</v>
      </c>
      <c r="AC14" s="9" t="s">
        <v>23</v>
      </c>
      <c r="AD14" s="10" t="s">
        <v>6</v>
      </c>
      <c r="AE14" s="10">
        <v>3361</v>
      </c>
      <c r="AF14" s="11">
        <v>0</v>
      </c>
    </row>
    <row r="15" spans="1:32" ht="15" thickBot="1" x14ac:dyDescent="0.4">
      <c r="A15" s="20">
        <v>10</v>
      </c>
      <c r="B15" s="16" t="str">
        <f>_xlfn.XLOOKUP(A15,AE$1:AE$1048568,AC$1:AC$1048568,"NÃO ENCONTRADO")</f>
        <v>NÃO ENCONTRADO</v>
      </c>
      <c r="C15" s="5">
        <v>0</v>
      </c>
      <c r="D15" s="25"/>
      <c r="E15" s="20">
        <v>0</v>
      </c>
      <c r="F15" s="3" t="str">
        <f>_xlfn.XLOOKUP(E15,$AE$1:$AE$1048568,$AC$1:$AC$1048568,"NÃO ENCONTRADO")</f>
        <v>NÃO ENCONTRADO</v>
      </c>
      <c r="G15" s="5">
        <v>0</v>
      </c>
      <c r="H15" s="34"/>
      <c r="I15" s="60">
        <v>0</v>
      </c>
      <c r="J15" s="61" t="str">
        <f>_xlfn.XLOOKUP(I15,$AE$1:$AE$1048568,$AC$1:$AC$1048568,"NÃO ENCONTRADO")</f>
        <v>NÃO ENCONTRADO</v>
      </c>
      <c r="K15" s="65">
        <v>0</v>
      </c>
      <c r="L15" s="31"/>
      <c r="M15" s="85">
        <v>0</v>
      </c>
      <c r="N15" s="82" t="str">
        <f>_xlfn.XLOOKUP(M15,$AE$1:$AE$1048568,$AC$1:$AC$1048568,"NÃO ENCONTRADO")</f>
        <v>NÃO ENCONTRADO</v>
      </c>
      <c r="O15" s="83">
        <v>0</v>
      </c>
      <c r="P15" s="31"/>
      <c r="Q15" s="99">
        <v>0</v>
      </c>
      <c r="R15" s="105" t="str">
        <f>_xlfn.XLOOKUP(Q15,$AE$1:$AE$1048568,$AC$1:$AC$1048568,"NÃO ENCONTRADO")</f>
        <v>NÃO ENCONTRADO</v>
      </c>
      <c r="S15" s="100">
        <v>0</v>
      </c>
      <c r="T15" s="31"/>
      <c r="U15" s="73">
        <v>8336</v>
      </c>
      <c r="V15" s="61" t="str">
        <f>_xlfn.XLOOKUP(U15,$AE$1:$AE$1048568,$AC$1:$AC$1048568,"NÃO ENCONTRADO")</f>
        <v>008336 - ROTISSERIA FEIJOADA BENDITO KG</v>
      </c>
      <c r="W15" s="65">
        <v>0.35</v>
      </c>
      <c r="X15" s="31"/>
      <c r="Y15" s="122">
        <v>1</v>
      </c>
      <c r="Z15" s="122" t="str">
        <f>_xlfn.XLOOKUP(Y15,$AE$1:$AE$1048568,$AC$1:$AC$1048568,"NÃO ENCONTRADO")</f>
        <v>NÃO ENCONTRADO</v>
      </c>
      <c r="AA15" s="128">
        <v>0</v>
      </c>
      <c r="AC15" s="6" t="s">
        <v>24</v>
      </c>
      <c r="AD15" s="7" t="s">
        <v>6</v>
      </c>
      <c r="AE15" s="7">
        <v>7570</v>
      </c>
      <c r="AF15" s="8">
        <v>149.9</v>
      </c>
    </row>
    <row r="16" spans="1:32" ht="15" thickBot="1" x14ac:dyDescent="0.4">
      <c r="A16" s="21"/>
      <c r="B16" s="21"/>
      <c r="C16" s="37"/>
      <c r="D16" s="23"/>
      <c r="E16" s="21"/>
      <c r="F16" s="21"/>
      <c r="G16" s="37">
        <v>0</v>
      </c>
      <c r="H16" s="34"/>
      <c r="I16" s="21"/>
      <c r="J16" s="21"/>
      <c r="K16" s="37"/>
      <c r="L16" s="31"/>
      <c r="M16" s="21"/>
      <c r="N16" s="21"/>
      <c r="O16" s="37"/>
      <c r="P16" s="31"/>
      <c r="Q16" s="21"/>
      <c r="R16" s="21"/>
      <c r="S16" s="37"/>
      <c r="T16" s="31"/>
      <c r="U16" s="21"/>
      <c r="V16" s="21"/>
      <c r="W16" s="37"/>
      <c r="X16" s="31"/>
      <c r="Y16" s="21"/>
      <c r="Z16" s="21"/>
      <c r="AA16" s="37"/>
      <c r="AC16" s="9" t="s">
        <v>25</v>
      </c>
      <c r="AD16" s="10" t="s">
        <v>6</v>
      </c>
      <c r="AE16" s="10">
        <v>9177</v>
      </c>
      <c r="AF16" s="11">
        <v>1.69</v>
      </c>
    </row>
    <row r="17" spans="1:32" ht="15" thickBot="1" x14ac:dyDescent="0.4">
      <c r="A17" s="3">
        <v>8089</v>
      </c>
      <c r="B17" s="3" t="str">
        <f>_xlfn.XLOOKUP(A17,AE$1:AE$1048568,AC$1:AC$1048568,"NÃO ENCONTRADO")</f>
        <v>008089 - ROTISSERIA BATATA ASSADA BENDITO KG</v>
      </c>
      <c r="C17" s="15">
        <v>0.15</v>
      </c>
      <c r="D17" s="25"/>
      <c r="E17" s="3">
        <v>8080</v>
      </c>
      <c r="F17" s="46" t="str">
        <f>_xlfn.XLOOKUP(E17,$AE$1:$AE$1048568,$AC$1:$AC$1048568,"NÃO ENCONTRADO")</f>
        <v>008080 - ROTISSERIA BANANA BENDITO KG</v>
      </c>
      <c r="G17" s="48">
        <v>0.12</v>
      </c>
      <c r="H17" s="34"/>
      <c r="I17" s="56">
        <v>8292</v>
      </c>
      <c r="J17" s="57" t="str">
        <f>_xlfn.XLOOKUP(I17,$AE$1:$AE$1048568,$AC$1:$AC$1048568,"NÃO ENCONTRADO")</f>
        <v>008292 - ROTISSERIA CREME DE MILHO BENDITO KG</v>
      </c>
      <c r="K17" s="67">
        <v>0.15</v>
      </c>
      <c r="L17" s="31"/>
      <c r="M17" s="77">
        <v>8598</v>
      </c>
      <c r="N17" s="78" t="str">
        <f>_xlfn.XLOOKUP(M17,$AE$1:$AE$1048568,$AC$1:$AC$1048568,"NÃO ENCONTRADO")</f>
        <v>008598 - ROTISSERIA PURE DE BATATA BENDITO KG</v>
      </c>
      <c r="O17" s="79">
        <v>0.15</v>
      </c>
      <c r="P17" s="31"/>
      <c r="Q17" s="95">
        <v>8279</v>
      </c>
      <c r="R17" s="96" t="str">
        <f>_xlfn.XLOOKUP(Q17,$AE$1:$AE$1048568,$AC$1:$AC$1048568,"NÃO ENCONTRADO")</f>
        <v>008279 - ROTISSERIA COUVE FLOR EMPANADA BENDITO KG</v>
      </c>
      <c r="S17" s="106">
        <v>0.15</v>
      </c>
      <c r="T17" s="31"/>
      <c r="U17" s="56">
        <v>8292</v>
      </c>
      <c r="V17" s="57" t="str">
        <f>_xlfn.XLOOKUP(U17,$AE$1:$AE$1048568,$AC$1:$AC$1048568,"NÃO ENCONTRADO")</f>
        <v>008292 - ROTISSERIA CREME DE MILHO BENDITO KG</v>
      </c>
      <c r="W17" s="67">
        <v>0.15</v>
      </c>
      <c r="X17" s="31"/>
      <c r="Y17" s="117">
        <v>6873</v>
      </c>
      <c r="Z17" s="118" t="str">
        <f>_xlfn.XLOOKUP(Y17,$AE$1:$AE$1048568,$AC$1:$AC$1048568,"NÃO ENCONTRADO")</f>
        <v>006873 - ROT REFRIGERADO FAROFA KG</v>
      </c>
      <c r="AA17" s="119">
        <v>0</v>
      </c>
      <c r="AC17" s="6" t="s">
        <v>26</v>
      </c>
      <c r="AD17" s="7" t="s">
        <v>6</v>
      </c>
      <c r="AE17" s="7">
        <v>9167</v>
      </c>
      <c r="AF17" s="8">
        <v>8.1</v>
      </c>
    </row>
    <row r="18" spans="1:32" ht="15" thickBot="1" x14ac:dyDescent="0.4">
      <c r="A18" s="16">
        <v>8598</v>
      </c>
      <c r="B18" s="16" t="str">
        <f>_xlfn.XLOOKUP(A18,AE$1:AE$1048568,AC$1:AC$1048568,"NÃO ENCONTRADO")</f>
        <v>008598 - ROTISSERIA PURE DE BATATA BENDITO KG</v>
      </c>
      <c r="C18" s="4">
        <v>0.15</v>
      </c>
      <c r="D18" s="23"/>
      <c r="E18" s="16">
        <v>8089</v>
      </c>
      <c r="F18" s="46" t="str">
        <f>_xlfn.XLOOKUP(E18,$AE$1:$AE$1048568,$AC$1:$AC$1048568,"NÃO ENCONTRADO")</f>
        <v>008089 - ROTISSERIA BATATA ASSADA BENDITO KG</v>
      </c>
      <c r="G18" s="49">
        <v>0.12</v>
      </c>
      <c r="H18" s="34"/>
      <c r="I18" s="60">
        <v>8391</v>
      </c>
      <c r="J18" s="57" t="str">
        <f>_xlfn.XLOOKUP(I18,$AE$1:$AE$1048568,$AC$1:$AC$1048568,"NÃO ENCONTRADO")</f>
        <v>008391 - ROTISSERIA JILO FRITO BENDITO KG</v>
      </c>
      <c r="K18" s="69">
        <v>0.08</v>
      </c>
      <c r="L18" s="31"/>
      <c r="M18" s="81">
        <v>8080</v>
      </c>
      <c r="N18" s="78" t="str">
        <f>_xlfn.XLOOKUP(M18,$AE$1:$AE$1048568,$AC$1:$AC$1048568,"NÃO ENCONTRADO")</f>
        <v>008080 - ROTISSERIA BANANA BENDITO KG</v>
      </c>
      <c r="O18" s="80">
        <v>0.12</v>
      </c>
      <c r="P18" s="31"/>
      <c r="Q18" s="99">
        <v>8089</v>
      </c>
      <c r="R18" s="96" t="str">
        <f>_xlfn.XLOOKUP(Q18,$AE$1:$AE$1048568,$AC$1:$AC$1048568,"NÃO ENCONTRADO")</f>
        <v>008089 - ROTISSERIA BATATA ASSADA BENDITO KG</v>
      </c>
      <c r="S18" s="107">
        <v>0.15</v>
      </c>
      <c r="T18" s="31"/>
      <c r="U18" s="60">
        <v>8391</v>
      </c>
      <c r="V18" s="57" t="str">
        <f>_xlfn.XLOOKUP(U18,$AE$1:$AE$1048568,$AC$1:$AC$1048568,"NÃO ENCONTRADO")</f>
        <v>008391 - ROTISSERIA JILO FRITO BENDITO KG</v>
      </c>
      <c r="W18" s="69">
        <v>0.08</v>
      </c>
      <c r="X18" s="31"/>
      <c r="Y18" s="121">
        <v>0</v>
      </c>
      <c r="Z18" s="118" t="str">
        <f>_xlfn.XLOOKUP(Y18,$AE$1:$AE$1048568,$AC$1:$AC$1048568,"NÃO ENCONTRADO")</f>
        <v>NÃO ENCONTRADO</v>
      </c>
      <c r="AA18" s="120">
        <v>0</v>
      </c>
      <c r="AC18" s="9" t="s">
        <v>27</v>
      </c>
      <c r="AD18" s="10" t="s">
        <v>6</v>
      </c>
      <c r="AE18" s="10">
        <v>9196</v>
      </c>
      <c r="AF18" s="11">
        <v>14.12</v>
      </c>
    </row>
    <row r="19" spans="1:32" ht="15" thickBot="1" x14ac:dyDescent="0.4">
      <c r="A19" s="132">
        <v>8403</v>
      </c>
      <c r="B19" s="27" t="str">
        <f>_xlfn.XLOOKUP(A19,AE$1:AE$1048568,AC$1:AC$1048568,"NÃO ENCONTRADO")</f>
        <v>008403 - ROTISSERIA LEGUMES BENDITO KG</v>
      </c>
      <c r="C19" s="29">
        <v>0.15</v>
      </c>
      <c r="D19" s="25"/>
      <c r="E19" s="51">
        <v>8598</v>
      </c>
      <c r="F19" s="47" t="str">
        <f>_xlfn.XLOOKUP(E19,$AE$1:$AE$1048568,$AC$1:$AC$1048568,"NÃO ENCONTRADO")</f>
        <v>008598 - ROTISSERIA PURE DE BATATA BENDITO KG</v>
      </c>
      <c r="G19" s="50">
        <v>0.12</v>
      </c>
      <c r="H19" s="34"/>
      <c r="I19" s="66">
        <v>8153</v>
      </c>
      <c r="J19" s="61" t="str">
        <f>_xlfn.XLOOKUP(I19,$AE$1:$AE$1048568,$AC$1:$AC$1048568,"NÃO ENCONTRADO")</f>
        <v>008153 - ROTISSERIA BERINJELA PIZZAOLA BENDITO KG</v>
      </c>
      <c r="K19" s="70">
        <v>0.08</v>
      </c>
      <c r="L19" s="31"/>
      <c r="M19" s="88">
        <v>8323</v>
      </c>
      <c r="N19" s="82" t="str">
        <f>_xlfn.XLOOKUP(M19,$AE$1:$AE$1048568,$AC$1:$AC$1048568,"NÃO ENCONTRADO")</f>
        <v>008323 - ROTISSERIA FAROFA BENDITO KG</v>
      </c>
      <c r="O19" s="89">
        <v>0.12</v>
      </c>
      <c r="P19" s="31"/>
      <c r="Q19" s="109">
        <v>8292</v>
      </c>
      <c r="R19" s="105" t="str">
        <f>_xlfn.XLOOKUP(Q19,$AE$1:$AE$1048568,$AC$1:$AC$1048568,"NÃO ENCONTRADO")</f>
        <v>008292 - ROTISSERIA CREME DE MILHO BENDITO KG</v>
      </c>
      <c r="S19" s="108">
        <v>0</v>
      </c>
      <c r="T19" s="31"/>
      <c r="U19" s="66">
        <v>8153</v>
      </c>
      <c r="V19" s="61" t="str">
        <f>_xlfn.XLOOKUP(U19,$AE$1:$AE$1048568,$AC$1:$AC$1048568,"NÃO ENCONTRADO")</f>
        <v>008153 - ROTISSERIA BERINJELA PIZZAOLA BENDITO KG</v>
      </c>
      <c r="W19" s="70">
        <v>0.1</v>
      </c>
      <c r="X19" s="31"/>
      <c r="Y19" s="126">
        <v>0</v>
      </c>
      <c r="Z19" s="122" t="str">
        <f>_xlfn.XLOOKUP(Y19,$AE$1:$AE$1048568,$AC$1:$AC$1048568,"NÃO ENCONTRADO")</f>
        <v>NÃO ENCONTRADO</v>
      </c>
      <c r="AA19" s="125">
        <v>0</v>
      </c>
      <c r="AC19" s="6" t="s">
        <v>28</v>
      </c>
      <c r="AD19" s="7" t="s">
        <v>6</v>
      </c>
      <c r="AE19" s="7">
        <v>9197</v>
      </c>
      <c r="AF19" s="8">
        <v>4.82</v>
      </c>
    </row>
    <row r="20" spans="1:32" ht="15" thickBot="1" x14ac:dyDescent="0.4">
      <c r="A20" s="21"/>
      <c r="B20" s="21"/>
      <c r="C20" s="37"/>
      <c r="D20" s="23"/>
      <c r="E20" s="21"/>
      <c r="F20" s="21"/>
      <c r="G20" s="37"/>
      <c r="H20" s="34"/>
      <c r="I20" s="21"/>
      <c r="J20" s="21"/>
      <c r="K20" s="37"/>
      <c r="L20" s="31"/>
      <c r="M20" s="21"/>
      <c r="N20" s="21"/>
      <c r="O20" s="37"/>
      <c r="P20" s="31"/>
      <c r="Q20" s="21"/>
      <c r="R20" s="21"/>
      <c r="S20" s="37"/>
      <c r="T20" s="31"/>
      <c r="U20" s="21"/>
      <c r="V20" s="21"/>
      <c r="W20" s="37"/>
      <c r="X20" s="31"/>
      <c r="Y20" s="21"/>
      <c r="Z20" s="21"/>
      <c r="AA20" s="37"/>
      <c r="AC20" s="9" t="s">
        <v>29</v>
      </c>
      <c r="AD20" s="10" t="s">
        <v>6</v>
      </c>
      <c r="AE20" s="10">
        <v>9199</v>
      </c>
      <c r="AF20" s="11">
        <v>0.17</v>
      </c>
    </row>
    <row r="21" spans="1:32" ht="15" thickBot="1" x14ac:dyDescent="0.4">
      <c r="A21" s="3">
        <v>8409</v>
      </c>
      <c r="B21" s="3" t="str">
        <f>_xlfn.XLOOKUP(A21,AE$1:AE$1048568,AC$1:AC$1048568,"NÃO ENCONTRADO")</f>
        <v>008409 - ROTISSERIA LINGUICA ASSADA BENDITO KG</v>
      </c>
      <c r="C21" s="17">
        <v>0.15</v>
      </c>
      <c r="D21" s="25"/>
      <c r="E21" s="3">
        <v>8491</v>
      </c>
      <c r="F21" s="3" t="str">
        <f>_xlfn.XLOOKUP(E21,$AE$1:$AE$1048568,$AC$1:$AC$1048568,"NÃO ENCONTRADO")</f>
        <v>008491 - ROTISSERIA MEDALHAO FRANGO BENDITO KG</v>
      </c>
      <c r="G21" s="15">
        <v>0.15</v>
      </c>
      <c r="H21" s="34"/>
      <c r="I21" s="56">
        <v>8349</v>
      </c>
      <c r="J21" s="57" t="str">
        <f>_xlfn.XLOOKUP(I21,$AE$1:$AE$1048568,$AC$1:$AC$1048568,"NÃO ENCONTRADO")</f>
        <v>008349 - ROTISSERIA FILE FRANGO PARMEGIANA BENDITO KG</v>
      </c>
      <c r="K21" s="68">
        <v>0.15</v>
      </c>
      <c r="L21" s="31"/>
      <c r="M21" s="77">
        <v>8804</v>
      </c>
      <c r="N21" s="78" t="str">
        <f>_xlfn.XLOOKUP(M21,$AE$1:$AE$1048568,$AC$1:$AC$1048568,"NÃO ENCONTRADO")</f>
        <v>008804 - ROTISSERIA SOBRECOXA RECHEADA BENDITO KG</v>
      </c>
      <c r="O21" s="79">
        <v>0.2</v>
      </c>
      <c r="P21" s="31"/>
      <c r="Q21" s="95">
        <v>8381</v>
      </c>
      <c r="R21" s="96" t="str">
        <f>_xlfn.XLOOKUP(Q21,$AE$1:$AE$1048568,$AC$1:$AC$1048568,"NÃO ENCONTRADO")</f>
        <v>008381 - ROTISSERIA FRANGO XADREZ BENDITO KG</v>
      </c>
      <c r="S21" s="106">
        <v>0.15</v>
      </c>
      <c r="T21" s="31"/>
      <c r="U21" s="56">
        <v>8361</v>
      </c>
      <c r="V21" s="57" t="str">
        <f>_xlfn.XLOOKUP(U21,$AE$1:$AE$1048568,$AC$1:$AC$1048568,"NÃO ENCONTRADO")</f>
        <v>008361 - ROTISSERIA FILE SOBRECOXA ASSADA BENDITO KG</v>
      </c>
      <c r="W21" s="68">
        <v>1</v>
      </c>
      <c r="X21" s="31"/>
      <c r="Y21" s="115" t="s">
        <v>0</v>
      </c>
      <c r="Z21" s="115" t="s">
        <v>1</v>
      </c>
      <c r="AA21" s="116" t="s">
        <v>8</v>
      </c>
      <c r="AC21" s="6" t="s">
        <v>30</v>
      </c>
      <c r="AD21" s="7" t="s">
        <v>6</v>
      </c>
      <c r="AE21" s="7">
        <v>9178</v>
      </c>
      <c r="AF21" s="8">
        <v>20.75</v>
      </c>
    </row>
    <row r="22" spans="1:32" ht="15" thickBot="1" x14ac:dyDescent="0.4">
      <c r="A22" s="3">
        <v>8945</v>
      </c>
      <c r="B22" s="3" t="str">
        <f>_xlfn.XLOOKUP(A22,AE$1:AE$1048568,AC$1:AC$1048568,"NÃO ENCONTRADO")</f>
        <v>008945 - ROT.ISCA DE FRANGO A MILANESA BENDITO KG</v>
      </c>
      <c r="C22" s="17">
        <v>0.15</v>
      </c>
      <c r="D22" s="25"/>
      <c r="E22" s="3">
        <v>8602</v>
      </c>
      <c r="F22" s="3" t="str">
        <f>_xlfn.XLOOKUP(E22,$AE$1:$AE$1048568,$AC$1:$AC$1048568,"NÃO ENCONTRADO")</f>
        <v>008602 - ROTISSERIA QUIBE ASSADO BENDITO KG</v>
      </c>
      <c r="G22" s="17">
        <v>0.15</v>
      </c>
      <c r="H22" s="34"/>
      <c r="I22" s="56">
        <v>8158</v>
      </c>
      <c r="J22" s="57" t="str">
        <f>_xlfn.XLOOKUP(I22,$AE$1:$AE$1048568,$AC$1:$AC$1048568,"NÃO ENCONTRADO")</f>
        <v>008158 - ROTISSERIA BIFE A ROLE BENDITO KG</v>
      </c>
      <c r="K22" s="68">
        <v>0.15</v>
      </c>
      <c r="L22" s="31"/>
      <c r="M22" s="77">
        <v>8006</v>
      </c>
      <c r="N22" s="78" t="str">
        <f>_xlfn.XLOOKUP(M22,$AE$1:$AE$1048568,$AC$1:$AC$1048568,"NÃO ENCONTRADO")</f>
        <v>008006 - ROTISSERIA ALMONDEGAS AO MOLHO BENDITO KG</v>
      </c>
      <c r="O22" s="133"/>
      <c r="P22" s="31"/>
      <c r="Q22" s="95">
        <v>8834</v>
      </c>
      <c r="R22" s="96" t="str">
        <f>_xlfn.XLOOKUP(Q22,$AE$1:$AE$1048568,$AC$1:$AC$1048568,"NÃO ENCONTRADO")</f>
        <v>008834 - ROTISSERIA STROGONOFF DE CARNE BENDITO KG</v>
      </c>
      <c r="S22" s="110">
        <v>0.15</v>
      </c>
      <c r="T22" s="31"/>
      <c r="U22" s="56">
        <v>8409</v>
      </c>
      <c r="V22" s="57" t="str">
        <f>_xlfn.XLOOKUP(U22,$AE$1:$AE$1048568,$AC$1:$AC$1048568,"NÃO ENCONTRADO")</f>
        <v>008409 - ROTISSERIA LINGUICA ASSADA BENDITO KG</v>
      </c>
      <c r="W22" s="68">
        <v>0.12</v>
      </c>
      <c r="X22" s="31"/>
      <c r="Y22" s="121">
        <v>93583</v>
      </c>
      <c r="Z22" s="122" t="str">
        <f>_xlfn.XLOOKUP(Y22,$AE$1:$AE$1048568,$AC$1:$AC$1048568,"NÃO ENCONTRADO")</f>
        <v>093583 - ASS.FRANGO BENDITO INTEIRO</v>
      </c>
      <c r="AA22" s="123">
        <v>0</v>
      </c>
      <c r="AC22" s="6"/>
      <c r="AD22" s="7"/>
      <c r="AE22" s="7"/>
      <c r="AF22" s="8"/>
    </row>
    <row r="23" spans="1:32" ht="15" thickBot="1" x14ac:dyDescent="0.4">
      <c r="A23" s="16">
        <v>8396</v>
      </c>
      <c r="B23" s="16" t="str">
        <f>_xlfn.XLOOKUP(A23,AE$1:AE$1048568,AC$1:AC$1048568,"NÃO ENCONTRADO")</f>
        <v>008396 - ROTISSERIA LAGARTO AO MOLHO MADEIRA BENDITO KG</v>
      </c>
      <c r="C23" s="17">
        <v>0</v>
      </c>
      <c r="D23" s="25"/>
      <c r="E23" s="3">
        <v>8231</v>
      </c>
      <c r="F23" s="3" t="str">
        <f>_xlfn.XLOOKUP(E23,$AE$1:$AE$1048568,$AC$1:$AC$1048568,"NÃO ENCONTRADO")</f>
        <v>008231 - ROTISSERIA CHARUTO BENDITO KG</v>
      </c>
      <c r="G23" s="17"/>
      <c r="H23" s="34"/>
      <c r="I23" s="56"/>
      <c r="J23" s="57"/>
      <c r="K23" s="68"/>
      <c r="L23" s="31"/>
      <c r="M23" s="77"/>
      <c r="N23" s="78"/>
      <c r="O23" s="133"/>
      <c r="P23" s="31"/>
      <c r="Q23" s="95"/>
      <c r="R23" s="96"/>
      <c r="S23" s="110"/>
      <c r="T23" s="31"/>
      <c r="U23" s="56"/>
      <c r="V23" s="57"/>
      <c r="W23" s="68"/>
      <c r="X23" s="31"/>
      <c r="Y23" s="121"/>
      <c r="Z23" s="122"/>
      <c r="AA23" s="123"/>
      <c r="AC23" s="6"/>
      <c r="AD23" s="7"/>
      <c r="AE23" s="7"/>
      <c r="AF23" s="8"/>
    </row>
    <row r="24" spans="1:32" ht="15" thickBot="1" x14ac:dyDescent="0.4">
      <c r="A24" s="16">
        <v>8945</v>
      </c>
      <c r="B24" s="16" t="str">
        <f>_xlfn.XLOOKUP(A24,AE$1:AE$1048568,AC$1:AC$1048568,"NÃO ENCONTRADO")</f>
        <v>008945 - ROT.ISCA DE FRANGO A MILANESA BENDITO KG</v>
      </c>
      <c r="C24" s="17">
        <v>0</v>
      </c>
      <c r="D24" s="23"/>
      <c r="E24" s="16">
        <v>8837</v>
      </c>
      <c r="F24" s="16" t="str">
        <f>_xlfn.XLOOKUP(E24,$AE$1:$AE$1048568,$AC$1:$AC$1048568,"NÃO ENCONTRADO")</f>
        <v>008837 - ROTISSERIA STROGONOFF DE FRANGO BENDITO KG</v>
      </c>
      <c r="G24" s="17">
        <v>0.15</v>
      </c>
      <c r="H24" s="34"/>
      <c r="I24" s="60">
        <v>8284</v>
      </c>
      <c r="J24" s="61" t="str">
        <f>_xlfn.XLOOKUP(I24,$AE$1:$AE$1048568,$AC$1:$AC$1048568,"NÃO ENCONTRADO")</f>
        <v>008284 - ROTISSERIA COXA SOBRECOXA ASSADA BENDITO KG</v>
      </c>
      <c r="K24" s="68">
        <v>0.15</v>
      </c>
      <c r="L24" s="31"/>
      <c r="M24" s="81">
        <v>8519</v>
      </c>
      <c r="N24" s="82" t="str">
        <f>_xlfn.XLOOKUP(M24,$AE$1:$AE$1048568,$AC$1:$AC$1048568,"NÃO ENCONTRADO")</f>
        <v>008519 - ROTISSERIA COXINHA BUFALO WINGS KG</v>
      </c>
      <c r="O24" s="90">
        <v>0</v>
      </c>
      <c r="P24" s="31"/>
      <c r="Q24" s="99">
        <v>8231</v>
      </c>
      <c r="R24" s="105" t="str">
        <f>_xlfn.XLOOKUP(Q24,$AE$1:$AE$1048568,$AC$1:$AC$1048568,"NÃO ENCONTRADO")</f>
        <v>008231 - ROTISSERIA CHARUTO BENDITO KG</v>
      </c>
      <c r="S24" s="110">
        <v>0</v>
      </c>
      <c r="T24" s="31"/>
      <c r="U24" s="60">
        <v>8298</v>
      </c>
      <c r="V24" s="61" t="str">
        <f>_xlfn.XLOOKUP(U24,$AE$1:$AE$1048568,$AC$1:$AC$1048568,"NÃO ENCONTRADO")</f>
        <v>008298 - ROTISSERIA DOBRADINHA BENDITO KG</v>
      </c>
      <c r="W24" s="68">
        <v>0.35</v>
      </c>
      <c r="X24" s="31"/>
      <c r="Y24" s="121">
        <v>2893</v>
      </c>
      <c r="Z24" s="122" t="str">
        <f t="shared" ref="Z24:Z31" si="0">_xlfn.XLOOKUP(Y24,$AE$1:$AE$1048568,$AC$1:$AC$1048568,"NÃO ENCONTRADO")</f>
        <v>002893 - ASS.FRANGO METADE BENDITO UNIDADE</v>
      </c>
      <c r="AA24" s="123">
        <v>0</v>
      </c>
      <c r="AC24" s="9" t="s">
        <v>31</v>
      </c>
      <c r="AD24" s="10" t="s">
        <v>32</v>
      </c>
      <c r="AE24" s="10">
        <v>2753</v>
      </c>
      <c r="AF24" s="11">
        <v>0</v>
      </c>
    </row>
    <row r="25" spans="1:32" ht="15" thickBot="1" x14ac:dyDescent="0.4">
      <c r="A25" s="21"/>
      <c r="B25" s="21"/>
      <c r="C25" s="28"/>
      <c r="D25" s="25"/>
      <c r="E25" s="21"/>
      <c r="F25" s="21"/>
      <c r="G25" s="28"/>
      <c r="H25" s="34"/>
      <c r="I25" s="21"/>
      <c r="J25" s="21"/>
      <c r="K25" s="28"/>
      <c r="L25" s="31"/>
      <c r="M25" s="21"/>
      <c r="N25" s="21"/>
      <c r="O25" s="28"/>
      <c r="P25" s="31"/>
      <c r="Q25" s="21"/>
      <c r="R25" s="21"/>
      <c r="S25" s="28"/>
      <c r="T25" s="31"/>
      <c r="U25" s="21"/>
      <c r="V25" s="21"/>
      <c r="W25" s="28"/>
      <c r="X25" s="31"/>
      <c r="Y25" s="121">
        <v>93964</v>
      </c>
      <c r="Z25" s="122" t="str">
        <f t="shared" si="0"/>
        <v>093964 - ROTISSERIA CUPIM ASSADO MOLHO ALHO  KG</v>
      </c>
      <c r="AA25" s="123">
        <v>0</v>
      </c>
      <c r="AC25" s="6" t="s">
        <v>33</v>
      </c>
      <c r="AD25" s="7" t="s">
        <v>6</v>
      </c>
      <c r="AE25" s="7">
        <v>6671</v>
      </c>
      <c r="AF25" s="8">
        <v>99.99</v>
      </c>
    </row>
    <row r="26" spans="1:32" ht="15" thickBot="1" x14ac:dyDescent="0.4">
      <c r="A26" s="3">
        <v>8221</v>
      </c>
      <c r="B26" s="3" t="str">
        <f>_xlfn.XLOOKUP(A26,AE$1:AE$1048568,AC$1:AC$1048568,"NÃO ENCONTRADO")</f>
        <v>008221 - ROTISSERIA CAPONATA BERINJELA BENDITO KG</v>
      </c>
      <c r="C26" s="18">
        <v>0.35</v>
      </c>
      <c r="D26" s="23"/>
      <c r="E26" s="3">
        <v>8695</v>
      </c>
      <c r="F26" s="3" t="str">
        <f>_xlfn.XLOOKUP(E26,$AE$1:$AE$1048568,$AC$1:$AC$1048568,"NÃO ENCONTRADO")</f>
        <v>008695 - ROTISSERIA SALADA DE BETERRABA BENDITO KG</v>
      </c>
      <c r="G26" s="18">
        <v>0.35</v>
      </c>
      <c r="H26" s="34"/>
      <c r="I26" s="56">
        <v>8690</v>
      </c>
      <c r="J26" s="57" t="str">
        <f>_xlfn.XLOOKUP(I26,$AE$1:$AE$1048568,$AC$1:$AC$1048568,"NÃO ENCONTRADO")</f>
        <v>008690 - ROTISSERIA SALADA DE BATATA CURTINHA BENDITO KG</v>
      </c>
      <c r="K26" s="71">
        <v>0.35</v>
      </c>
      <c r="L26" s="31"/>
      <c r="M26" s="77">
        <v>8671</v>
      </c>
      <c r="N26" s="78" t="str">
        <f>_xlfn.XLOOKUP(M26,$AE$1:$AE$1048568,$AC$1:$AC$1048568,"NÃO ENCONTRADO")</f>
        <v>008671 - ROTISSERIA SALADA BATATONESE BENDITO KG</v>
      </c>
      <c r="O26" s="91">
        <v>0.35</v>
      </c>
      <c r="P26" s="31"/>
      <c r="Q26" s="95">
        <v>0</v>
      </c>
      <c r="R26" s="96" t="str">
        <f>_xlfn.XLOOKUP(Q26,$AE$1:$AE$1048568,$AC$1:$AC$1048568,"NÃO ENCONTRADO")</f>
        <v>NÃO ENCONTRADO</v>
      </c>
      <c r="S26" s="104">
        <v>0</v>
      </c>
      <c r="T26" s="31"/>
      <c r="U26" s="56">
        <v>0</v>
      </c>
      <c r="V26" s="57" t="str">
        <f>_xlfn.XLOOKUP(U26,$AE$1:$AE$1048568,$AC$1:$AC$1048568,"NÃO ENCONTRADO")</f>
        <v>NÃO ENCONTRADO</v>
      </c>
      <c r="W26" s="71">
        <v>0</v>
      </c>
      <c r="X26" s="31"/>
      <c r="Y26" s="121">
        <v>8484</v>
      </c>
      <c r="Z26" s="122" t="str">
        <f t="shared" si="0"/>
        <v>008484 - ROTISSERIA MAMINHA ASSADA BENDITO KG</v>
      </c>
      <c r="AA26" s="123">
        <v>0</v>
      </c>
      <c r="AC26" s="9" t="s">
        <v>34</v>
      </c>
      <c r="AD26" s="10" t="s">
        <v>7</v>
      </c>
      <c r="AE26" s="10">
        <v>355445</v>
      </c>
      <c r="AF26" s="11">
        <v>30</v>
      </c>
    </row>
    <row r="27" spans="1:32" ht="15" thickBot="1" x14ac:dyDescent="0.4">
      <c r="A27" s="16">
        <v>8789</v>
      </c>
      <c r="B27" s="16" t="str">
        <f>_xlfn.XLOOKUP(A27,AE$1:AE$1048568,AC$1:AC$1048568,"NÃO ENCONTRADO")</f>
        <v>008789 - ROTISSERIA SALADA SUNOMONO BENDITOKG</v>
      </c>
      <c r="C27" s="5">
        <v>0.35</v>
      </c>
      <c r="D27" s="25"/>
      <c r="E27" s="16">
        <v>8713</v>
      </c>
      <c r="F27" s="3" t="str">
        <f>_xlfn.XLOOKUP(E27,$AE$1:$AE$1048568,$AC$1:$AC$1048568,"NÃO ENCONTRADO")</f>
        <v>008713 - ROTISSERIA SALADA DE GRAO DE BICO BENDITO KG</v>
      </c>
      <c r="G27" s="5">
        <v>0.35</v>
      </c>
      <c r="H27" s="34"/>
      <c r="I27" s="60">
        <v>8687</v>
      </c>
      <c r="J27" s="57" t="str">
        <f>_xlfn.XLOOKUP(I27,$AE$1:$AE$1048568,$AC$1:$AC$1048568,"NÃO ENCONTRADO")</f>
        <v>008687 - ROTISSERIA SALADA CENOURA C/VAGEM BENDITO KG</v>
      </c>
      <c r="K27" s="62">
        <v>0.35</v>
      </c>
      <c r="L27" s="31"/>
      <c r="M27" s="81">
        <v>8839</v>
      </c>
      <c r="N27" s="78" t="str">
        <f>_xlfn.XLOOKUP(M27,$AE$1:$AE$1048568,$AC$1:$AC$1048568,"NÃO ENCONTRADO")</f>
        <v>008839 - ROTISSERIA TABULE BENDITO KG</v>
      </c>
      <c r="O27" s="92">
        <v>0.35</v>
      </c>
      <c r="P27" s="31"/>
      <c r="Q27" s="99">
        <v>0</v>
      </c>
      <c r="R27" s="96" t="str">
        <f>_xlfn.XLOOKUP(Q27,$AE$1:$AE$1048568,$AC$1:$AC$1048568,"NÃO ENCONTRADO")</f>
        <v>NÃO ENCONTRADO</v>
      </c>
      <c r="S27" s="100">
        <v>0</v>
      </c>
      <c r="T27" s="31"/>
      <c r="U27" s="60">
        <v>0</v>
      </c>
      <c r="V27" s="57" t="str">
        <f>_xlfn.XLOOKUP(U27,$AE$1:$AE$1048568,$AC$1:$AC$1048568,"NÃO ENCONTRADO")</f>
        <v>NÃO ENCONTRADO</v>
      </c>
      <c r="W27" s="62">
        <v>-1</v>
      </c>
      <c r="X27" s="31"/>
      <c r="Y27" s="121">
        <v>8274</v>
      </c>
      <c r="Z27" s="122" t="str">
        <f t="shared" si="0"/>
        <v>008274 - ROTISSERIA COSTELINHA PORCO MOLHO BARBECUE BENDITO KG</v>
      </c>
      <c r="AA27" s="123">
        <v>0</v>
      </c>
      <c r="AC27" s="6" t="s">
        <v>35</v>
      </c>
      <c r="AD27" s="7" t="s">
        <v>6</v>
      </c>
      <c r="AE27" s="7">
        <v>1895</v>
      </c>
      <c r="AF27" s="8">
        <v>0</v>
      </c>
    </row>
    <row r="28" spans="1:32" ht="15" thickBot="1" x14ac:dyDescent="0.4">
      <c r="A28" s="1" t="s">
        <v>0</v>
      </c>
      <c r="B28" s="1" t="s">
        <v>1</v>
      </c>
      <c r="C28" s="2" t="s">
        <v>8</v>
      </c>
      <c r="D28" s="30"/>
      <c r="E28" s="39" t="s">
        <v>0</v>
      </c>
      <c r="F28" s="39" t="s">
        <v>1</v>
      </c>
      <c r="G28" s="40" t="s">
        <v>8</v>
      </c>
      <c r="H28" s="36"/>
      <c r="I28" s="54" t="s">
        <v>0</v>
      </c>
      <c r="J28" s="54" t="s">
        <v>1</v>
      </c>
      <c r="K28" s="55" t="s">
        <v>8</v>
      </c>
      <c r="L28" s="31"/>
      <c r="M28" s="75" t="s">
        <v>0</v>
      </c>
      <c r="N28" s="75" t="s">
        <v>1</v>
      </c>
      <c r="O28" s="76" t="s">
        <v>8</v>
      </c>
      <c r="P28" s="31"/>
      <c r="Q28" s="42" t="s">
        <v>0</v>
      </c>
      <c r="R28" s="42" t="s">
        <v>1</v>
      </c>
      <c r="S28" s="43" t="s">
        <v>8</v>
      </c>
      <c r="T28" s="31"/>
      <c r="U28" s="52" t="s">
        <v>0</v>
      </c>
      <c r="V28" s="52" t="s">
        <v>1</v>
      </c>
      <c r="W28" s="53" t="s">
        <v>8</v>
      </c>
      <c r="X28" s="31"/>
      <c r="Y28" s="121">
        <v>8393</v>
      </c>
      <c r="Z28" s="122" t="str">
        <f t="shared" si="0"/>
        <v>008393 - ROTISSERIA JOELHO PORCO ASSADO BENDITO KG</v>
      </c>
      <c r="AA28" s="123">
        <v>0</v>
      </c>
      <c r="AC28" s="9" t="s">
        <v>36</v>
      </c>
      <c r="AD28" s="10" t="s">
        <v>6</v>
      </c>
      <c r="AE28" s="10">
        <v>102365</v>
      </c>
      <c r="AF28" s="11">
        <v>35.9</v>
      </c>
    </row>
    <row r="29" spans="1:32" ht="15" thickBot="1" x14ac:dyDescent="0.4">
      <c r="A29" s="3">
        <v>8963</v>
      </c>
      <c r="B29" s="3" t="str">
        <f>_xlfn.XLOOKUP(A29,AE$1:AE$1048568,AC$1:AC$1048568,"NÃO ENCONTRADO")</f>
        <v>008963 - ROTISSERIA SALADA CEASER C/FRANGO BENDITO</v>
      </c>
      <c r="C29" s="15">
        <v>1</v>
      </c>
      <c r="D29" s="25"/>
      <c r="E29" s="3">
        <v>8963</v>
      </c>
      <c r="F29" s="138" t="str">
        <f>_xlfn.XLOOKUP(E29,$AE$1:$AE$1048568,$AC$1:$AC$1048568,"NÃO ENCONTRADO")</f>
        <v>008963 - ROTISSERIA SALADA CEASER C/FRANGO BENDITO</v>
      </c>
      <c r="G29" s="15">
        <v>1</v>
      </c>
      <c r="H29" s="34"/>
      <c r="I29" s="56">
        <v>8963</v>
      </c>
      <c r="J29" s="57" t="str">
        <f>_xlfn.XLOOKUP(I29,$AE$1:$AE$1048568,$AC$1:$AC$1048568,"NÃO ENCONTRADO")</f>
        <v>008963 - ROTISSERIA SALADA CEASER C/FRANGO BENDITO</v>
      </c>
      <c r="K29" s="67">
        <v>1</v>
      </c>
      <c r="L29" s="31"/>
      <c r="M29" s="77">
        <v>8963</v>
      </c>
      <c r="N29" s="78" t="str">
        <f>_xlfn.XLOOKUP(M29,$AE$1:$AE$1048568,$AC$1:$AC$1048568,"NÃO ENCONTRADO")</f>
        <v>008963 - ROTISSERIA SALADA CEASER C/FRANGO BENDITO</v>
      </c>
      <c r="O29" s="79">
        <v>1</v>
      </c>
      <c r="P29" s="31"/>
      <c r="Q29" s="95">
        <v>8963</v>
      </c>
      <c r="R29" s="96" t="str">
        <f>_xlfn.XLOOKUP(Q29,$AE$1:$AE$1048568,$AC$1:$AC$1048568,"NÃO ENCONTRADO")</f>
        <v>008963 - ROTISSERIA SALADA CEASER C/FRANGO BENDITO</v>
      </c>
      <c r="S29" s="106">
        <v>1</v>
      </c>
      <c r="T29" s="31"/>
      <c r="U29" s="60">
        <v>2893</v>
      </c>
      <c r="V29" s="61" t="str">
        <f t="shared" ref="V29:V37" si="1">_xlfn.XLOOKUP(U29,$AE$1:$AE$1048568,$AC$1:$AC$1048568,"NÃO ENCONTRADO")</f>
        <v>002893 - ASS.FRANGO METADE BENDITO UNIDADE</v>
      </c>
      <c r="W29" s="62">
        <v>1</v>
      </c>
      <c r="X29" s="31"/>
      <c r="Y29" s="121">
        <v>7652</v>
      </c>
      <c r="Z29" s="122" t="str">
        <f t="shared" si="0"/>
        <v>007652 - REFEICAO COXA SOBRECOXA ASSADA BENDITO UN</v>
      </c>
      <c r="AA29" s="123">
        <v>0</v>
      </c>
      <c r="AC29" s="6" t="s">
        <v>37</v>
      </c>
      <c r="AD29" s="7" t="s">
        <v>6</v>
      </c>
      <c r="AE29" s="7">
        <v>2173</v>
      </c>
      <c r="AF29" s="8">
        <v>0</v>
      </c>
    </row>
    <row r="30" spans="1:32" ht="15" thickBot="1" x14ac:dyDescent="0.4">
      <c r="A30" s="3">
        <v>8962</v>
      </c>
      <c r="B30" s="3" t="str">
        <f>_xlfn.XLOOKUP(A30,AE$1:AE$1048568,AC$1:AC$1048568,"NÃO ENCONTRADO")</f>
        <v>008962 - ROTISSERIA SALADA MIX DE FOLHA E LEGUMES C/PROTEINAS BENDITO</v>
      </c>
      <c r="C30" s="4">
        <v>0</v>
      </c>
      <c r="D30" s="23"/>
      <c r="E30" s="3">
        <v>8962</v>
      </c>
      <c r="F30" s="3" t="str">
        <f>_xlfn.XLOOKUP(E30,$AE$1:$AE$1048568,$AC$1:$AC$1048568,"NÃO ENCONTRADO")</f>
        <v>008962 - ROTISSERIA SALADA MIX DE FOLHA E LEGUMES C/PROTEINAS BENDITO</v>
      </c>
      <c r="G30" s="4">
        <v>0</v>
      </c>
      <c r="H30" s="34"/>
      <c r="I30" s="3">
        <v>8962</v>
      </c>
      <c r="J30" s="57" t="str">
        <f>_xlfn.XLOOKUP(I30,$AE$1:$AE$1048568,$AC$1:$AC$1048568,"NÃO ENCONTRADO")</f>
        <v>008962 - ROTISSERIA SALADA MIX DE FOLHA E LEGUMES C/PROTEINAS BENDITO</v>
      </c>
      <c r="K30" s="69">
        <v>1</v>
      </c>
      <c r="L30" s="31"/>
      <c r="M30" s="77">
        <v>0</v>
      </c>
      <c r="N30" s="78" t="str">
        <f>_xlfn.XLOOKUP(M30,$AE$1:$AE$1048568,$AC$1:$AC$1048568,"NÃO ENCONTRADO")</f>
        <v>NÃO ENCONTRADO</v>
      </c>
      <c r="O30" s="80">
        <v>0</v>
      </c>
      <c r="P30" s="31"/>
      <c r="Q30" s="95">
        <v>0</v>
      </c>
      <c r="R30" s="96" t="str">
        <f>_xlfn.XLOOKUP(Q30,$AE$1:$AE$1048568,$AC$1:$AC$1048568,"NÃO ENCONTRADO")</f>
        <v>NÃO ENCONTRADO</v>
      </c>
      <c r="S30" s="107">
        <v>0</v>
      </c>
      <c r="T30" s="31"/>
      <c r="U30" s="60">
        <v>8484</v>
      </c>
      <c r="V30" s="61" t="str">
        <f t="shared" si="1"/>
        <v>008484 - ROTISSERIA MAMINHA ASSADA BENDITO KG</v>
      </c>
      <c r="W30" s="62">
        <v>0.65</v>
      </c>
      <c r="X30" s="31"/>
      <c r="Y30" s="121">
        <v>8523</v>
      </c>
      <c r="Z30" s="122" t="str">
        <f t="shared" si="0"/>
        <v>008523 - ROTISSERIA TULIPA BUFALO WINGS KG</v>
      </c>
      <c r="AA30" s="123">
        <v>0</v>
      </c>
      <c r="AC30" s="9" t="s">
        <v>38</v>
      </c>
      <c r="AD30" s="10" t="s">
        <v>6</v>
      </c>
      <c r="AE30" s="10">
        <v>7573</v>
      </c>
      <c r="AF30" s="11">
        <v>59.9</v>
      </c>
    </row>
    <row r="31" spans="1:32" ht="15" thickBot="1" x14ac:dyDescent="0.4">
      <c r="A31" s="16">
        <v>30</v>
      </c>
      <c r="B31" s="16" t="str">
        <f>_xlfn.XLOOKUP(A31,AE$1:AE$1048568,AC$1:AC$1048568,"NÃO ENCONTRADO")</f>
        <v>NÃO ENCONTRADO</v>
      </c>
      <c r="C31" s="5">
        <v>0</v>
      </c>
      <c r="D31" s="25"/>
      <c r="E31" s="16">
        <v>0</v>
      </c>
      <c r="F31" s="3" t="str">
        <f>_xlfn.XLOOKUP(E31,$AE$1:$AE$1048568,$AC$1:$AC$1048568,"NÃO ENCONTRADO")</f>
        <v>NÃO ENCONTRADO</v>
      </c>
      <c r="G31" s="5">
        <v>0</v>
      </c>
      <c r="H31" s="34"/>
      <c r="I31" s="60">
        <v>0</v>
      </c>
      <c r="J31" s="61" t="str">
        <f>_xlfn.XLOOKUP(I31,$AE$1:$AE$1048568,$AC$1:$AC$1048568,"NÃO ENCONTRADO")</f>
        <v>NÃO ENCONTRADO</v>
      </c>
      <c r="K31" s="65">
        <v>0</v>
      </c>
      <c r="L31" s="31"/>
      <c r="M31" s="81">
        <v>0</v>
      </c>
      <c r="N31" s="82" t="str">
        <f>_xlfn.XLOOKUP(M31,$AE$1:$AE$1048568,$AC$1:$AC$1048568,"NÃO ENCONTRADO")</f>
        <v>NÃO ENCONTRADO</v>
      </c>
      <c r="O31" s="83">
        <v>0</v>
      </c>
      <c r="P31" s="31"/>
      <c r="Q31" s="99">
        <v>0</v>
      </c>
      <c r="R31" s="105" t="str">
        <f>_xlfn.XLOOKUP(Q31,$AE$1:$AE$1048568,$AC$1:$AC$1048568,"NÃO ENCONTRADO")</f>
        <v>NÃO ENCONTRADO</v>
      </c>
      <c r="S31" s="111">
        <v>0</v>
      </c>
      <c r="T31" s="31"/>
      <c r="U31" s="60">
        <v>8523</v>
      </c>
      <c r="V31" s="61" t="str">
        <f t="shared" si="1"/>
        <v>008523 - ROTISSERIA TULIPA BUFALO WINGS KG</v>
      </c>
      <c r="W31" s="62">
        <v>0.35</v>
      </c>
      <c r="X31" s="31"/>
      <c r="Y31" s="121">
        <v>8396</v>
      </c>
      <c r="Z31" s="122" t="str">
        <f t="shared" si="0"/>
        <v>008396 - ROTISSERIA LAGARTO AO MOLHO MADEIRA BENDITO KG</v>
      </c>
      <c r="AA31" s="123">
        <v>0</v>
      </c>
      <c r="AC31" s="6" t="s">
        <v>39</v>
      </c>
      <c r="AD31" s="7" t="s">
        <v>6</v>
      </c>
      <c r="AE31" s="7">
        <v>7574</v>
      </c>
      <c r="AF31" s="8">
        <v>99.9</v>
      </c>
    </row>
    <row r="32" spans="1:32" ht="15" thickBot="1" x14ac:dyDescent="0.4">
      <c r="A32" s="21"/>
      <c r="B32" s="21"/>
      <c r="C32" s="37"/>
      <c r="D32" s="23"/>
      <c r="E32" s="21"/>
      <c r="F32" s="21"/>
      <c r="G32" s="37"/>
      <c r="H32" s="34"/>
      <c r="I32" s="21"/>
      <c r="J32" s="21"/>
      <c r="K32" s="37"/>
      <c r="L32" s="31"/>
      <c r="M32" s="21"/>
      <c r="N32" s="21"/>
      <c r="O32" s="37"/>
      <c r="P32" s="31"/>
      <c r="Q32" s="21"/>
      <c r="R32" s="21"/>
      <c r="S32" s="37"/>
      <c r="T32" s="31"/>
      <c r="U32" s="60">
        <v>0</v>
      </c>
      <c r="V32" s="61" t="str">
        <f t="shared" si="1"/>
        <v>NÃO ENCONTRADO</v>
      </c>
      <c r="W32" s="62">
        <v>0</v>
      </c>
      <c r="X32" s="31"/>
      <c r="AC32" s="9" t="s">
        <v>40</v>
      </c>
      <c r="AD32" s="10" t="s">
        <v>6</v>
      </c>
      <c r="AE32" s="10">
        <v>7575</v>
      </c>
      <c r="AF32" s="11">
        <v>79.900000000000006</v>
      </c>
    </row>
    <row r="33" spans="1:32" ht="15" thickBot="1" x14ac:dyDescent="0.4">
      <c r="A33" s="19">
        <v>9124</v>
      </c>
      <c r="B33" s="3" t="str">
        <f>_xlfn.XLOOKUP(A33,AE$1:AE$1048568,AC$1:AC$1048568,"NÃO ENCONTRADO")</f>
        <v>009124 - ROTISSERIA HOT HOLL BENDITO UN</v>
      </c>
      <c r="C33" s="15">
        <v>1</v>
      </c>
      <c r="D33" s="25"/>
      <c r="E33" s="19">
        <v>9123</v>
      </c>
      <c r="F33" s="3" t="str">
        <f>_xlfn.XLOOKUP(E33,$AE$1:$AE$1048568,$AC$1:$AC$1048568,"NÃO ENCONTRADO")</f>
        <v>009123 - ROTISSERIA SUSHI KANI C/CREAM CHEESE BENDITO UN</v>
      </c>
      <c r="G33" s="15">
        <v>1</v>
      </c>
      <c r="H33" s="34"/>
      <c r="I33" s="73">
        <v>9124</v>
      </c>
      <c r="J33" s="57" t="str">
        <f>_xlfn.XLOOKUP(I33,$AE$1:$AE$1048568,$AC$1:$AC$1048568,"NÃO ENCONTRADO")</f>
        <v>009124 - ROTISSERIA HOT HOLL BENDITO UN</v>
      </c>
      <c r="K33" s="67">
        <v>1</v>
      </c>
      <c r="L33" s="31"/>
      <c r="M33" s="19">
        <v>9123</v>
      </c>
      <c r="N33" s="78" t="str">
        <f>_xlfn.XLOOKUP(M33,$AE$1:$AE$1048568,$AC$1:$AC$1048568,"NÃO ENCONTRADO")</f>
        <v>009123 - ROTISSERIA SUSHI KANI C/CREAM CHEESE BENDITO UN</v>
      </c>
      <c r="O33" s="79">
        <v>1</v>
      </c>
      <c r="P33" s="31"/>
      <c r="Q33" s="103">
        <v>9119</v>
      </c>
      <c r="R33" s="96" t="str">
        <f>_xlfn.XLOOKUP(Q33,$AE$1:$AE$1048568,$AC$1:$AC$1048568,"NÃO ENCONTRADO")</f>
        <v xml:space="preserve">009119 - ROTISSERIA CALIFORNIA BENDITO UN </v>
      </c>
      <c r="S33" s="106">
        <v>1</v>
      </c>
      <c r="T33" s="31"/>
      <c r="U33" s="60">
        <v>0</v>
      </c>
      <c r="V33" s="61" t="str">
        <f t="shared" si="1"/>
        <v>NÃO ENCONTRADO</v>
      </c>
      <c r="W33" s="62">
        <v>0</v>
      </c>
      <c r="X33" s="31"/>
      <c r="AC33" s="6" t="s">
        <v>41</v>
      </c>
      <c r="AD33" s="7" t="s">
        <v>6</v>
      </c>
      <c r="AE33" s="7">
        <v>7576</v>
      </c>
      <c r="AF33" s="8">
        <v>79.900000000000006</v>
      </c>
    </row>
    <row r="34" spans="1:32" ht="15" thickBot="1" x14ac:dyDescent="0.4">
      <c r="A34" s="19">
        <v>9119</v>
      </c>
      <c r="B34" s="3" t="str">
        <f>_xlfn.XLOOKUP(A34,AE$1:AE$1048568,AC$1:AC$1048568,"NÃO ENCONTRADO")</f>
        <v xml:space="preserve">009119 - ROTISSERIA CALIFORNIA BENDITO UN </v>
      </c>
      <c r="C34" s="4">
        <v>1</v>
      </c>
      <c r="D34" s="23"/>
      <c r="E34" s="19">
        <v>0</v>
      </c>
      <c r="F34" s="3" t="str">
        <f>_xlfn.XLOOKUP(E34,AJ:AJ,AH:AH,"NÃO ENCONTRADO")</f>
        <v>NÃO ENCONTRADO</v>
      </c>
      <c r="G34" s="4">
        <v>0</v>
      </c>
      <c r="H34" s="34"/>
      <c r="I34" s="73">
        <v>9119</v>
      </c>
      <c r="J34" s="57" t="str">
        <f>_xlfn.XLOOKUP(I34,$AE$1:$AE$1048568,$AC$1:$AC$1048568,"NÃO ENCONTRADO")</f>
        <v xml:space="preserve">009119 - ROTISSERIA CALIFORNIA BENDITO UN </v>
      </c>
      <c r="K34" s="69">
        <v>1</v>
      </c>
      <c r="L34" s="31"/>
      <c r="M34" s="86">
        <v>0</v>
      </c>
      <c r="N34" s="78" t="str">
        <f>_xlfn.XLOOKUP(M34,$AE$1:$AE$1048568,$AC$1:$AC$1048568,"NÃO ENCONTRADO")</f>
        <v>NÃO ENCONTRADO</v>
      </c>
      <c r="O34" s="80">
        <v>1</v>
      </c>
      <c r="P34" s="31"/>
      <c r="Q34" s="103">
        <v>9124</v>
      </c>
      <c r="R34" s="96" t="str">
        <f>_xlfn.XLOOKUP(Q34,$AE$1:$AE$1048568,$AC$1:$AC$1048568,"NÃO ENCONTRADO")</f>
        <v>009124 - ROTISSERIA HOT HOLL BENDITO UN</v>
      </c>
      <c r="S34" s="107">
        <v>1</v>
      </c>
      <c r="T34" s="31"/>
      <c r="U34" s="60">
        <v>0</v>
      </c>
      <c r="V34" s="61" t="str">
        <f t="shared" si="1"/>
        <v>NÃO ENCONTRADO</v>
      </c>
      <c r="W34" s="62">
        <v>0</v>
      </c>
      <c r="X34" s="31"/>
      <c r="AC34" s="9" t="s">
        <v>42</v>
      </c>
      <c r="AD34" s="10" t="s">
        <v>6</v>
      </c>
      <c r="AE34" s="10">
        <v>8079</v>
      </c>
      <c r="AF34" s="11">
        <v>99.9</v>
      </c>
    </row>
    <row r="35" spans="1:32" ht="15" thickBot="1" x14ac:dyDescent="0.4">
      <c r="A35" s="20">
        <v>0</v>
      </c>
      <c r="B35" s="16" t="str">
        <f>_xlfn.XLOOKUP(A35,AE$1:AE$1048568,AC$1:AC$1048568,"NÃO ENCONTRADO")</f>
        <v>NÃO ENCONTRADO</v>
      </c>
      <c r="C35" s="5">
        <v>0</v>
      </c>
      <c r="D35" s="25"/>
      <c r="E35" s="20">
        <v>0</v>
      </c>
      <c r="F35" s="16" t="str">
        <f>_xlfn.XLOOKUP(E35,AJ:AJ,AH:AH,"NÃO ENCONTRADO")</f>
        <v>NÃO ENCONTRADO</v>
      </c>
      <c r="G35" s="5">
        <v>0</v>
      </c>
      <c r="H35" s="34"/>
      <c r="I35" s="73">
        <v>0</v>
      </c>
      <c r="J35" s="61" t="str">
        <f>_xlfn.XLOOKUP(I35,$AE$1:$AE$1048568,$AC$1:$AC$1048568,"NÃO ENCONTRADO")</f>
        <v>NÃO ENCONTRADO</v>
      </c>
      <c r="K35" s="65">
        <v>0</v>
      </c>
      <c r="L35" s="31"/>
      <c r="M35" s="85">
        <v>0</v>
      </c>
      <c r="N35" s="82" t="str">
        <f>_xlfn.XLOOKUP(M35,$AE$1:$AE$1048568,$AC$1:$AC$1048568,"NÃO ENCONTRADO")</f>
        <v>NÃO ENCONTRADO</v>
      </c>
      <c r="O35" s="83">
        <v>0</v>
      </c>
      <c r="P35" s="31"/>
      <c r="Q35" s="102">
        <v>0</v>
      </c>
      <c r="R35" s="105" t="str">
        <f>_xlfn.XLOOKUP(Q35,$AE$1:$AE$1048568,$AC$1:$AC$1048568,"NÃO ENCONTRADO")</f>
        <v>NÃO ENCONTRADO</v>
      </c>
      <c r="S35" s="111">
        <v>0</v>
      </c>
      <c r="T35" s="31"/>
      <c r="U35" s="60">
        <v>0</v>
      </c>
      <c r="V35" s="61" t="str">
        <f t="shared" si="1"/>
        <v>NÃO ENCONTRADO</v>
      </c>
      <c r="W35" s="62">
        <v>0</v>
      </c>
      <c r="X35" s="31"/>
      <c r="AC35" s="6" t="s">
        <v>43</v>
      </c>
      <c r="AD35" s="7" t="s">
        <v>6</v>
      </c>
      <c r="AE35" s="7">
        <v>7580</v>
      </c>
      <c r="AF35" s="8">
        <v>79.900000000000006</v>
      </c>
    </row>
    <row r="36" spans="1:32" ht="15" thickBot="1" x14ac:dyDescent="0.4">
      <c r="A36" s="21"/>
      <c r="B36" s="21"/>
      <c r="C36" s="37"/>
      <c r="D36" s="23"/>
      <c r="E36" s="21"/>
      <c r="F36" s="21"/>
      <c r="G36" s="37"/>
      <c r="H36" s="34"/>
      <c r="I36" s="21"/>
      <c r="J36" s="21"/>
      <c r="K36" s="37"/>
      <c r="L36" s="31"/>
      <c r="M36" s="21"/>
      <c r="N36" s="21"/>
      <c r="O36" s="37"/>
      <c r="P36" s="31"/>
      <c r="Q36" s="21"/>
      <c r="R36" s="21"/>
      <c r="S36" s="37"/>
      <c r="T36" s="31"/>
      <c r="U36" s="60">
        <v>0</v>
      </c>
      <c r="V36" s="61" t="str">
        <f t="shared" si="1"/>
        <v>NÃO ENCONTRADO</v>
      </c>
      <c r="W36" s="62">
        <v>0</v>
      </c>
      <c r="X36" s="34"/>
      <c r="AC36" s="9" t="s">
        <v>44</v>
      </c>
      <c r="AD36" s="10" t="s">
        <v>7</v>
      </c>
      <c r="AE36" s="10">
        <v>7582</v>
      </c>
      <c r="AF36" s="11">
        <v>19.899999999999999</v>
      </c>
    </row>
    <row r="37" spans="1:32" ht="15" thickBot="1" x14ac:dyDescent="0.4">
      <c r="A37" s="19">
        <v>9129</v>
      </c>
      <c r="B37" s="3" t="str">
        <f>_xlfn.XLOOKUP(A37,AE$1:AE$1048568,AC$1:AC$1048568,"NÃO ENCONTRADO")</f>
        <v>009129 - ROTISSERIA SALADA POKE DE SHIMEJI BENDITO UN</v>
      </c>
      <c r="C37" s="15">
        <v>1</v>
      </c>
      <c r="D37" s="25"/>
      <c r="E37" s="19">
        <v>9289</v>
      </c>
      <c r="F37" s="3" t="str">
        <f>_xlfn.XLOOKUP(E37,$AE$1:$AE$1048568,$AC$1:$AC$1048568,"NÃO ENCONTRADO")</f>
        <v>009289 - ROTISSERIA TEMAKI HOT SALMAO GRELAHADO</v>
      </c>
      <c r="G37" s="15">
        <v>1</v>
      </c>
      <c r="H37" s="34"/>
      <c r="I37" s="72">
        <v>0</v>
      </c>
      <c r="J37" s="57" t="str">
        <f>_xlfn.XLOOKUP(I37,$AE$1:$AE$1048568,$AC$1:$AC$1048568,"NÃO ENCONTRADO")</f>
        <v>NÃO ENCONTRADO</v>
      </c>
      <c r="K37" s="58">
        <v>0</v>
      </c>
      <c r="L37" s="31"/>
      <c r="M37" s="86">
        <v>9289</v>
      </c>
      <c r="N37" s="78" t="str">
        <f>_xlfn.XLOOKUP(M37,$AE$1:$AE$1048568,$AC$1:$AC$1048568,"NÃO ENCONTRADO")</f>
        <v>009289 - ROTISSERIA TEMAKI HOT SALMAO GRELAHADO</v>
      </c>
      <c r="O37" s="93">
        <v>0</v>
      </c>
      <c r="P37" s="31"/>
      <c r="Q37" s="103">
        <v>9129</v>
      </c>
      <c r="R37" s="96" t="str">
        <f>_xlfn.XLOOKUP(Q37,$AE$1:$AE$1048568,$AC$1:$AC$1048568,"NÃO ENCONTRADO")</f>
        <v>009129 - ROTISSERIA SALADA POKE DE SHIMEJI BENDITO UN</v>
      </c>
      <c r="S37" s="97">
        <v>0</v>
      </c>
      <c r="T37" s="31"/>
      <c r="U37" s="60">
        <v>0</v>
      </c>
      <c r="V37" s="61" t="str">
        <f t="shared" si="1"/>
        <v>NÃO ENCONTRADO</v>
      </c>
      <c r="W37" s="62">
        <v>0</v>
      </c>
      <c r="X37" s="34"/>
      <c r="AC37" s="6" t="s">
        <v>856</v>
      </c>
      <c r="AD37" s="7" t="s">
        <v>7</v>
      </c>
      <c r="AE37" s="7">
        <v>7930</v>
      </c>
      <c r="AF37" s="8">
        <v>23.9</v>
      </c>
    </row>
    <row r="38" spans="1:32" ht="15" thickBot="1" x14ac:dyDescent="0.4">
      <c r="A38" s="19">
        <v>0</v>
      </c>
      <c r="B38" s="3" t="str">
        <f>_xlfn.XLOOKUP(A38,AE$1:AE$1048568,AC$1:AC$1048568,"NÃO ENCONTRADO")</f>
        <v>NÃO ENCONTRADO</v>
      </c>
      <c r="C38" s="4">
        <v>1</v>
      </c>
      <c r="D38" s="23"/>
      <c r="E38" s="19">
        <v>0</v>
      </c>
      <c r="F38" s="3" t="str">
        <f>_xlfn.XLOOKUP(E38,$AE$1:$AE$1048568,$AC$1:$AC$1048568,"NÃO ENCONTRADO")</f>
        <v>NÃO ENCONTRADO</v>
      </c>
      <c r="G38" s="4">
        <v>0</v>
      </c>
      <c r="H38" s="34"/>
      <c r="I38" s="72">
        <v>0</v>
      </c>
      <c r="J38" s="57" t="str">
        <f>_xlfn.XLOOKUP(I38,$AE$1:$AE$1048568,$AC$1:$AC$1048568,"NÃO ENCONTRADO")</f>
        <v>NÃO ENCONTRADO</v>
      </c>
      <c r="K38" s="59">
        <v>0</v>
      </c>
      <c r="L38" s="31"/>
      <c r="M38" s="86">
        <v>0</v>
      </c>
      <c r="N38" s="78" t="str">
        <f>_xlfn.XLOOKUP(M38,$AE$1:$AE$1048568,$AC$1:$AC$1048568,"NÃO ENCONTRADO")</f>
        <v>NÃO ENCONTRADO</v>
      </c>
      <c r="O38" s="94">
        <v>0</v>
      </c>
      <c r="P38" s="31"/>
      <c r="Q38" s="103">
        <v>0</v>
      </c>
      <c r="R38" s="96" t="str">
        <f>_xlfn.XLOOKUP(Q38,$AE$1:$AE$1048568,$AC$1:$AC$1048568,"NÃO ENCONTRADO")</f>
        <v>NÃO ENCONTRADO</v>
      </c>
      <c r="S38" s="98">
        <v>0</v>
      </c>
      <c r="T38" s="31"/>
      <c r="U38" s="113" t="s">
        <v>0</v>
      </c>
      <c r="V38" s="113" t="s">
        <v>1</v>
      </c>
      <c r="W38" s="114" t="s">
        <v>8</v>
      </c>
      <c r="X38" s="34"/>
      <c r="AC38" s="9" t="s">
        <v>857</v>
      </c>
      <c r="AD38" s="10" t="s">
        <v>7</v>
      </c>
      <c r="AE38" s="10">
        <v>8948</v>
      </c>
      <c r="AF38" s="11">
        <v>23.9</v>
      </c>
    </row>
    <row r="39" spans="1:32" ht="15" thickBot="1" x14ac:dyDescent="0.4">
      <c r="A39" s="20">
        <v>90</v>
      </c>
      <c r="B39" s="16" t="str">
        <f>_xlfn.XLOOKUP(A39,AE$1:AE$1048568,AC$1:AC$1048568,"NÃO ENCONTRADO")</f>
        <v>NÃO ENCONTRADO</v>
      </c>
      <c r="C39" s="5">
        <v>0</v>
      </c>
      <c r="D39" s="25"/>
      <c r="E39" s="20">
        <v>0</v>
      </c>
      <c r="F39" s="3" t="str">
        <f>_xlfn.XLOOKUP(E39,$AE$1:$AE$1048568,$AC$1:$AC$1048568,"NÃO ENCONTRADO")</f>
        <v>NÃO ENCONTRADO</v>
      </c>
      <c r="G39" s="5">
        <v>0</v>
      </c>
      <c r="H39" s="34"/>
      <c r="I39" s="73">
        <v>0</v>
      </c>
      <c r="J39" s="57" t="str">
        <f>_xlfn.XLOOKUP(I39,$AE$1:$AE$1048568,$AC$1:$AC$1048568,"NÃO ENCONTRADO")</f>
        <v>NÃO ENCONTRADO</v>
      </c>
      <c r="K39" s="62">
        <v>0</v>
      </c>
      <c r="L39" s="31"/>
      <c r="M39" s="85">
        <v>0</v>
      </c>
      <c r="N39" s="78" t="str">
        <f>_xlfn.XLOOKUP(M39,$AE$1:$AE$1048568,$AC$1:$AC$1048568,"NÃO ENCONTRADO")</f>
        <v>NÃO ENCONTRADO</v>
      </c>
      <c r="O39" s="92">
        <v>0</v>
      </c>
      <c r="P39" s="31"/>
      <c r="Q39" s="102">
        <v>0</v>
      </c>
      <c r="R39" s="96" t="str">
        <f>_xlfn.XLOOKUP(Q39,$AE$1:$AE$1048568,$AC$1:$AC$1048568,"NÃO ENCONTRADO")</f>
        <v>NÃO ENCONTRADO</v>
      </c>
      <c r="S39" s="100">
        <v>0</v>
      </c>
      <c r="T39" s="31"/>
      <c r="U39" s="56">
        <v>8963</v>
      </c>
      <c r="V39" s="57" t="str">
        <f>_xlfn.XLOOKUP(U39,$AE$1:$AE$1048568,$AC$1:$AC$1048568,"NÃO ENCONTRADO")</f>
        <v>008963 - ROTISSERIA SALADA CEASER C/FRANGO BENDITO</v>
      </c>
      <c r="W39" s="67">
        <v>1</v>
      </c>
      <c r="X39" s="34"/>
      <c r="AC39" s="6" t="s">
        <v>45</v>
      </c>
      <c r="AD39" s="7" t="s">
        <v>7</v>
      </c>
      <c r="AE39" s="7">
        <v>7590</v>
      </c>
      <c r="AF39" s="8">
        <v>19.899999999999999</v>
      </c>
    </row>
    <row r="40" spans="1:32" ht="15" thickBot="1" x14ac:dyDescent="0.4">
      <c r="A40" s="1" t="s">
        <v>0</v>
      </c>
      <c r="B40" s="1" t="s">
        <v>1</v>
      </c>
      <c r="C40" s="41" t="s">
        <v>8</v>
      </c>
      <c r="D40" s="36" t="s">
        <v>9</v>
      </c>
      <c r="E40" s="39" t="s">
        <v>0</v>
      </c>
      <c r="F40" s="39" t="s">
        <v>1</v>
      </c>
      <c r="G40" s="40" t="s">
        <v>8</v>
      </c>
      <c r="I40" s="54" t="s">
        <v>0</v>
      </c>
      <c r="J40" s="54" t="s">
        <v>1</v>
      </c>
      <c r="K40" s="55" t="s">
        <v>8</v>
      </c>
      <c r="L40" s="31"/>
      <c r="M40" s="75" t="s">
        <v>0</v>
      </c>
      <c r="N40" s="75" t="s">
        <v>1</v>
      </c>
      <c r="O40" s="76" t="s">
        <v>8</v>
      </c>
      <c r="P40" s="31"/>
      <c r="Q40" s="42" t="s">
        <v>0</v>
      </c>
      <c r="R40" s="42" t="s">
        <v>1</v>
      </c>
      <c r="S40" s="43" t="s">
        <v>8</v>
      </c>
      <c r="T40" s="31"/>
      <c r="U40" s="56">
        <v>0</v>
      </c>
      <c r="V40" s="57" t="str">
        <f>_xlfn.XLOOKUP(U40,$AE$1:$AE$1048568,$AC$1:$AC$1048568,"NÃO ENCONTRADO")</f>
        <v>NÃO ENCONTRADO</v>
      </c>
      <c r="W40" s="69">
        <v>0</v>
      </c>
      <c r="X40" s="34"/>
      <c r="AC40" s="9" t="s">
        <v>46</v>
      </c>
      <c r="AD40" s="10" t="s">
        <v>7</v>
      </c>
      <c r="AE40" s="10">
        <v>7602</v>
      </c>
      <c r="AF40" s="11">
        <v>19.899999999999999</v>
      </c>
    </row>
    <row r="41" spans="1:32" ht="15" thickBot="1" x14ac:dyDescent="0.4">
      <c r="A41" s="20">
        <v>8307</v>
      </c>
      <c r="B41" s="16" t="str">
        <f>_xlfn.XLOOKUP(A41,AE$1:AE$1048568,AC$1:AC$1048568,"NÃO ENCONTRADO")</f>
        <v>008307 - ROTISSERIA ESCONDIDINHO DE CARNE SECA BENDITO KG</v>
      </c>
      <c r="C41" s="22">
        <v>0.45</v>
      </c>
      <c r="D41" s="25"/>
      <c r="E41" s="20">
        <v>6878</v>
      </c>
      <c r="F41" s="3" t="str">
        <f>_xlfn.XLOOKUP(E41,$AE$1:$AE$1048568,$AC$1:$AC$1048568,"NÃO ENCONTRADO")</f>
        <v>006878 - ROT REFRIGERADO PANQUECA FRANGO C/CATUPIRY KG</v>
      </c>
      <c r="G41" s="22">
        <v>0.25</v>
      </c>
      <c r="H41" s="34"/>
      <c r="I41" s="20">
        <v>8400</v>
      </c>
      <c r="J41" s="57" t="str">
        <f>_xlfn.XLOOKUP(I41,$AE$1:$AE$1048568,$AC$1:$AC$1048568,"NÃO ENCONTRADO")</f>
        <v>008400 - ROTISSERIA LASANHA A BOLONHESA BENDITO  KG</v>
      </c>
      <c r="K41" s="63">
        <v>0.4</v>
      </c>
      <c r="L41" s="31"/>
      <c r="M41" s="20">
        <v>8571</v>
      </c>
      <c r="N41" s="78" t="str">
        <f>_xlfn.XLOOKUP(M41,$AE$1:$AE$1048568,$AC$1:$AC$1048568,"NÃO ENCONTRADO")</f>
        <v>008571 - ROTISSERIA POLENTA AO MOLHO CARNE MOIDA BENDITO KG</v>
      </c>
      <c r="O41" s="84">
        <v>0.45</v>
      </c>
      <c r="P41" s="31"/>
      <c r="Q41" s="20">
        <v>8400</v>
      </c>
      <c r="R41" s="96" t="str">
        <f>_xlfn.XLOOKUP(Q41,$AE$1:$AE$1048568,$AC$1:$AC$1048568,"NÃO ENCONTRADO")</f>
        <v>008400 - ROTISSERIA LASANHA A BOLONHESA BENDITO  KG</v>
      </c>
      <c r="S41" s="112">
        <v>0.45</v>
      </c>
      <c r="T41" s="31"/>
      <c r="U41" s="60">
        <v>0</v>
      </c>
      <c r="V41" s="61" t="str">
        <f>_xlfn.XLOOKUP(U41,$AE$1:$AE$1048568,$AC$1:$AC$1048568,"NÃO ENCONTRADO")</f>
        <v>NÃO ENCONTRADO</v>
      </c>
      <c r="W41" s="65">
        <v>0</v>
      </c>
      <c r="X41" s="34"/>
      <c r="AC41" s="6" t="s">
        <v>47</v>
      </c>
      <c r="AD41" s="7" t="s">
        <v>7</v>
      </c>
      <c r="AE41" s="7">
        <v>7606</v>
      </c>
      <c r="AF41" s="8">
        <v>23.9</v>
      </c>
    </row>
    <row r="42" spans="1:32" ht="15" thickBot="1" x14ac:dyDescent="0.4">
      <c r="A42" s="20">
        <v>8316</v>
      </c>
      <c r="B42" s="16" t="str">
        <f>_xlfn.XLOOKUP(A42,AE$1:AE$1048568,AC$1:AC$1048568,"NÃO ENCONTRADO")</f>
        <v>008316 - ROTISSERIA ESCONDIDINHO FRANGO BENDITO KG</v>
      </c>
      <c r="C42" s="5">
        <v>0.45</v>
      </c>
      <c r="D42" s="25"/>
      <c r="E42" s="20">
        <v>6879</v>
      </c>
      <c r="F42" s="3" t="str">
        <f>_xlfn.XLOOKUP(E42,$AE$1:$AE$1048568,$AC$1:$AC$1048568,"NÃO ENCONTRADO")</f>
        <v>006879 - ROT REFRIGERADO PANQUECA DE CARNE AO POMODORO</v>
      </c>
      <c r="G42" s="5">
        <v>0.25</v>
      </c>
      <c r="H42" s="34"/>
      <c r="I42" s="20">
        <v>8316</v>
      </c>
      <c r="J42" s="57" t="str">
        <f>_xlfn.XLOOKUP(I42,$AE$1:$AE$1048568,$AC$1:$AC$1048568,"NÃO ENCONTRADO")</f>
        <v>008316 - ROTISSERIA ESCONDIDINHO FRANGO BENDITO KG</v>
      </c>
      <c r="K42" s="62">
        <v>0.4</v>
      </c>
      <c r="M42" s="20">
        <v>6878</v>
      </c>
      <c r="N42" s="78" t="str">
        <f>_xlfn.XLOOKUP(M42,$AE$1:$AE$1048568,$AC$1:$AC$1048568,"NÃO ENCONTRADO")</f>
        <v>006878 - ROT REFRIGERADO PANQUECA FRANGO C/CATUPIRY KG</v>
      </c>
      <c r="O42" s="83">
        <v>0.45</v>
      </c>
      <c r="Q42" s="20">
        <v>8316</v>
      </c>
      <c r="R42" s="96" t="str">
        <f>_xlfn.XLOOKUP(Q42,$AE$1:$AE$1048568,$AC$1:$AC$1048568,"NÃO ENCONTRADO")</f>
        <v>008316 - ROTISSERIA ESCONDIDINHO FRANGO BENDITO KG</v>
      </c>
      <c r="S42" s="111">
        <v>0.45</v>
      </c>
      <c r="U42" s="21"/>
      <c r="V42" s="21"/>
      <c r="W42" s="37"/>
      <c r="AC42" s="9" t="s">
        <v>48</v>
      </c>
      <c r="AD42" s="10" t="s">
        <v>7</v>
      </c>
      <c r="AE42" s="10">
        <v>7608</v>
      </c>
      <c r="AF42" s="11">
        <v>29.9</v>
      </c>
    </row>
    <row r="43" spans="1:32" ht="15" thickBot="1" x14ac:dyDescent="0.4">
      <c r="A43" s="20"/>
      <c r="B43" s="16"/>
      <c r="C43" s="5"/>
      <c r="D43" s="25"/>
      <c r="E43" s="20"/>
      <c r="F43" s="3"/>
      <c r="G43" s="5"/>
      <c r="H43" s="34"/>
      <c r="I43" s="20"/>
      <c r="J43" s="57"/>
      <c r="K43" s="62"/>
      <c r="M43" s="20"/>
      <c r="N43" s="78"/>
      <c r="O43" s="83"/>
      <c r="Q43" s="19">
        <v>6960</v>
      </c>
      <c r="R43" s="96" t="str">
        <f>_xlfn.XLOOKUP(Q43,$AE$1:$AE$1048568,$AC$1:$AC$1048568,"NÃO ENCONTRADO")</f>
        <v>006960 - ROTISSERIA NHOQUE AO MOLHO SUGO KG</v>
      </c>
      <c r="S43" s="135">
        <v>0.45</v>
      </c>
      <c r="U43" s="21"/>
      <c r="V43" s="21"/>
      <c r="W43" s="37"/>
      <c r="AC43" s="9"/>
      <c r="AD43" s="10"/>
      <c r="AE43" s="10"/>
      <c r="AF43" s="11"/>
    </row>
    <row r="44" spans="1:32" ht="15" thickBot="1" x14ac:dyDescent="0.4">
      <c r="A44" s="20">
        <v>8333</v>
      </c>
      <c r="B44" s="16" t="str">
        <f>_xlfn.XLOOKUP(A44,AE$1:AE$1048568,AC$1:AC$1048568,"NÃO ENCONTRADO")</f>
        <v>008333 - ROTISSERIA BATATA/RECHEADA  BROCOLIS E BACON</v>
      </c>
      <c r="C44" s="5">
        <v>0.35</v>
      </c>
      <c r="D44" s="25"/>
      <c r="E44" s="20">
        <v>2771</v>
      </c>
      <c r="F44" s="3" t="str">
        <f>_xlfn.XLOOKUP(E44,$AE$1:$AE$1048568,$AC$1:$AC$1048568,"NÃO ENCONTRADO")</f>
        <v>002771 - ROT REFRIGERADO PANQUECA PRESUNTO MUSSARELA KG</v>
      </c>
      <c r="G44" s="5">
        <v>0.25</v>
      </c>
      <c r="H44" s="34"/>
      <c r="I44" s="20">
        <v>6960</v>
      </c>
      <c r="J44" s="61" t="str">
        <f>_xlfn.XLOOKUP(I44,$AE$1:$AE$1048568,$AC$1:$AC$1048568,"NÃO ENCONTRADO")</f>
        <v>006960 - ROTISSERIA NHOQUE AO MOLHO SUGO KG</v>
      </c>
      <c r="K44" s="62">
        <v>0.4</v>
      </c>
      <c r="M44" s="20">
        <v>8333</v>
      </c>
      <c r="N44" s="82" t="str">
        <f>_xlfn.XLOOKUP(M44,$AE$1:$AE$1048568,$AC$1:$AC$1048568,"NÃO ENCONTRADO")</f>
        <v>008333 - ROTISSERIA BATATA/RECHEADA  BROCOLIS E BACON</v>
      </c>
      <c r="O44" s="83">
        <v>0.45</v>
      </c>
      <c r="Q44" s="136">
        <v>8663</v>
      </c>
      <c r="R44" s="136" t="str">
        <f>_xlfn.XLOOKUP(Q44,$AE$1:$AE$1048568,$AC$1:$AC$1048568,"NÃO ENCONTRADO")</f>
        <v>008663 - ROTISSERIA RONDELE FRANGO REQUEIJAO BENDITO KG</v>
      </c>
      <c r="S44" s="137"/>
      <c r="U44" s="72">
        <v>9123</v>
      </c>
      <c r="V44" s="57" t="str">
        <f>_xlfn.XLOOKUP(U44,$AE$1:$AE$1048568,$AC$1:$AC$1048568,"NÃO ENCONTRADO")</f>
        <v>009123 - ROTISSERIA SUSHI KANI C/CREAM CHEESE BENDITO UN</v>
      </c>
      <c r="W44" s="67">
        <v>1</v>
      </c>
      <c r="AC44" s="6" t="s">
        <v>49</v>
      </c>
      <c r="AD44" s="7" t="s">
        <v>7</v>
      </c>
      <c r="AE44" s="7">
        <v>7607</v>
      </c>
      <c r="AF44" s="8">
        <v>19.899999999999999</v>
      </c>
    </row>
    <row r="45" spans="1:32" ht="15" thickBot="1" x14ac:dyDescent="0.4">
      <c r="A45" s="20">
        <v>8332</v>
      </c>
      <c r="B45" s="16" t="str">
        <f>_xlfn.XLOOKUP(A45,AE$1:AE$1048568,AC$1:AC$1048568,"NÃO ENCONTRADO")</f>
        <v>008332 - ROTISSERIA BATATA/RECHEADA  FRANGO C/ REQUEIJAO</v>
      </c>
      <c r="C45" s="5">
        <v>0.35</v>
      </c>
      <c r="D45" s="25"/>
      <c r="E45" s="20">
        <v>9067</v>
      </c>
      <c r="F45" s="3" t="str">
        <f>_xlfn.XLOOKUP(E45,$AE$1:$AE$1048568,$AC$1:$AC$1048568,"NÃO ENCONTRADO")</f>
        <v>009067 - ROTISSERIA PANQUECA MASSA ESPINAFRE C/PALMITO BENDITO KG</v>
      </c>
      <c r="G45" s="5">
        <v>0.25</v>
      </c>
      <c r="H45" s="34"/>
      <c r="I45" s="21"/>
      <c r="J45" s="21"/>
      <c r="K45" s="28"/>
      <c r="M45" s="38"/>
      <c r="N45" s="21"/>
      <c r="O45" s="28"/>
      <c r="Q45" s="21"/>
      <c r="R45" s="21"/>
      <c r="S45" s="28"/>
      <c r="U45" s="72">
        <v>9124</v>
      </c>
      <c r="V45" s="57" t="str">
        <f>_xlfn.XLOOKUP(U45,$AE$1:$AE$1048568,$AC$1:$AC$1048568,"NÃO ENCONTRADO")</f>
        <v>009124 - ROTISSERIA HOT HOLL BENDITO UN</v>
      </c>
      <c r="W45" s="69">
        <v>1</v>
      </c>
      <c r="AC45" s="9" t="s">
        <v>50</v>
      </c>
      <c r="AD45" s="10" t="s">
        <v>7</v>
      </c>
      <c r="AE45" s="10">
        <v>7609</v>
      </c>
      <c r="AF45" s="11">
        <v>26.9</v>
      </c>
    </row>
    <row r="46" spans="1:32" ht="15" thickBot="1" x14ac:dyDescent="0.4">
      <c r="A46" s="21"/>
      <c r="B46" s="21"/>
      <c r="C46" s="28"/>
      <c r="D46" s="25"/>
      <c r="E46" s="16">
        <v>9075</v>
      </c>
      <c r="F46" s="16" t="str">
        <f>_xlfn.XLOOKUP(E46,$AE$1:$AE$1048568,$AC$1:$AC$1048568,"NÃO ENCONTRADO")</f>
        <v>009075 - ROTISSERIA PANQUECA MASSA ESPINAFRE FRAN.CREAM.BENDITO KG</v>
      </c>
      <c r="G46" s="22">
        <v>0.25</v>
      </c>
      <c r="H46" s="34"/>
      <c r="I46" s="20">
        <v>7575</v>
      </c>
      <c r="J46" s="57" t="str">
        <f>_xlfn.XLOOKUP(I46,$AE$1:$AE$1048568,$AC$1:$AC$1048568,"NÃO ENCONTRADO")</f>
        <v>007575 - PATE DE AZEITONA VERDE BENDITO KG</v>
      </c>
      <c r="K46" s="74">
        <v>0.15</v>
      </c>
      <c r="M46" s="85">
        <v>7570</v>
      </c>
      <c r="N46" s="78" t="str">
        <f>_xlfn.XLOOKUP(M46,$AE$1:$AE$1048568,$AC$1:$AC$1048568,"NÃO ENCONTRADO")</f>
        <v>007570 - MOLHO PESTO BENDITO KG</v>
      </c>
      <c r="O46" s="84">
        <v>4</v>
      </c>
      <c r="Q46" s="102">
        <v>0</v>
      </c>
      <c r="R46" s="96" t="str">
        <f>_xlfn.XLOOKUP(Q46,$AE$1:$AE$1048568,$AC$1:$AC$1048568,"NÃO ENCONTRADO")</f>
        <v>NÃO ENCONTRADO</v>
      </c>
      <c r="S46" s="112">
        <v>4</v>
      </c>
      <c r="U46" s="73">
        <v>0</v>
      </c>
      <c r="V46" s="61" t="str">
        <f>_xlfn.XLOOKUP(U46,$AE$1:$AE$1048568,$AC$1:$AC$1048568,"NÃO ENCONTRADO")</f>
        <v>NÃO ENCONTRADO</v>
      </c>
      <c r="W46" s="65">
        <v>0</v>
      </c>
      <c r="AC46" s="6" t="s">
        <v>51</v>
      </c>
      <c r="AD46" s="7" t="s">
        <v>7</v>
      </c>
      <c r="AE46" s="7">
        <v>7610</v>
      </c>
      <c r="AF46" s="8">
        <v>25.9</v>
      </c>
    </row>
    <row r="47" spans="1:32" ht="15" thickBot="1" x14ac:dyDescent="0.4">
      <c r="A47" s="20">
        <v>8386</v>
      </c>
      <c r="B47" s="16" t="str">
        <f>_xlfn.XLOOKUP(A47,AE$1:AE$1048568,AC$1:AC$1048568,"NÃO ENCONTRADO")</f>
        <v xml:space="preserve">008386 - ROTISSERIA GELEIA DE PIMENTA BENDITO KG </v>
      </c>
      <c r="C47" s="22">
        <v>0.12</v>
      </c>
      <c r="D47" s="25"/>
      <c r="E47" s="21"/>
      <c r="F47" s="21"/>
      <c r="G47" s="28"/>
      <c r="H47" s="34"/>
      <c r="I47" s="20">
        <v>7576</v>
      </c>
      <c r="J47" s="57" t="str">
        <f>_xlfn.XLOOKUP(I47,$AE$1:$AE$1048568,$AC$1:$AC$1048568,"NÃO ENCONTRADO")</f>
        <v xml:space="preserve">007576 - PATE DE GORGONZOLA BENDITO KG </v>
      </c>
      <c r="K47" s="65">
        <v>0.15</v>
      </c>
      <c r="M47" s="85">
        <v>0</v>
      </c>
      <c r="N47" s="78" t="str">
        <f>_xlfn.XLOOKUP(M47,$AE$1:$AE$1048568,$AC$1:$AC$1048568,"NÃO ENCONTRADO")</f>
        <v>NÃO ENCONTRADO</v>
      </c>
      <c r="O47" s="83">
        <v>5</v>
      </c>
      <c r="Q47" s="102">
        <v>0</v>
      </c>
      <c r="R47" s="96" t="str">
        <f>_xlfn.XLOOKUP(Q47,$AE$1:$AE$1048568,$AC$1:$AC$1048568,"NÃO ENCONTRADO")</f>
        <v>NÃO ENCONTRADO</v>
      </c>
      <c r="S47" s="111">
        <v>5</v>
      </c>
      <c r="U47" s="21"/>
      <c r="V47" s="21"/>
      <c r="W47" s="37"/>
      <c r="AC47" s="9" t="s">
        <v>52</v>
      </c>
      <c r="AD47" s="10" t="s">
        <v>7</v>
      </c>
      <c r="AE47" s="10">
        <v>7621</v>
      </c>
      <c r="AF47" s="11">
        <v>21.9</v>
      </c>
    </row>
    <row r="48" spans="1:32" ht="15" thickBot="1" x14ac:dyDescent="0.4">
      <c r="A48" s="20">
        <v>8551</v>
      </c>
      <c r="B48" s="16" t="str">
        <f>_xlfn.XLOOKUP(A48,AE$1:AE$1048568,AC$1:AC$1048568,"NÃO ENCONTRADO")</f>
        <v>008551 - ROTISSERIA PATE ALHO BENDITO KG</v>
      </c>
      <c r="C48" s="5">
        <v>0.12</v>
      </c>
      <c r="D48" s="25"/>
      <c r="E48" s="20">
        <v>0</v>
      </c>
      <c r="F48" s="46" t="str">
        <f>_xlfn.XLOOKUP(E48,AJ:AJ,AH:AH,"NÃO ENCONTRADO")</f>
        <v>NÃO ENCONTRADO</v>
      </c>
      <c r="G48" s="44">
        <v>0</v>
      </c>
      <c r="H48" s="34"/>
      <c r="I48" s="20">
        <v>8079</v>
      </c>
      <c r="J48" s="57" t="str">
        <f>_xlfn.XLOOKUP(I48,$AE$1:$AE$1048568,$AC$1:$AC$1048568,"NÃO ENCONTRADO")</f>
        <v xml:space="preserve">008079 - PATE DE NOZES BENDITO KG </v>
      </c>
      <c r="K48" s="65">
        <v>0.15</v>
      </c>
      <c r="M48" s="85">
        <v>0</v>
      </c>
      <c r="N48" s="78" t="str">
        <f>_xlfn.XLOOKUP(M48,$AE$1:$AE$1048568,$AC$1:$AC$1048568,"NÃO ENCONTRADO")</f>
        <v>NÃO ENCONTRADO</v>
      </c>
      <c r="O48" s="83">
        <v>6</v>
      </c>
      <c r="Q48" s="102">
        <v>0</v>
      </c>
      <c r="R48" s="96" t="str">
        <f>_xlfn.XLOOKUP(Q48,$AE$1:$AE$1048568,$AC$1:$AC$1048568,"NÃO ENCONTRADO")</f>
        <v>NÃO ENCONTRADO</v>
      </c>
      <c r="S48" s="111">
        <v>6</v>
      </c>
      <c r="U48" s="72">
        <v>0</v>
      </c>
      <c r="V48" s="57" t="str">
        <f>_xlfn.XLOOKUP(U48,$AE$1:$AE$1048568,$AC$1:$AC$1048568,"NÃO ENCONTRADO")</f>
        <v>NÃO ENCONTRADO</v>
      </c>
      <c r="W48" s="58">
        <v>0</v>
      </c>
      <c r="AC48" s="6" t="s">
        <v>53</v>
      </c>
      <c r="AD48" s="7" t="s">
        <v>7</v>
      </c>
      <c r="AE48" s="7">
        <v>7625</v>
      </c>
      <c r="AF48" s="8">
        <v>24.9</v>
      </c>
    </row>
    <row r="49" spans="1:32" ht="15" thickBot="1" x14ac:dyDescent="0.4">
      <c r="A49" s="20">
        <v>8498</v>
      </c>
      <c r="B49" s="16" t="str">
        <f>_xlfn.XLOOKUP(A49,AE$1:AE$1048568,AC$1:AC$1048568,"NÃO ENCONTRADO")</f>
        <v>008498 - ROTISSERIA MOLHO PIMENTA ARTESANAL BENDITO KG</v>
      </c>
      <c r="C49" s="5">
        <v>0.12</v>
      </c>
      <c r="D49" s="25"/>
      <c r="E49" s="20">
        <v>0</v>
      </c>
      <c r="F49" s="46" t="str">
        <f>_xlfn.XLOOKUP(E49,AJ:AJ,AH:AH,"NÃO ENCONTRADO")</f>
        <v>NÃO ENCONTRADO</v>
      </c>
      <c r="G49" s="45">
        <v>0</v>
      </c>
      <c r="H49" s="34"/>
      <c r="I49" s="73">
        <v>7574</v>
      </c>
      <c r="J49" s="61" t="str">
        <f>_xlfn.XLOOKUP(I49,$AE$1:$AE$1048568,$AC$1:$AC$1048568,"NÃO ENCONTRADO")</f>
        <v xml:space="preserve">007574 - PATE DE AZEITONA PRETA BENDITO KG </v>
      </c>
      <c r="K49" s="65">
        <v>0.15</v>
      </c>
      <c r="M49" s="85">
        <v>0</v>
      </c>
      <c r="N49" s="82" t="str">
        <f>_xlfn.XLOOKUP(M49,$AE$1:$AE$1048568,$AC$1:$AC$1048568,"NÃO ENCONTRADO")</f>
        <v>NÃO ENCONTRADO</v>
      </c>
      <c r="O49" s="83">
        <v>7</v>
      </c>
      <c r="Q49" s="102">
        <v>0</v>
      </c>
      <c r="R49" s="105" t="str">
        <f>_xlfn.XLOOKUP(Q49,$AE$1:$AE$1048568,$AC$1:$AC$1048568,"NÃO ENCONTRADO")</f>
        <v>NÃO ENCONTRADO</v>
      </c>
      <c r="S49" s="111">
        <v>7</v>
      </c>
      <c r="U49" s="72">
        <v>0</v>
      </c>
      <c r="V49" s="57" t="str">
        <f>_xlfn.XLOOKUP(U49,$AE$1:$AE$1048568,$AC$1:$AC$1048568,"NÃO ENCONTRADO")</f>
        <v>NÃO ENCONTRADO</v>
      </c>
      <c r="W49" s="59">
        <v>0</v>
      </c>
      <c r="AC49" s="9" t="s">
        <v>54</v>
      </c>
      <c r="AD49" s="10" t="s">
        <v>7</v>
      </c>
      <c r="AE49" s="10">
        <v>359993</v>
      </c>
      <c r="AF49" s="11">
        <v>19.899999999999999</v>
      </c>
    </row>
    <row r="50" spans="1:32" ht="15" thickBot="1" x14ac:dyDescent="0.4">
      <c r="A50" s="20">
        <v>0</v>
      </c>
      <c r="B50" s="16" t="str">
        <f>_xlfn.XLOOKUP(A50,AE$1:AE$1048568,AC$1:AC$1048568,"NÃO ENCONTRADO")</f>
        <v>NÃO ENCONTRADO</v>
      </c>
      <c r="C50" s="5">
        <v>0</v>
      </c>
      <c r="E50" s="20">
        <v>0</v>
      </c>
      <c r="F50" s="46" t="str">
        <f>_xlfn.XLOOKUP(E50,AJ:AJ,AH:AH,"NÃO ENCONTRADO")</f>
        <v>NÃO ENCONTRADO</v>
      </c>
      <c r="G50" s="45">
        <v>0</v>
      </c>
      <c r="U50" s="73">
        <v>0</v>
      </c>
      <c r="V50" s="57" t="str">
        <f>_xlfn.XLOOKUP(U50,$AE$1:$AE$1048568,$AC$1:$AC$1048568,"NÃO ENCONTRADO")</f>
        <v>NÃO ENCONTRADO</v>
      </c>
      <c r="W50" s="62">
        <v>0</v>
      </c>
      <c r="AC50" s="6" t="s">
        <v>55</v>
      </c>
      <c r="AD50" s="7" t="s">
        <v>7</v>
      </c>
      <c r="AE50" s="7">
        <v>7623</v>
      </c>
      <c r="AF50" s="8">
        <v>22.9</v>
      </c>
    </row>
    <row r="51" spans="1:32" ht="15" thickBot="1" x14ac:dyDescent="0.4">
      <c r="E51" s="20">
        <v>0</v>
      </c>
      <c r="F51" s="47" t="str">
        <f>_xlfn.XLOOKUP(E51,AJ:AJ,AH:AH,"NÃO ENCONTRADO")</f>
        <v>NÃO ENCONTRADO</v>
      </c>
      <c r="G51" s="45">
        <v>0</v>
      </c>
      <c r="U51" s="113" t="s">
        <v>0</v>
      </c>
      <c r="V51" s="113" t="s">
        <v>1</v>
      </c>
      <c r="W51" s="114" t="s">
        <v>8</v>
      </c>
      <c r="AC51" s="9" t="s">
        <v>56</v>
      </c>
      <c r="AD51" s="10" t="s">
        <v>7</v>
      </c>
      <c r="AE51" s="10">
        <v>359986</v>
      </c>
      <c r="AF51" s="11">
        <v>25.9</v>
      </c>
    </row>
    <row r="52" spans="1:32" ht="15" thickBot="1" x14ac:dyDescent="0.4">
      <c r="U52" s="73">
        <v>0</v>
      </c>
      <c r="V52" s="57" t="str">
        <f>_xlfn.XLOOKUP(U52,$AE$1:$AE$1048568,$AC$1:$AC$1048568,"NÃO ENCONTRADO")</f>
        <v>NÃO ENCONTRADO</v>
      </c>
      <c r="W52" s="74">
        <v>0</v>
      </c>
      <c r="AC52" s="6" t="s">
        <v>57</v>
      </c>
      <c r="AD52" s="7" t="s">
        <v>7</v>
      </c>
      <c r="AE52" s="7">
        <v>7628</v>
      </c>
      <c r="AF52" s="8">
        <v>24.9</v>
      </c>
    </row>
    <row r="53" spans="1:32" ht="15" thickBot="1" x14ac:dyDescent="0.4">
      <c r="U53" s="73">
        <v>0</v>
      </c>
      <c r="V53" s="57" t="str">
        <f>_xlfn.XLOOKUP(U53,$AE$1:$AE$1048568,$AC$1:$AC$1048568,"NÃO ENCONTRADO")</f>
        <v>NÃO ENCONTRADO</v>
      </c>
      <c r="W53" s="65">
        <v>1</v>
      </c>
      <c r="AC53" s="9" t="s">
        <v>58</v>
      </c>
      <c r="AD53" s="10" t="s">
        <v>7</v>
      </c>
      <c r="AE53" s="10">
        <v>7646</v>
      </c>
      <c r="AF53" s="11">
        <v>24.9</v>
      </c>
    </row>
    <row r="54" spans="1:32" ht="15" thickBot="1" x14ac:dyDescent="0.4">
      <c r="U54" s="73">
        <v>0</v>
      </c>
      <c r="V54" s="61" t="str">
        <f>_xlfn.XLOOKUP(U54,$AE$1:$AE$1048568,$AC$1:$AC$1048568,"NÃO ENCONTRADO")</f>
        <v>NÃO ENCONTRADO</v>
      </c>
      <c r="W54" s="65">
        <v>2</v>
      </c>
      <c r="AC54" s="6" t="s">
        <v>59</v>
      </c>
      <c r="AD54" s="7" t="s">
        <v>7</v>
      </c>
      <c r="AE54" s="7">
        <v>7647</v>
      </c>
      <c r="AF54" s="8">
        <v>19.899999999999999</v>
      </c>
    </row>
    <row r="55" spans="1:32" ht="15" thickBot="1" x14ac:dyDescent="0.4">
      <c r="U55" s="21"/>
      <c r="V55" s="21"/>
      <c r="W55" s="28"/>
      <c r="AC55" s="9" t="s">
        <v>60</v>
      </c>
      <c r="AD55" s="10" t="s">
        <v>7</v>
      </c>
      <c r="AE55" s="10">
        <v>7652</v>
      </c>
      <c r="AF55" s="11">
        <v>19.899999999999999</v>
      </c>
    </row>
    <row r="56" spans="1:32" ht="15" thickBot="1" x14ac:dyDescent="0.4">
      <c r="U56" s="73">
        <v>0</v>
      </c>
      <c r="V56" s="57" t="str">
        <f>_xlfn.XLOOKUP(U56,$AE$1:$AE$1048568,$AC$1:$AC$1048568,"NÃO ENCONTRADO")</f>
        <v>NÃO ENCONTRADO</v>
      </c>
      <c r="W56" s="74">
        <v>4</v>
      </c>
      <c r="AC56" s="6" t="s">
        <v>61</v>
      </c>
      <c r="AD56" s="7" t="s">
        <v>7</v>
      </c>
      <c r="AE56" s="7">
        <v>7653</v>
      </c>
      <c r="AF56" s="8">
        <v>21.9</v>
      </c>
    </row>
    <row r="57" spans="1:32" ht="15" thickBot="1" x14ac:dyDescent="0.4">
      <c r="U57" s="73">
        <v>0</v>
      </c>
      <c r="V57" s="57" t="str">
        <f>_xlfn.XLOOKUP(U57,$AE$1:$AE$1048568,$AC$1:$AC$1048568,"NÃO ENCONTRADO")</f>
        <v>NÃO ENCONTRADO</v>
      </c>
      <c r="W57" s="65">
        <v>5</v>
      </c>
      <c r="AC57" s="9" t="s">
        <v>62</v>
      </c>
      <c r="AD57" s="10" t="s">
        <v>7</v>
      </c>
      <c r="AE57" s="10">
        <v>7660</v>
      </c>
      <c r="AF57" s="11">
        <v>25.9</v>
      </c>
    </row>
    <row r="58" spans="1:32" ht="15" thickBot="1" x14ac:dyDescent="0.4">
      <c r="U58" s="73">
        <v>0</v>
      </c>
      <c r="V58" s="57" t="str">
        <f>_xlfn.XLOOKUP(U58,$AE$1:$AE$1048568,$AC$1:$AC$1048568,"NÃO ENCONTRADO")</f>
        <v>NÃO ENCONTRADO</v>
      </c>
      <c r="W58" s="65">
        <v>6</v>
      </c>
      <c r="AC58" s="6" t="s">
        <v>63</v>
      </c>
      <c r="AD58" s="7" t="s">
        <v>7</v>
      </c>
      <c r="AE58" s="7">
        <v>7661</v>
      </c>
      <c r="AF58" s="8">
        <v>21.9</v>
      </c>
    </row>
    <row r="59" spans="1:32" ht="15" thickBot="1" x14ac:dyDescent="0.4">
      <c r="U59" s="73">
        <v>0</v>
      </c>
      <c r="V59" s="61" t="str">
        <f>_xlfn.XLOOKUP(U59,$AE$1:$AE$1048568,$AC$1:$AC$1048568,"NÃO ENCONTRADO")</f>
        <v>NÃO ENCONTRADO</v>
      </c>
      <c r="W59" s="65">
        <v>7</v>
      </c>
      <c r="AC59" s="9" t="s">
        <v>64</v>
      </c>
      <c r="AD59" s="10" t="s">
        <v>7</v>
      </c>
      <c r="AE59" s="10">
        <v>7663</v>
      </c>
      <c r="AF59" s="11">
        <v>19.899999999999999</v>
      </c>
    </row>
    <row r="60" spans="1:32" x14ac:dyDescent="0.35">
      <c r="AC60" s="6" t="s">
        <v>65</v>
      </c>
      <c r="AD60" s="7" t="s">
        <v>7</v>
      </c>
      <c r="AE60" s="7">
        <v>7778</v>
      </c>
      <c r="AF60" s="8">
        <v>19.899999999999999</v>
      </c>
    </row>
    <row r="61" spans="1:32" x14ac:dyDescent="0.35">
      <c r="AC61" s="9" t="s">
        <v>66</v>
      </c>
      <c r="AD61" s="10" t="s">
        <v>7</v>
      </c>
      <c r="AE61" s="10">
        <v>7789</v>
      </c>
      <c r="AF61" s="11">
        <v>19.899999999999999</v>
      </c>
    </row>
    <row r="62" spans="1:32" x14ac:dyDescent="0.35">
      <c r="AC62" s="6" t="s">
        <v>67</v>
      </c>
      <c r="AD62" s="7" t="s">
        <v>7</v>
      </c>
      <c r="AE62" s="7">
        <v>7796</v>
      </c>
      <c r="AF62" s="8">
        <v>23.9</v>
      </c>
    </row>
    <row r="63" spans="1:32" x14ac:dyDescent="0.35">
      <c r="AC63" s="9" t="s">
        <v>68</v>
      </c>
      <c r="AD63" s="10" t="s">
        <v>7</v>
      </c>
      <c r="AE63" s="10">
        <v>7814</v>
      </c>
      <c r="AF63" s="11">
        <v>26.9</v>
      </c>
    </row>
    <row r="64" spans="1:32" x14ac:dyDescent="0.35">
      <c r="AC64" s="6" t="s">
        <v>69</v>
      </c>
      <c r="AD64" s="7" t="s">
        <v>7</v>
      </c>
      <c r="AE64" s="7">
        <v>7840</v>
      </c>
      <c r="AF64" s="8">
        <v>21.9</v>
      </c>
    </row>
    <row r="65" spans="29:32" x14ac:dyDescent="0.35">
      <c r="AC65" s="9" t="s">
        <v>70</v>
      </c>
      <c r="AD65" s="10" t="s">
        <v>7</v>
      </c>
      <c r="AE65" s="10">
        <v>7845</v>
      </c>
      <c r="AF65" s="11">
        <v>21.9</v>
      </c>
    </row>
    <row r="66" spans="29:32" x14ac:dyDescent="0.35">
      <c r="AC66" s="6" t="s">
        <v>71</v>
      </c>
      <c r="AD66" s="7" t="s">
        <v>7</v>
      </c>
      <c r="AE66" s="7">
        <v>7860</v>
      </c>
      <c r="AF66" s="8">
        <v>21.9</v>
      </c>
    </row>
    <row r="67" spans="29:32" x14ac:dyDescent="0.35">
      <c r="AC67" s="9" t="s">
        <v>72</v>
      </c>
      <c r="AD67" s="10" t="s">
        <v>7</v>
      </c>
      <c r="AE67" s="10">
        <v>7863</v>
      </c>
      <c r="AF67" s="11">
        <v>24.9</v>
      </c>
    </row>
    <row r="68" spans="29:32" x14ac:dyDescent="0.35">
      <c r="AC68" s="6" t="s">
        <v>73</v>
      </c>
      <c r="AD68" s="7" t="s">
        <v>7</v>
      </c>
      <c r="AE68" s="7">
        <v>7867</v>
      </c>
      <c r="AF68" s="8">
        <v>23.9</v>
      </c>
    </row>
    <row r="69" spans="29:32" x14ac:dyDescent="0.35">
      <c r="AC69" s="9" t="s">
        <v>74</v>
      </c>
      <c r="AD69" s="10" t="s">
        <v>7</v>
      </c>
      <c r="AE69" s="10">
        <v>7874</v>
      </c>
      <c r="AF69" s="11">
        <v>24.9</v>
      </c>
    </row>
    <row r="70" spans="29:32" x14ac:dyDescent="0.35">
      <c r="AC70" s="6" t="s">
        <v>75</v>
      </c>
      <c r="AD70" s="7" t="s">
        <v>7</v>
      </c>
      <c r="AE70" s="7">
        <v>7875</v>
      </c>
      <c r="AF70" s="8">
        <v>23.9</v>
      </c>
    </row>
    <row r="71" spans="29:32" x14ac:dyDescent="0.35">
      <c r="AC71" s="9" t="s">
        <v>76</v>
      </c>
      <c r="AD71" s="10" t="s">
        <v>7</v>
      </c>
      <c r="AE71" s="10">
        <v>7876</v>
      </c>
      <c r="AF71" s="11">
        <v>29.9</v>
      </c>
    </row>
    <row r="72" spans="29:32" x14ac:dyDescent="0.35">
      <c r="AC72" s="6" t="s">
        <v>77</v>
      </c>
      <c r="AD72" s="7" t="s">
        <v>7</v>
      </c>
      <c r="AE72" s="7">
        <v>360104</v>
      </c>
      <c r="AF72" s="8">
        <v>29.9</v>
      </c>
    </row>
    <row r="73" spans="29:32" x14ac:dyDescent="0.35">
      <c r="AC73" s="9" t="s">
        <v>858</v>
      </c>
      <c r="AD73" s="10" t="s">
        <v>7</v>
      </c>
      <c r="AE73" s="10">
        <v>7877</v>
      </c>
      <c r="AF73" s="11">
        <v>24.9</v>
      </c>
    </row>
    <row r="74" spans="29:32" x14ac:dyDescent="0.35">
      <c r="AC74" s="6" t="s">
        <v>78</v>
      </c>
      <c r="AD74" s="7" t="s">
        <v>7</v>
      </c>
      <c r="AE74" s="7">
        <v>7884</v>
      </c>
      <c r="AF74" s="8">
        <v>25.9</v>
      </c>
    </row>
    <row r="75" spans="29:32" x14ac:dyDescent="0.35">
      <c r="AC75" s="9" t="s">
        <v>79</v>
      </c>
      <c r="AD75" s="10" t="s">
        <v>7</v>
      </c>
      <c r="AE75" s="10">
        <v>7943</v>
      </c>
      <c r="AF75" s="11">
        <v>24.9</v>
      </c>
    </row>
    <row r="76" spans="29:32" x14ac:dyDescent="0.35">
      <c r="AC76" s="6" t="s">
        <v>80</v>
      </c>
      <c r="AD76" s="7" t="s">
        <v>7</v>
      </c>
      <c r="AE76" s="7">
        <v>7887</v>
      </c>
      <c r="AF76" s="8">
        <v>25.9</v>
      </c>
    </row>
    <row r="77" spans="29:32" x14ac:dyDescent="0.35">
      <c r="AC77" s="9" t="s">
        <v>81</v>
      </c>
      <c r="AD77" s="10" t="s">
        <v>7</v>
      </c>
      <c r="AE77" s="10">
        <v>7901</v>
      </c>
      <c r="AF77" s="11">
        <v>24.9</v>
      </c>
    </row>
    <row r="78" spans="29:32" x14ac:dyDescent="0.35">
      <c r="AC78" s="6" t="s">
        <v>82</v>
      </c>
      <c r="AD78" s="7" t="s">
        <v>7</v>
      </c>
      <c r="AE78" s="7">
        <v>7907</v>
      </c>
      <c r="AF78" s="8">
        <v>27.9</v>
      </c>
    </row>
    <row r="79" spans="29:32" x14ac:dyDescent="0.35">
      <c r="AC79" s="9" t="s">
        <v>83</v>
      </c>
      <c r="AD79" s="10" t="s">
        <v>7</v>
      </c>
      <c r="AE79" s="10">
        <v>7923</v>
      </c>
      <c r="AF79" s="11">
        <v>24.9</v>
      </c>
    </row>
    <row r="80" spans="29:32" x14ac:dyDescent="0.35">
      <c r="AC80" s="6" t="s">
        <v>84</v>
      </c>
      <c r="AD80" s="7" t="s">
        <v>7</v>
      </c>
      <c r="AE80" s="7">
        <v>7925</v>
      </c>
      <c r="AF80" s="8">
        <v>0</v>
      </c>
    </row>
    <row r="81" spans="29:32" x14ac:dyDescent="0.35">
      <c r="AC81" s="9" t="s">
        <v>85</v>
      </c>
      <c r="AD81" s="10" t="s">
        <v>7</v>
      </c>
      <c r="AE81" s="10">
        <v>7927</v>
      </c>
      <c r="AF81" s="11">
        <v>26.9</v>
      </c>
    </row>
    <row r="82" spans="29:32" x14ac:dyDescent="0.35">
      <c r="AC82" s="6" t="s">
        <v>86</v>
      </c>
      <c r="AD82" s="7" t="s">
        <v>6</v>
      </c>
      <c r="AE82" s="7">
        <v>5748</v>
      </c>
      <c r="AF82" s="8">
        <v>0</v>
      </c>
    </row>
    <row r="83" spans="29:32" x14ac:dyDescent="0.35">
      <c r="AC83" s="9" t="s">
        <v>87</v>
      </c>
      <c r="AD83" s="10" t="s">
        <v>6</v>
      </c>
      <c r="AE83" s="10">
        <v>3141</v>
      </c>
      <c r="AF83" s="11">
        <v>0</v>
      </c>
    </row>
    <row r="84" spans="29:32" x14ac:dyDescent="0.35">
      <c r="AC84" s="6" t="s">
        <v>88</v>
      </c>
      <c r="AD84" s="7" t="s">
        <v>6</v>
      </c>
      <c r="AE84" s="7">
        <v>3128</v>
      </c>
      <c r="AF84" s="8">
        <v>0</v>
      </c>
    </row>
    <row r="85" spans="29:32" x14ac:dyDescent="0.35">
      <c r="AC85" s="9" t="s">
        <v>89</v>
      </c>
      <c r="AD85" s="10" t="s">
        <v>6</v>
      </c>
      <c r="AE85" s="10">
        <v>2527</v>
      </c>
      <c r="AF85" s="11">
        <v>0</v>
      </c>
    </row>
    <row r="86" spans="29:32" x14ac:dyDescent="0.35">
      <c r="AC86" s="6" t="s">
        <v>90</v>
      </c>
      <c r="AD86" s="7" t="s">
        <v>6</v>
      </c>
      <c r="AE86" s="7">
        <v>2526</v>
      </c>
      <c r="AF86" s="8">
        <v>0</v>
      </c>
    </row>
    <row r="87" spans="29:32" x14ac:dyDescent="0.35">
      <c r="AC87" s="9" t="s">
        <v>91</v>
      </c>
      <c r="AD87" s="10" t="s">
        <v>6</v>
      </c>
      <c r="AE87" s="10">
        <v>5394</v>
      </c>
      <c r="AF87" s="11">
        <v>0</v>
      </c>
    </row>
    <row r="88" spans="29:32" x14ac:dyDescent="0.35">
      <c r="AC88" s="6" t="s">
        <v>92</v>
      </c>
      <c r="AD88" s="7" t="s">
        <v>6</v>
      </c>
      <c r="AE88" s="7">
        <v>3090</v>
      </c>
      <c r="AF88" s="8">
        <v>0</v>
      </c>
    </row>
    <row r="89" spans="29:32" x14ac:dyDescent="0.35">
      <c r="AC89" s="9" t="s">
        <v>93</v>
      </c>
      <c r="AD89" s="10" t="s">
        <v>6</v>
      </c>
      <c r="AE89" s="10">
        <v>3133</v>
      </c>
      <c r="AF89" s="11">
        <v>0</v>
      </c>
    </row>
    <row r="90" spans="29:32" x14ac:dyDescent="0.35">
      <c r="AC90" s="6" t="s">
        <v>94</v>
      </c>
      <c r="AD90" s="7" t="s">
        <v>6</v>
      </c>
      <c r="AE90" s="7">
        <v>4275</v>
      </c>
      <c r="AF90" s="8">
        <v>0</v>
      </c>
    </row>
    <row r="91" spans="29:32" x14ac:dyDescent="0.35">
      <c r="AC91" s="9" t="s">
        <v>95</v>
      </c>
      <c r="AD91" s="10" t="s">
        <v>6</v>
      </c>
      <c r="AE91" s="10">
        <v>2590</v>
      </c>
      <c r="AF91" s="11">
        <v>0</v>
      </c>
    </row>
    <row r="92" spans="29:32" x14ac:dyDescent="0.35">
      <c r="AC92" s="6" t="s">
        <v>96</v>
      </c>
      <c r="AD92" s="7" t="s">
        <v>6</v>
      </c>
      <c r="AE92" s="7">
        <v>2748</v>
      </c>
      <c r="AF92" s="8">
        <v>0</v>
      </c>
    </row>
    <row r="93" spans="29:32" x14ac:dyDescent="0.35">
      <c r="AC93" s="9" t="s">
        <v>97</v>
      </c>
      <c r="AD93" s="10" t="s">
        <v>6</v>
      </c>
      <c r="AE93" s="10">
        <v>5023</v>
      </c>
      <c r="AF93" s="11">
        <v>0</v>
      </c>
    </row>
    <row r="94" spans="29:32" x14ac:dyDescent="0.35">
      <c r="AC94" s="6" t="s">
        <v>98</v>
      </c>
      <c r="AD94" s="7" t="s">
        <v>6</v>
      </c>
      <c r="AE94" s="7">
        <v>2135</v>
      </c>
      <c r="AF94" s="8">
        <v>0</v>
      </c>
    </row>
    <row r="95" spans="29:32" x14ac:dyDescent="0.35">
      <c r="AC95" s="9" t="s">
        <v>99</v>
      </c>
      <c r="AD95" s="10" t="s">
        <v>6</v>
      </c>
      <c r="AE95" s="10">
        <v>2458</v>
      </c>
      <c r="AF95" s="11">
        <v>0</v>
      </c>
    </row>
    <row r="96" spans="29:32" x14ac:dyDescent="0.35">
      <c r="AC96" s="6" t="s">
        <v>100</v>
      </c>
      <c r="AD96" s="7" t="s">
        <v>6</v>
      </c>
      <c r="AE96" s="7">
        <v>2220</v>
      </c>
      <c r="AF96" s="8">
        <v>11.5</v>
      </c>
    </row>
    <row r="97" spans="29:32" x14ac:dyDescent="0.35">
      <c r="AC97" s="9" t="s">
        <v>101</v>
      </c>
      <c r="AD97" s="10" t="s">
        <v>6</v>
      </c>
      <c r="AE97" s="10">
        <v>5981</v>
      </c>
      <c r="AF97" s="11">
        <v>0</v>
      </c>
    </row>
    <row r="98" spans="29:32" x14ac:dyDescent="0.35">
      <c r="AC98" s="6" t="s">
        <v>102</v>
      </c>
      <c r="AD98" s="7" t="s">
        <v>6</v>
      </c>
      <c r="AE98" s="7">
        <v>2548</v>
      </c>
      <c r="AF98" s="8">
        <v>0</v>
      </c>
    </row>
    <row r="99" spans="29:32" x14ac:dyDescent="0.35">
      <c r="AC99" s="9" t="s">
        <v>103</v>
      </c>
      <c r="AD99" s="10" t="s">
        <v>6</v>
      </c>
      <c r="AE99" s="10">
        <v>2080</v>
      </c>
      <c r="AF99" s="11">
        <v>0</v>
      </c>
    </row>
    <row r="100" spans="29:32" x14ac:dyDescent="0.35">
      <c r="AC100" s="6" t="s">
        <v>104</v>
      </c>
      <c r="AD100" s="7" t="s">
        <v>6</v>
      </c>
      <c r="AE100" s="7">
        <v>3127</v>
      </c>
      <c r="AF100" s="8">
        <v>0</v>
      </c>
    </row>
    <row r="101" spans="29:32" x14ac:dyDescent="0.35">
      <c r="AC101" s="9" t="s">
        <v>105</v>
      </c>
      <c r="AD101" s="10" t="s">
        <v>6</v>
      </c>
      <c r="AE101" s="10">
        <v>2602</v>
      </c>
      <c r="AF101" s="11">
        <v>0</v>
      </c>
    </row>
    <row r="102" spans="29:32" x14ac:dyDescent="0.35">
      <c r="AC102" s="6" t="s">
        <v>106</v>
      </c>
      <c r="AD102" s="7" t="s">
        <v>107</v>
      </c>
      <c r="AE102" s="7">
        <v>2481</v>
      </c>
      <c r="AF102" s="8">
        <v>0</v>
      </c>
    </row>
    <row r="103" spans="29:32" x14ac:dyDescent="0.35">
      <c r="AC103" s="9" t="s">
        <v>108</v>
      </c>
      <c r="AD103" s="10" t="s">
        <v>6</v>
      </c>
      <c r="AE103" s="10">
        <v>5089</v>
      </c>
      <c r="AF103" s="11">
        <v>0</v>
      </c>
    </row>
    <row r="104" spans="29:32" x14ac:dyDescent="0.35">
      <c r="AC104" s="6" t="s">
        <v>109</v>
      </c>
      <c r="AD104" s="7" t="s">
        <v>6</v>
      </c>
      <c r="AE104" s="7">
        <v>2036</v>
      </c>
      <c r="AF104" s="8">
        <v>0</v>
      </c>
    </row>
    <row r="105" spans="29:32" x14ac:dyDescent="0.35">
      <c r="AC105" s="9" t="s">
        <v>110</v>
      </c>
      <c r="AD105" s="10" t="s">
        <v>6</v>
      </c>
      <c r="AE105" s="10">
        <v>2104</v>
      </c>
      <c r="AF105" s="11">
        <v>0</v>
      </c>
    </row>
    <row r="106" spans="29:32" x14ac:dyDescent="0.35">
      <c r="AC106" s="6" t="s">
        <v>111</v>
      </c>
      <c r="AD106" s="7" t="s">
        <v>6</v>
      </c>
      <c r="AE106" s="7">
        <v>5146</v>
      </c>
      <c r="AF106" s="8">
        <v>0</v>
      </c>
    </row>
    <row r="107" spans="29:32" x14ac:dyDescent="0.35">
      <c r="AC107" s="9" t="s">
        <v>112</v>
      </c>
      <c r="AD107" s="10" t="s">
        <v>6</v>
      </c>
      <c r="AE107" s="10">
        <v>2738</v>
      </c>
      <c r="AF107" s="11">
        <v>0</v>
      </c>
    </row>
    <row r="108" spans="29:32" x14ac:dyDescent="0.35">
      <c r="AC108" s="6" t="s">
        <v>113</v>
      </c>
      <c r="AD108" s="7" t="s">
        <v>6</v>
      </c>
      <c r="AE108" s="7">
        <v>5990</v>
      </c>
      <c r="AF108" s="8">
        <v>0</v>
      </c>
    </row>
    <row r="109" spans="29:32" x14ac:dyDescent="0.35">
      <c r="AC109" s="9" t="s">
        <v>114</v>
      </c>
      <c r="AD109" s="10" t="s">
        <v>6</v>
      </c>
      <c r="AE109" s="10">
        <v>2647</v>
      </c>
      <c r="AF109" s="11">
        <v>0</v>
      </c>
    </row>
    <row r="110" spans="29:32" x14ac:dyDescent="0.35">
      <c r="AC110" s="6" t="s">
        <v>115</v>
      </c>
      <c r="AD110" s="7" t="s">
        <v>6</v>
      </c>
      <c r="AE110" s="7">
        <v>2520</v>
      </c>
      <c r="AF110" s="8">
        <v>0</v>
      </c>
    </row>
    <row r="111" spans="29:32" x14ac:dyDescent="0.35">
      <c r="AC111" s="9" t="s">
        <v>116</v>
      </c>
      <c r="AD111" s="10" t="s">
        <v>7</v>
      </c>
      <c r="AE111" s="10">
        <v>235242</v>
      </c>
      <c r="AF111" s="11">
        <v>0</v>
      </c>
    </row>
    <row r="112" spans="29:32" x14ac:dyDescent="0.35">
      <c r="AC112" s="6" t="s">
        <v>117</v>
      </c>
      <c r="AD112" s="7" t="s">
        <v>19</v>
      </c>
      <c r="AE112" s="7">
        <v>1974</v>
      </c>
      <c r="AF112" s="8">
        <v>0</v>
      </c>
    </row>
    <row r="113" spans="29:32" x14ac:dyDescent="0.35">
      <c r="AC113" s="9" t="s">
        <v>118</v>
      </c>
      <c r="AD113" s="10" t="s">
        <v>19</v>
      </c>
      <c r="AE113" s="10">
        <v>2361</v>
      </c>
      <c r="AF113" s="11">
        <v>0</v>
      </c>
    </row>
    <row r="114" spans="29:32" x14ac:dyDescent="0.35">
      <c r="AC114" s="6" t="s">
        <v>119</v>
      </c>
      <c r="AD114" s="7" t="s">
        <v>19</v>
      </c>
      <c r="AE114" s="7">
        <v>5088</v>
      </c>
      <c r="AF114" s="8">
        <v>0</v>
      </c>
    </row>
    <row r="115" spans="29:32" x14ac:dyDescent="0.35">
      <c r="AC115" s="9" t="s">
        <v>120</v>
      </c>
      <c r="AD115" s="10" t="s">
        <v>19</v>
      </c>
      <c r="AE115" s="10">
        <v>5090</v>
      </c>
      <c r="AF115" s="11">
        <v>0</v>
      </c>
    </row>
    <row r="116" spans="29:32" x14ac:dyDescent="0.35">
      <c r="AC116" s="6" t="s">
        <v>121</v>
      </c>
      <c r="AD116" s="7" t="s">
        <v>6</v>
      </c>
      <c r="AE116" s="7">
        <v>2319</v>
      </c>
      <c r="AF116" s="8">
        <v>0</v>
      </c>
    </row>
    <row r="117" spans="29:32" x14ac:dyDescent="0.35">
      <c r="AC117" s="9" t="s">
        <v>122</v>
      </c>
      <c r="AD117" s="10" t="s">
        <v>6</v>
      </c>
      <c r="AE117" s="10">
        <v>2439</v>
      </c>
      <c r="AF117" s="11">
        <v>0</v>
      </c>
    </row>
    <row r="118" spans="29:32" x14ac:dyDescent="0.35">
      <c r="AC118" s="6" t="s">
        <v>123</v>
      </c>
      <c r="AD118" s="7" t="s">
        <v>6</v>
      </c>
      <c r="AE118" s="7">
        <v>2801</v>
      </c>
      <c r="AF118" s="8">
        <v>0</v>
      </c>
    </row>
    <row r="119" spans="29:32" x14ac:dyDescent="0.35">
      <c r="AC119" s="9" t="s">
        <v>124</v>
      </c>
      <c r="AD119" s="10" t="s">
        <v>6</v>
      </c>
      <c r="AE119" s="10">
        <v>5913</v>
      </c>
      <c r="AF119" s="11">
        <v>0</v>
      </c>
    </row>
    <row r="120" spans="29:32" x14ac:dyDescent="0.35">
      <c r="AC120" s="6" t="s">
        <v>125</v>
      </c>
      <c r="AD120" s="7" t="s">
        <v>6</v>
      </c>
      <c r="AE120" s="7">
        <v>4414</v>
      </c>
      <c r="AF120" s="8">
        <v>0</v>
      </c>
    </row>
    <row r="121" spans="29:32" x14ac:dyDescent="0.35">
      <c r="AC121" s="9" t="s">
        <v>126</v>
      </c>
      <c r="AD121" s="10" t="s">
        <v>6</v>
      </c>
      <c r="AE121" s="10">
        <v>2550</v>
      </c>
      <c r="AF121" s="11">
        <v>0</v>
      </c>
    </row>
    <row r="122" spans="29:32" x14ac:dyDescent="0.35">
      <c r="AC122" s="6" t="s">
        <v>127</v>
      </c>
      <c r="AD122" s="7" t="s">
        <v>6</v>
      </c>
      <c r="AE122" s="7">
        <v>2221</v>
      </c>
      <c r="AF122" s="8">
        <v>2.4</v>
      </c>
    </row>
    <row r="123" spans="29:32" x14ac:dyDescent="0.35">
      <c r="AC123" s="9" t="s">
        <v>128</v>
      </c>
      <c r="AD123" s="10" t="s">
        <v>6</v>
      </c>
      <c r="AE123" s="10">
        <v>2033</v>
      </c>
      <c r="AF123" s="11">
        <v>0</v>
      </c>
    </row>
    <row r="124" spans="29:32" x14ac:dyDescent="0.35">
      <c r="AC124" s="6" t="s">
        <v>129</v>
      </c>
      <c r="AD124" s="7" t="s">
        <v>6</v>
      </c>
      <c r="AE124" s="7">
        <v>3436</v>
      </c>
      <c r="AF124" s="8">
        <v>0</v>
      </c>
    </row>
    <row r="125" spans="29:32" x14ac:dyDescent="0.35">
      <c r="AC125" s="9" t="s">
        <v>130</v>
      </c>
      <c r="AD125" s="10" t="s">
        <v>6</v>
      </c>
      <c r="AE125" s="10">
        <v>2342</v>
      </c>
      <c r="AF125" s="11">
        <v>0</v>
      </c>
    </row>
    <row r="126" spans="29:32" x14ac:dyDescent="0.35">
      <c r="AC126" s="6" t="s">
        <v>131</v>
      </c>
      <c r="AD126" s="7" t="s">
        <v>6</v>
      </c>
      <c r="AE126" s="7">
        <v>2515</v>
      </c>
      <c r="AF126" s="8">
        <v>0</v>
      </c>
    </row>
    <row r="127" spans="29:32" x14ac:dyDescent="0.35">
      <c r="AC127" s="9" t="s">
        <v>132</v>
      </c>
      <c r="AD127" s="10" t="s">
        <v>6</v>
      </c>
      <c r="AE127" s="10">
        <v>2343</v>
      </c>
      <c r="AF127" s="11">
        <v>0</v>
      </c>
    </row>
    <row r="128" spans="29:32" x14ac:dyDescent="0.35">
      <c r="AC128" s="6" t="s">
        <v>133</v>
      </c>
      <c r="AD128" s="7" t="s">
        <v>6</v>
      </c>
      <c r="AE128" s="7">
        <v>2484</v>
      </c>
      <c r="AF128" s="8">
        <v>0</v>
      </c>
    </row>
    <row r="129" spans="29:32" x14ac:dyDescent="0.35">
      <c r="AC129" s="9" t="s">
        <v>134</v>
      </c>
      <c r="AD129" s="10" t="s">
        <v>6</v>
      </c>
      <c r="AE129" s="10">
        <v>2519</v>
      </c>
      <c r="AF129" s="11">
        <v>0</v>
      </c>
    </row>
    <row r="130" spans="29:32" x14ac:dyDescent="0.35">
      <c r="AC130" s="6" t="s">
        <v>135</v>
      </c>
      <c r="AD130" s="7" t="s">
        <v>6</v>
      </c>
      <c r="AE130" s="7">
        <v>5329</v>
      </c>
      <c r="AF130" s="8">
        <v>0</v>
      </c>
    </row>
    <row r="131" spans="29:32" x14ac:dyDescent="0.35">
      <c r="AC131" s="9" t="s">
        <v>136</v>
      </c>
      <c r="AD131" s="10" t="s">
        <v>6</v>
      </c>
      <c r="AE131" s="10">
        <v>5330</v>
      </c>
      <c r="AF131" s="11">
        <v>0</v>
      </c>
    </row>
    <row r="132" spans="29:32" x14ac:dyDescent="0.35">
      <c r="AC132" s="6" t="s">
        <v>137</v>
      </c>
      <c r="AD132" s="7" t="s">
        <v>6</v>
      </c>
      <c r="AE132" s="7">
        <v>6473</v>
      </c>
      <c r="AF132" s="8">
        <v>34.35</v>
      </c>
    </row>
    <row r="133" spans="29:32" x14ac:dyDescent="0.35">
      <c r="AC133" s="9" t="s">
        <v>138</v>
      </c>
      <c r="AD133" s="10" t="s">
        <v>6</v>
      </c>
      <c r="AE133" s="10">
        <v>2405</v>
      </c>
      <c r="AF133" s="11">
        <v>0</v>
      </c>
    </row>
    <row r="134" spans="29:32" x14ac:dyDescent="0.35">
      <c r="AC134" s="6" t="s">
        <v>139</v>
      </c>
      <c r="AD134" s="7" t="s">
        <v>6</v>
      </c>
      <c r="AE134" s="7">
        <v>5943</v>
      </c>
      <c r="AF134" s="8">
        <v>0</v>
      </c>
    </row>
    <row r="135" spans="29:32" x14ac:dyDescent="0.35">
      <c r="AC135" s="9" t="s">
        <v>140</v>
      </c>
      <c r="AD135" s="10" t="s">
        <v>6</v>
      </c>
      <c r="AE135" s="10">
        <v>2216</v>
      </c>
      <c r="AF135" s="11">
        <v>18.5</v>
      </c>
    </row>
    <row r="136" spans="29:32" x14ac:dyDescent="0.35">
      <c r="AC136" s="6" t="s">
        <v>141</v>
      </c>
      <c r="AD136" s="7" t="s">
        <v>6</v>
      </c>
      <c r="AE136" s="7">
        <v>2412</v>
      </c>
      <c r="AF136" s="8">
        <v>0</v>
      </c>
    </row>
    <row r="137" spans="29:32" x14ac:dyDescent="0.35">
      <c r="AC137" s="9" t="s">
        <v>142</v>
      </c>
      <c r="AD137" s="10" t="s">
        <v>6</v>
      </c>
      <c r="AE137" s="10">
        <v>6468</v>
      </c>
      <c r="AF137" s="11">
        <v>0</v>
      </c>
    </row>
    <row r="138" spans="29:32" x14ac:dyDescent="0.35">
      <c r="AC138" s="6" t="s">
        <v>143</v>
      </c>
      <c r="AD138" s="7" t="s">
        <v>6</v>
      </c>
      <c r="AE138" s="7">
        <v>2419</v>
      </c>
      <c r="AF138" s="8">
        <v>0</v>
      </c>
    </row>
    <row r="139" spans="29:32" x14ac:dyDescent="0.35">
      <c r="AC139" s="9" t="s">
        <v>144</v>
      </c>
      <c r="AD139" s="10" t="s">
        <v>6</v>
      </c>
      <c r="AE139" s="10">
        <v>2406</v>
      </c>
      <c r="AF139" s="11">
        <v>0</v>
      </c>
    </row>
    <row r="140" spans="29:32" x14ac:dyDescent="0.35">
      <c r="AC140" s="6" t="s">
        <v>145</v>
      </c>
      <c r="AD140" s="7" t="s">
        <v>6</v>
      </c>
      <c r="AE140" s="7">
        <v>2407</v>
      </c>
      <c r="AF140" s="8">
        <v>0</v>
      </c>
    </row>
    <row r="141" spans="29:32" x14ac:dyDescent="0.35">
      <c r="AC141" s="9" t="s">
        <v>146</v>
      </c>
      <c r="AD141" s="10" t="s">
        <v>6</v>
      </c>
      <c r="AE141" s="10">
        <v>2196</v>
      </c>
      <c r="AF141" s="11">
        <v>0</v>
      </c>
    </row>
    <row r="142" spans="29:32" x14ac:dyDescent="0.35">
      <c r="AC142" s="6" t="s">
        <v>147</v>
      </c>
      <c r="AD142" s="7" t="s">
        <v>6</v>
      </c>
      <c r="AE142" s="7">
        <v>5269</v>
      </c>
      <c r="AF142" s="8">
        <v>0</v>
      </c>
    </row>
    <row r="143" spans="29:32" x14ac:dyDescent="0.35">
      <c r="AC143" s="9" t="s">
        <v>148</v>
      </c>
      <c r="AD143" s="10" t="s">
        <v>6</v>
      </c>
      <c r="AE143" s="10">
        <v>2687</v>
      </c>
      <c r="AF143" s="11">
        <v>0</v>
      </c>
    </row>
    <row r="144" spans="29:32" x14ac:dyDescent="0.35">
      <c r="AC144" s="6" t="s">
        <v>149</v>
      </c>
      <c r="AD144" s="7" t="s">
        <v>6</v>
      </c>
      <c r="AE144" s="7">
        <v>6780</v>
      </c>
      <c r="AF144" s="8">
        <v>0</v>
      </c>
    </row>
    <row r="145" spans="29:32" x14ac:dyDescent="0.35">
      <c r="AC145" s="9" t="s">
        <v>150</v>
      </c>
      <c r="AD145" s="10" t="s">
        <v>6</v>
      </c>
      <c r="AE145" s="10">
        <v>3747</v>
      </c>
      <c r="AF145" s="11">
        <v>0</v>
      </c>
    </row>
    <row r="146" spans="29:32" x14ac:dyDescent="0.35">
      <c r="AC146" s="6" t="s">
        <v>151</v>
      </c>
      <c r="AD146" s="7" t="s">
        <v>6</v>
      </c>
      <c r="AE146" s="7">
        <v>5258</v>
      </c>
      <c r="AF146" s="8">
        <v>0</v>
      </c>
    </row>
    <row r="147" spans="29:32" x14ac:dyDescent="0.35">
      <c r="AC147" s="9" t="s">
        <v>152</v>
      </c>
      <c r="AD147" s="10" t="s">
        <v>6</v>
      </c>
      <c r="AE147" s="10">
        <v>2300</v>
      </c>
      <c r="AF147" s="11">
        <v>0</v>
      </c>
    </row>
    <row r="148" spans="29:32" x14ac:dyDescent="0.35">
      <c r="AC148" s="6" t="s">
        <v>153</v>
      </c>
      <c r="AD148" s="7" t="s">
        <v>6</v>
      </c>
      <c r="AE148" s="7">
        <v>4576</v>
      </c>
      <c r="AF148" s="8">
        <v>0</v>
      </c>
    </row>
    <row r="149" spans="29:32" x14ac:dyDescent="0.35">
      <c r="AC149" s="9" t="s">
        <v>154</v>
      </c>
      <c r="AD149" s="10" t="s">
        <v>6</v>
      </c>
      <c r="AE149" s="10">
        <v>3153</v>
      </c>
      <c r="AF149" s="11">
        <v>0</v>
      </c>
    </row>
    <row r="150" spans="29:32" x14ac:dyDescent="0.35">
      <c r="AC150" s="6" t="s">
        <v>155</v>
      </c>
      <c r="AD150" s="7" t="s">
        <v>6</v>
      </c>
      <c r="AE150" s="7">
        <v>3140</v>
      </c>
      <c r="AF150" s="8">
        <v>0</v>
      </c>
    </row>
    <row r="151" spans="29:32" x14ac:dyDescent="0.35">
      <c r="AC151" s="9" t="s">
        <v>156</v>
      </c>
      <c r="AD151" s="10" t="s">
        <v>6</v>
      </c>
      <c r="AE151" s="10">
        <v>5265</v>
      </c>
      <c r="AF151" s="11">
        <v>0</v>
      </c>
    </row>
    <row r="152" spans="29:32" x14ac:dyDescent="0.35">
      <c r="AC152" s="6" t="s">
        <v>157</v>
      </c>
      <c r="AD152" s="7" t="s">
        <v>6</v>
      </c>
      <c r="AE152" s="7">
        <v>2480</v>
      </c>
      <c r="AF152" s="8">
        <v>0</v>
      </c>
    </row>
    <row r="153" spans="29:32" x14ac:dyDescent="0.35">
      <c r="AC153" s="9" t="s">
        <v>158</v>
      </c>
      <c r="AD153" s="10" t="s">
        <v>6</v>
      </c>
      <c r="AE153" s="10">
        <v>6081</v>
      </c>
      <c r="AF153" s="11">
        <v>0</v>
      </c>
    </row>
    <row r="154" spans="29:32" x14ac:dyDescent="0.35">
      <c r="AC154" s="6" t="s">
        <v>159</v>
      </c>
      <c r="AD154" s="7" t="s">
        <v>6</v>
      </c>
      <c r="AE154" s="7">
        <v>6082</v>
      </c>
      <c r="AF154" s="8">
        <v>0</v>
      </c>
    </row>
    <row r="155" spans="29:32" x14ac:dyDescent="0.35">
      <c r="AC155" s="9" t="s">
        <v>160</v>
      </c>
      <c r="AD155" s="10" t="s">
        <v>161</v>
      </c>
      <c r="AE155" s="10">
        <v>2017</v>
      </c>
      <c r="AF155" s="11">
        <v>0</v>
      </c>
    </row>
    <row r="156" spans="29:32" x14ac:dyDescent="0.35">
      <c r="AC156" s="6" t="s">
        <v>162</v>
      </c>
      <c r="AD156" s="7" t="s">
        <v>6</v>
      </c>
      <c r="AE156" s="7">
        <v>3125</v>
      </c>
      <c r="AF156" s="8">
        <v>0</v>
      </c>
    </row>
    <row r="157" spans="29:32" x14ac:dyDescent="0.35">
      <c r="AC157" s="9" t="s">
        <v>163</v>
      </c>
      <c r="AD157" s="10" t="s">
        <v>6</v>
      </c>
      <c r="AE157" s="10">
        <v>3130</v>
      </c>
      <c r="AF157" s="11">
        <v>0</v>
      </c>
    </row>
    <row r="158" spans="29:32" x14ac:dyDescent="0.35">
      <c r="AC158" s="6" t="s">
        <v>164</v>
      </c>
      <c r="AD158" s="7" t="s">
        <v>6</v>
      </c>
      <c r="AE158" s="7">
        <v>2616</v>
      </c>
      <c r="AF158" s="8">
        <v>0</v>
      </c>
    </row>
    <row r="159" spans="29:32" x14ac:dyDescent="0.35">
      <c r="AC159" s="9" t="s">
        <v>165</v>
      </c>
      <c r="AD159" s="10" t="s">
        <v>6</v>
      </c>
      <c r="AE159" s="10">
        <v>2222</v>
      </c>
      <c r="AF159" s="11">
        <v>3.72</v>
      </c>
    </row>
    <row r="160" spans="29:32" x14ac:dyDescent="0.35">
      <c r="AC160" s="6" t="s">
        <v>166</v>
      </c>
      <c r="AD160" s="7" t="s">
        <v>6</v>
      </c>
      <c r="AE160" s="7">
        <v>5434</v>
      </c>
      <c r="AF160" s="8">
        <v>0</v>
      </c>
    </row>
    <row r="161" spans="29:32" x14ac:dyDescent="0.35">
      <c r="AC161" s="9" t="s">
        <v>167</v>
      </c>
      <c r="AD161" s="10" t="s">
        <v>6</v>
      </c>
      <c r="AE161" s="10">
        <v>2601</v>
      </c>
      <c r="AF161" s="11">
        <v>0</v>
      </c>
    </row>
    <row r="162" spans="29:32" x14ac:dyDescent="0.35">
      <c r="AC162" s="6" t="s">
        <v>168</v>
      </c>
      <c r="AD162" s="7" t="s">
        <v>6</v>
      </c>
      <c r="AE162" s="7">
        <v>2339</v>
      </c>
      <c r="AF162" s="8">
        <v>0</v>
      </c>
    </row>
    <row r="163" spans="29:32" x14ac:dyDescent="0.35">
      <c r="AC163" s="9" t="s">
        <v>169</v>
      </c>
      <c r="AD163" s="10" t="s">
        <v>6</v>
      </c>
      <c r="AE163" s="10">
        <v>3143</v>
      </c>
      <c r="AF163" s="11">
        <v>0</v>
      </c>
    </row>
    <row r="164" spans="29:32" x14ac:dyDescent="0.35">
      <c r="AC164" s="6" t="s">
        <v>170</v>
      </c>
      <c r="AD164" s="7" t="s">
        <v>6</v>
      </c>
      <c r="AE164" s="7">
        <v>3120</v>
      </c>
      <c r="AF164" s="8">
        <v>0</v>
      </c>
    </row>
    <row r="165" spans="29:32" x14ac:dyDescent="0.35">
      <c r="AC165" s="9" t="s">
        <v>171</v>
      </c>
      <c r="AD165" s="10" t="s">
        <v>172</v>
      </c>
      <c r="AE165" s="10">
        <v>3404</v>
      </c>
      <c r="AF165" s="11">
        <v>0</v>
      </c>
    </row>
    <row r="166" spans="29:32" x14ac:dyDescent="0.35">
      <c r="AC166" s="6" t="s">
        <v>173</v>
      </c>
      <c r="AD166" s="7" t="s">
        <v>6</v>
      </c>
      <c r="AE166" s="7">
        <v>2205</v>
      </c>
      <c r="AF166" s="8">
        <v>0</v>
      </c>
    </row>
    <row r="167" spans="29:32" x14ac:dyDescent="0.35">
      <c r="AC167" s="9" t="s">
        <v>174</v>
      </c>
      <c r="AD167" s="10" t="s">
        <v>6</v>
      </c>
      <c r="AE167" s="10">
        <v>3654</v>
      </c>
      <c r="AF167" s="11">
        <v>0</v>
      </c>
    </row>
    <row r="168" spans="29:32" x14ac:dyDescent="0.35">
      <c r="AC168" s="6" t="s">
        <v>175</v>
      </c>
      <c r="AD168" s="7" t="s">
        <v>6</v>
      </c>
      <c r="AE168" s="7">
        <v>5392</v>
      </c>
      <c r="AF168" s="8">
        <v>0</v>
      </c>
    </row>
    <row r="169" spans="29:32" x14ac:dyDescent="0.35">
      <c r="AC169" s="9" t="s">
        <v>176</v>
      </c>
      <c r="AD169" s="10" t="s">
        <v>6</v>
      </c>
      <c r="AE169" s="10">
        <v>2580</v>
      </c>
      <c r="AF169" s="11">
        <v>0</v>
      </c>
    </row>
    <row r="170" spans="29:32" x14ac:dyDescent="0.35">
      <c r="AC170" s="6" t="s">
        <v>177</v>
      </c>
      <c r="AD170" s="7" t="s">
        <v>6</v>
      </c>
      <c r="AE170" s="7">
        <v>5719</v>
      </c>
      <c r="AF170" s="8">
        <v>0</v>
      </c>
    </row>
    <row r="171" spans="29:32" x14ac:dyDescent="0.35">
      <c r="AC171" s="9" t="s">
        <v>178</v>
      </c>
      <c r="AD171" s="10" t="s">
        <v>6</v>
      </c>
      <c r="AE171" s="10">
        <v>5408</v>
      </c>
      <c r="AF171" s="11">
        <v>0</v>
      </c>
    </row>
    <row r="172" spans="29:32" x14ac:dyDescent="0.35">
      <c r="AC172" s="6" t="s">
        <v>179</v>
      </c>
      <c r="AD172" s="7" t="s">
        <v>6</v>
      </c>
      <c r="AE172" s="7">
        <v>3470</v>
      </c>
      <c r="AF172" s="8">
        <v>0</v>
      </c>
    </row>
    <row r="173" spans="29:32" x14ac:dyDescent="0.35">
      <c r="AC173" s="9" t="s">
        <v>180</v>
      </c>
      <c r="AD173" s="10" t="s">
        <v>6</v>
      </c>
      <c r="AE173" s="10">
        <v>5011</v>
      </c>
      <c r="AF173" s="11">
        <v>0</v>
      </c>
    </row>
    <row r="174" spans="29:32" x14ac:dyDescent="0.35">
      <c r="AC174" s="6" t="s">
        <v>181</v>
      </c>
      <c r="AD174" s="7" t="s">
        <v>6</v>
      </c>
      <c r="AE174" s="7">
        <v>6466</v>
      </c>
      <c r="AF174" s="8">
        <v>0</v>
      </c>
    </row>
    <row r="175" spans="29:32" x14ac:dyDescent="0.35">
      <c r="AC175" s="9" t="s">
        <v>182</v>
      </c>
      <c r="AD175" s="10" t="s">
        <v>6</v>
      </c>
      <c r="AE175" s="10">
        <v>2195</v>
      </c>
      <c r="AF175" s="11">
        <v>0</v>
      </c>
    </row>
    <row r="176" spans="29:32" x14ac:dyDescent="0.35">
      <c r="AC176" s="6" t="s">
        <v>183</v>
      </c>
      <c r="AD176" s="7" t="s">
        <v>6</v>
      </c>
      <c r="AE176" s="7">
        <v>2938</v>
      </c>
      <c r="AF176" s="8">
        <v>0.05</v>
      </c>
    </row>
    <row r="177" spans="29:32" x14ac:dyDescent="0.35">
      <c r="AC177" s="9" t="s">
        <v>184</v>
      </c>
      <c r="AD177" s="10" t="s">
        <v>6</v>
      </c>
      <c r="AE177" s="10">
        <v>6465</v>
      </c>
      <c r="AF177" s="11">
        <v>15.29</v>
      </c>
    </row>
    <row r="178" spans="29:32" x14ac:dyDescent="0.35">
      <c r="AC178" s="6" t="s">
        <v>185</v>
      </c>
      <c r="AD178" s="7" t="s">
        <v>6</v>
      </c>
      <c r="AE178" s="7">
        <v>2597</v>
      </c>
      <c r="AF178" s="8">
        <v>0</v>
      </c>
    </row>
    <row r="179" spans="29:32" x14ac:dyDescent="0.35">
      <c r="AC179" s="9" t="s">
        <v>186</v>
      </c>
      <c r="AD179" s="10" t="s">
        <v>6</v>
      </c>
      <c r="AE179" s="10">
        <v>2465</v>
      </c>
      <c r="AF179" s="11">
        <v>0</v>
      </c>
    </row>
    <row r="180" spans="29:32" x14ac:dyDescent="0.35">
      <c r="AC180" s="6" t="s">
        <v>187</v>
      </c>
      <c r="AD180" s="7" t="s">
        <v>172</v>
      </c>
      <c r="AE180" s="7">
        <v>2124</v>
      </c>
      <c r="AF180" s="8">
        <v>0</v>
      </c>
    </row>
    <row r="181" spans="29:32" x14ac:dyDescent="0.35">
      <c r="AC181" s="9" t="s">
        <v>188</v>
      </c>
      <c r="AD181" s="10" t="s">
        <v>6</v>
      </c>
      <c r="AE181" s="10">
        <v>6244</v>
      </c>
      <c r="AF181" s="11">
        <v>0</v>
      </c>
    </row>
    <row r="182" spans="29:32" x14ac:dyDescent="0.35">
      <c r="AC182" s="6" t="s">
        <v>189</v>
      </c>
      <c r="AD182" s="7" t="s">
        <v>6</v>
      </c>
      <c r="AE182" s="7">
        <v>6685</v>
      </c>
      <c r="AF182" s="8">
        <v>0</v>
      </c>
    </row>
    <row r="183" spans="29:32" x14ac:dyDescent="0.35">
      <c r="AC183" s="9" t="s">
        <v>190</v>
      </c>
      <c r="AD183" s="10" t="s">
        <v>7</v>
      </c>
      <c r="AE183" s="10">
        <v>233712</v>
      </c>
      <c r="AF183" s="11">
        <v>0</v>
      </c>
    </row>
    <row r="184" spans="29:32" x14ac:dyDescent="0.35">
      <c r="AC184" s="6" t="s">
        <v>191</v>
      </c>
      <c r="AD184" s="7" t="s">
        <v>6</v>
      </c>
      <c r="AE184" s="7">
        <v>2979</v>
      </c>
      <c r="AF184" s="8">
        <v>0</v>
      </c>
    </row>
    <row r="185" spans="29:32" x14ac:dyDescent="0.35">
      <c r="AC185" s="9" t="s">
        <v>192</v>
      </c>
      <c r="AD185" s="10" t="s">
        <v>6</v>
      </c>
      <c r="AE185" s="10">
        <v>2125</v>
      </c>
      <c r="AF185" s="11">
        <v>0</v>
      </c>
    </row>
    <row r="186" spans="29:32" x14ac:dyDescent="0.35">
      <c r="AC186" s="6" t="s">
        <v>193</v>
      </c>
      <c r="AD186" s="7" t="s">
        <v>6</v>
      </c>
      <c r="AE186" s="7">
        <v>4289</v>
      </c>
      <c r="AF186" s="8">
        <v>0</v>
      </c>
    </row>
    <row r="187" spans="29:32" x14ac:dyDescent="0.35">
      <c r="AC187" s="9" t="s">
        <v>194</v>
      </c>
      <c r="AD187" s="10" t="s">
        <v>6</v>
      </c>
      <c r="AE187" s="10">
        <v>3730</v>
      </c>
      <c r="AF187" s="11">
        <v>0</v>
      </c>
    </row>
    <row r="188" spans="29:32" x14ac:dyDescent="0.35">
      <c r="AC188" s="6" t="s">
        <v>195</v>
      </c>
      <c r="AD188" s="7" t="s">
        <v>6</v>
      </c>
      <c r="AE188" s="7">
        <v>2518</v>
      </c>
      <c r="AF188" s="8">
        <v>0</v>
      </c>
    </row>
    <row r="189" spans="29:32" x14ac:dyDescent="0.35">
      <c r="AC189" s="9" t="s">
        <v>196</v>
      </c>
      <c r="AD189" s="10" t="s">
        <v>197</v>
      </c>
      <c r="AE189" s="10">
        <v>3578</v>
      </c>
      <c r="AF189" s="11">
        <v>0</v>
      </c>
    </row>
    <row r="190" spans="29:32" x14ac:dyDescent="0.35">
      <c r="AC190" s="6" t="s">
        <v>198</v>
      </c>
      <c r="AD190" s="7" t="s">
        <v>197</v>
      </c>
      <c r="AE190" s="7">
        <v>2098</v>
      </c>
      <c r="AF190" s="8">
        <v>0</v>
      </c>
    </row>
    <row r="191" spans="29:32" x14ac:dyDescent="0.35">
      <c r="AC191" s="9" t="s">
        <v>199</v>
      </c>
      <c r="AD191" s="10" t="s">
        <v>6</v>
      </c>
      <c r="AE191" s="10">
        <v>2099</v>
      </c>
      <c r="AF191" s="11">
        <v>0</v>
      </c>
    </row>
    <row r="192" spans="29:32" x14ac:dyDescent="0.35">
      <c r="AC192" s="6" t="s">
        <v>200</v>
      </c>
      <c r="AD192" s="7" t="s">
        <v>6</v>
      </c>
      <c r="AE192" s="7">
        <v>2564</v>
      </c>
      <c r="AF192" s="8">
        <v>0</v>
      </c>
    </row>
    <row r="193" spans="29:32" x14ac:dyDescent="0.35">
      <c r="AC193" s="9" t="s">
        <v>201</v>
      </c>
      <c r="AD193" s="10" t="s">
        <v>6</v>
      </c>
      <c r="AE193" s="10">
        <v>2024</v>
      </c>
      <c r="AF193" s="11">
        <v>0</v>
      </c>
    </row>
    <row r="194" spans="29:32" x14ac:dyDescent="0.35">
      <c r="AC194" s="6" t="s">
        <v>202</v>
      </c>
      <c r="AD194" s="7" t="s">
        <v>6</v>
      </c>
      <c r="AE194" s="7">
        <v>2020</v>
      </c>
      <c r="AF194" s="8">
        <v>0</v>
      </c>
    </row>
    <row r="195" spans="29:32" x14ac:dyDescent="0.35">
      <c r="AC195" s="9" t="s">
        <v>203</v>
      </c>
      <c r="AD195" s="10" t="s">
        <v>197</v>
      </c>
      <c r="AE195" s="10">
        <v>4575</v>
      </c>
      <c r="AF195" s="11">
        <v>0</v>
      </c>
    </row>
    <row r="196" spans="29:32" x14ac:dyDescent="0.35">
      <c r="AC196" s="6" t="s">
        <v>204</v>
      </c>
      <c r="AD196" s="7" t="s">
        <v>6</v>
      </c>
      <c r="AE196" s="7">
        <v>3145</v>
      </c>
      <c r="AF196" s="8">
        <v>0</v>
      </c>
    </row>
    <row r="197" spans="29:32" x14ac:dyDescent="0.35">
      <c r="AC197" s="9" t="s">
        <v>205</v>
      </c>
      <c r="AD197" s="10" t="s">
        <v>6</v>
      </c>
      <c r="AE197" s="10">
        <v>2499</v>
      </c>
      <c r="AF197" s="11">
        <v>0</v>
      </c>
    </row>
    <row r="198" spans="29:32" x14ac:dyDescent="0.35">
      <c r="AC198" s="6" t="s">
        <v>206</v>
      </c>
      <c r="AD198" s="7" t="s">
        <v>6</v>
      </c>
      <c r="AE198" s="7">
        <v>5328</v>
      </c>
      <c r="AF198" s="8">
        <v>0</v>
      </c>
    </row>
    <row r="199" spans="29:32" x14ac:dyDescent="0.35">
      <c r="AC199" s="9" t="s">
        <v>207</v>
      </c>
      <c r="AD199" s="10" t="s">
        <v>6</v>
      </c>
      <c r="AE199" s="10">
        <v>2250</v>
      </c>
      <c r="AF199" s="11">
        <v>0</v>
      </c>
    </row>
    <row r="200" spans="29:32" x14ac:dyDescent="0.35">
      <c r="AC200" s="6" t="s">
        <v>208</v>
      </c>
      <c r="AD200" s="7" t="s">
        <v>6</v>
      </c>
      <c r="AE200" s="7">
        <v>2420</v>
      </c>
      <c r="AF200" s="8">
        <v>0</v>
      </c>
    </row>
    <row r="201" spans="29:32" x14ac:dyDescent="0.35">
      <c r="AC201" s="9" t="s">
        <v>209</v>
      </c>
      <c r="AD201" s="10" t="s">
        <v>6</v>
      </c>
      <c r="AE201" s="10">
        <v>1897</v>
      </c>
      <c r="AF201" s="11">
        <v>0</v>
      </c>
    </row>
    <row r="202" spans="29:32" x14ac:dyDescent="0.35">
      <c r="AC202" s="6" t="s">
        <v>210</v>
      </c>
      <c r="AD202" s="7" t="s">
        <v>6</v>
      </c>
      <c r="AE202" s="7">
        <v>5054</v>
      </c>
      <c r="AF202" s="8">
        <v>0</v>
      </c>
    </row>
    <row r="203" spans="29:32" x14ac:dyDescent="0.35">
      <c r="AC203" s="9" t="s">
        <v>211</v>
      </c>
      <c r="AD203" s="10" t="s">
        <v>6</v>
      </c>
      <c r="AE203" s="10">
        <v>4353</v>
      </c>
      <c r="AF203" s="11">
        <v>0</v>
      </c>
    </row>
    <row r="204" spans="29:32" x14ac:dyDescent="0.35">
      <c r="AC204" s="6" t="s">
        <v>212</v>
      </c>
      <c r="AD204" s="7" t="s">
        <v>172</v>
      </c>
      <c r="AE204" s="7">
        <v>3138</v>
      </c>
      <c r="AF204" s="8">
        <v>0</v>
      </c>
    </row>
    <row r="205" spans="29:32" x14ac:dyDescent="0.35">
      <c r="AC205" s="9" t="s">
        <v>213</v>
      </c>
      <c r="AD205" s="10" t="s">
        <v>161</v>
      </c>
      <c r="AE205" s="10">
        <v>2301</v>
      </c>
      <c r="AF205" s="11">
        <v>0</v>
      </c>
    </row>
    <row r="206" spans="29:32" x14ac:dyDescent="0.35">
      <c r="AC206" s="6" t="s">
        <v>214</v>
      </c>
      <c r="AD206" s="7" t="s">
        <v>6</v>
      </c>
      <c r="AE206" s="7">
        <v>5888</v>
      </c>
      <c r="AF206" s="8">
        <v>0</v>
      </c>
    </row>
    <row r="207" spans="29:32" x14ac:dyDescent="0.35">
      <c r="AC207" s="9" t="s">
        <v>215</v>
      </c>
      <c r="AD207" s="10" t="s">
        <v>6</v>
      </c>
      <c r="AE207" s="10">
        <v>2614</v>
      </c>
      <c r="AF207" s="11">
        <v>0</v>
      </c>
    </row>
    <row r="208" spans="29:32" x14ac:dyDescent="0.35">
      <c r="AC208" s="6" t="s">
        <v>216</v>
      </c>
      <c r="AD208" s="7" t="s">
        <v>6</v>
      </c>
      <c r="AE208" s="7">
        <v>6034</v>
      </c>
      <c r="AF208" s="8">
        <v>0</v>
      </c>
    </row>
    <row r="209" spans="29:32" x14ac:dyDescent="0.35">
      <c r="AC209" s="9" t="s">
        <v>217</v>
      </c>
      <c r="AD209" s="10" t="s">
        <v>6</v>
      </c>
      <c r="AE209" s="10">
        <v>2505</v>
      </c>
      <c r="AF209" s="11">
        <v>0</v>
      </c>
    </row>
    <row r="210" spans="29:32" x14ac:dyDescent="0.35">
      <c r="AC210" s="6" t="s">
        <v>218</v>
      </c>
      <c r="AD210" s="7" t="s">
        <v>6</v>
      </c>
      <c r="AE210" s="7">
        <v>5209</v>
      </c>
      <c r="AF210" s="8">
        <v>0</v>
      </c>
    </row>
    <row r="211" spans="29:32" x14ac:dyDescent="0.35">
      <c r="AC211" s="9" t="s">
        <v>219</v>
      </c>
      <c r="AD211" s="10" t="s">
        <v>6</v>
      </c>
      <c r="AE211" s="10">
        <v>2493</v>
      </c>
      <c r="AF211" s="11">
        <v>0</v>
      </c>
    </row>
    <row r="212" spans="29:32" x14ac:dyDescent="0.35">
      <c r="AC212" s="6" t="s">
        <v>220</v>
      </c>
      <c r="AD212" s="7" t="s">
        <v>6</v>
      </c>
      <c r="AE212" s="7">
        <v>3331</v>
      </c>
      <c r="AF212" s="8">
        <v>0</v>
      </c>
    </row>
    <row r="213" spans="29:32" x14ac:dyDescent="0.35">
      <c r="AC213" s="9" t="s">
        <v>221</v>
      </c>
      <c r="AD213" s="10" t="s">
        <v>222</v>
      </c>
      <c r="AE213" s="10">
        <v>2565</v>
      </c>
      <c r="AF213" s="11">
        <v>0</v>
      </c>
    </row>
    <row r="214" spans="29:32" x14ac:dyDescent="0.35">
      <c r="AC214" s="6" t="s">
        <v>223</v>
      </c>
      <c r="AD214" s="7" t="s">
        <v>6</v>
      </c>
      <c r="AE214" s="7">
        <v>2136</v>
      </c>
      <c r="AF214" s="8">
        <v>0</v>
      </c>
    </row>
    <row r="215" spans="29:32" x14ac:dyDescent="0.35">
      <c r="AC215" s="9" t="s">
        <v>224</v>
      </c>
      <c r="AD215" s="10" t="s">
        <v>6</v>
      </c>
      <c r="AE215" s="10">
        <v>5393</v>
      </c>
      <c r="AF215" s="11">
        <v>0</v>
      </c>
    </row>
    <row r="216" spans="29:32" x14ac:dyDescent="0.35">
      <c r="AC216" s="6" t="s">
        <v>225</v>
      </c>
      <c r="AD216" s="7" t="s">
        <v>6</v>
      </c>
      <c r="AE216" s="7">
        <v>3265</v>
      </c>
      <c r="AF216" s="8">
        <v>0</v>
      </c>
    </row>
    <row r="217" spans="29:32" x14ac:dyDescent="0.35">
      <c r="AC217" s="9" t="s">
        <v>226</v>
      </c>
      <c r="AD217" s="10" t="s">
        <v>6</v>
      </c>
      <c r="AE217" s="10">
        <v>2454</v>
      </c>
      <c r="AF217" s="11">
        <v>0</v>
      </c>
    </row>
    <row r="218" spans="29:32" x14ac:dyDescent="0.35">
      <c r="AC218" s="6" t="s">
        <v>227</v>
      </c>
      <c r="AD218" s="7" t="s">
        <v>6</v>
      </c>
      <c r="AE218" s="7">
        <v>2019</v>
      </c>
      <c r="AF218" s="8">
        <v>0</v>
      </c>
    </row>
    <row r="219" spans="29:32" x14ac:dyDescent="0.35">
      <c r="AC219" s="9" t="s">
        <v>228</v>
      </c>
      <c r="AD219" s="10" t="s">
        <v>6</v>
      </c>
      <c r="AE219" s="10">
        <v>6431</v>
      </c>
      <c r="AF219" s="11">
        <v>0</v>
      </c>
    </row>
    <row r="220" spans="29:32" x14ac:dyDescent="0.35">
      <c r="AC220" s="6" t="s">
        <v>229</v>
      </c>
      <c r="AD220" s="7" t="s">
        <v>6</v>
      </c>
      <c r="AE220" s="7">
        <v>5230</v>
      </c>
      <c r="AF220" s="8">
        <v>0</v>
      </c>
    </row>
    <row r="221" spans="29:32" x14ac:dyDescent="0.35">
      <c r="AC221" s="9" t="s">
        <v>230</v>
      </c>
      <c r="AD221" s="10" t="s">
        <v>6</v>
      </c>
      <c r="AE221" s="10">
        <v>2018</v>
      </c>
      <c r="AF221" s="11">
        <v>0</v>
      </c>
    </row>
    <row r="222" spans="29:32" x14ac:dyDescent="0.35">
      <c r="AC222" s="6" t="s">
        <v>231</v>
      </c>
      <c r="AD222" s="7" t="s">
        <v>6</v>
      </c>
      <c r="AE222" s="7">
        <v>3162</v>
      </c>
      <c r="AF222" s="8">
        <v>0</v>
      </c>
    </row>
    <row r="223" spans="29:32" x14ac:dyDescent="0.35">
      <c r="AC223" s="9" t="s">
        <v>232</v>
      </c>
      <c r="AD223" s="10" t="s">
        <v>6</v>
      </c>
      <c r="AE223" s="10">
        <v>2021</v>
      </c>
      <c r="AF223" s="11">
        <v>0</v>
      </c>
    </row>
    <row r="224" spans="29:32" x14ac:dyDescent="0.35">
      <c r="AC224" s="6" t="s">
        <v>233</v>
      </c>
      <c r="AD224" s="7" t="s">
        <v>6</v>
      </c>
      <c r="AE224" s="7">
        <v>2533</v>
      </c>
      <c r="AF224" s="8">
        <v>0</v>
      </c>
    </row>
    <row r="225" spans="29:32" x14ac:dyDescent="0.35">
      <c r="AC225" s="9" t="s">
        <v>234</v>
      </c>
      <c r="AD225" s="10" t="s">
        <v>6</v>
      </c>
      <c r="AE225" s="10">
        <v>3853</v>
      </c>
      <c r="AF225" s="11">
        <v>0</v>
      </c>
    </row>
    <row r="226" spans="29:32" x14ac:dyDescent="0.35">
      <c r="AC226" s="6" t="s">
        <v>235</v>
      </c>
      <c r="AD226" s="7" t="s">
        <v>107</v>
      </c>
      <c r="AE226" s="7">
        <v>2817</v>
      </c>
      <c r="AF226" s="8">
        <v>0</v>
      </c>
    </row>
    <row r="227" spans="29:32" x14ac:dyDescent="0.35">
      <c r="AC227" s="9" t="s">
        <v>236</v>
      </c>
      <c r="AD227" s="10" t="s">
        <v>6</v>
      </c>
      <c r="AE227" s="10">
        <v>2901</v>
      </c>
      <c r="AF227" s="11">
        <v>0</v>
      </c>
    </row>
    <row r="228" spans="29:32" x14ac:dyDescent="0.35">
      <c r="AC228" s="6" t="s">
        <v>237</v>
      </c>
      <c r="AD228" s="7" t="s">
        <v>6</v>
      </c>
      <c r="AE228" s="7">
        <v>2316</v>
      </c>
      <c r="AF228" s="8">
        <v>0</v>
      </c>
    </row>
    <row r="229" spans="29:32" x14ac:dyDescent="0.35">
      <c r="AC229" s="9" t="s">
        <v>238</v>
      </c>
      <c r="AD229" s="10" t="s">
        <v>6</v>
      </c>
      <c r="AE229" s="10">
        <v>2095</v>
      </c>
      <c r="AF229" s="11">
        <v>0</v>
      </c>
    </row>
    <row r="230" spans="29:32" x14ac:dyDescent="0.35">
      <c r="AC230" s="6" t="s">
        <v>239</v>
      </c>
      <c r="AD230" s="7" t="s">
        <v>6</v>
      </c>
      <c r="AE230" s="7">
        <v>3746</v>
      </c>
      <c r="AF230" s="8">
        <v>0</v>
      </c>
    </row>
    <row r="231" spans="29:32" x14ac:dyDescent="0.35">
      <c r="AC231" s="9" t="s">
        <v>240</v>
      </c>
      <c r="AD231" s="10" t="s">
        <v>6</v>
      </c>
      <c r="AE231" s="10">
        <v>2094</v>
      </c>
      <c r="AF231" s="11">
        <v>0</v>
      </c>
    </row>
    <row r="232" spans="29:32" x14ac:dyDescent="0.35">
      <c r="AC232" s="6" t="s">
        <v>241</v>
      </c>
      <c r="AD232" s="7" t="s">
        <v>6</v>
      </c>
      <c r="AE232" s="7">
        <v>5843</v>
      </c>
      <c r="AF232" s="8">
        <v>0</v>
      </c>
    </row>
    <row r="233" spans="29:32" x14ac:dyDescent="0.35">
      <c r="AC233" s="9" t="s">
        <v>242</v>
      </c>
      <c r="AD233" s="10" t="s">
        <v>6</v>
      </c>
      <c r="AE233" s="10">
        <v>2127</v>
      </c>
      <c r="AF233" s="11">
        <v>0</v>
      </c>
    </row>
    <row r="234" spans="29:32" x14ac:dyDescent="0.35">
      <c r="AC234" s="6" t="s">
        <v>243</v>
      </c>
      <c r="AD234" s="7" t="s">
        <v>6</v>
      </c>
      <c r="AE234" s="7">
        <v>6809</v>
      </c>
      <c r="AF234" s="8">
        <v>0</v>
      </c>
    </row>
    <row r="235" spans="29:32" x14ac:dyDescent="0.35">
      <c r="AC235" s="9" t="s">
        <v>244</v>
      </c>
      <c r="AD235" s="10" t="s">
        <v>245</v>
      </c>
      <c r="AE235" s="10">
        <v>2695</v>
      </c>
      <c r="AF235" s="11">
        <v>0</v>
      </c>
    </row>
    <row r="236" spans="29:32" x14ac:dyDescent="0.35">
      <c r="AC236" s="6" t="s">
        <v>246</v>
      </c>
      <c r="AD236" s="7" t="s">
        <v>6</v>
      </c>
      <c r="AE236" s="7">
        <v>2317</v>
      </c>
      <c r="AF236" s="8">
        <v>0</v>
      </c>
    </row>
    <row r="237" spans="29:32" x14ac:dyDescent="0.35">
      <c r="AC237" s="9" t="s">
        <v>247</v>
      </c>
      <c r="AD237" s="10" t="s">
        <v>6</v>
      </c>
      <c r="AE237" s="10">
        <v>3054</v>
      </c>
      <c r="AF237" s="11">
        <v>0</v>
      </c>
    </row>
    <row r="238" spans="29:32" x14ac:dyDescent="0.35">
      <c r="AC238" s="6" t="s">
        <v>248</v>
      </c>
      <c r="AD238" s="7" t="s">
        <v>245</v>
      </c>
      <c r="AE238" s="7">
        <v>2128</v>
      </c>
      <c r="AF238" s="8">
        <v>0</v>
      </c>
    </row>
    <row r="239" spans="29:32" x14ac:dyDescent="0.35">
      <c r="AC239" s="9" t="s">
        <v>249</v>
      </c>
      <c r="AD239" s="10" t="s">
        <v>6</v>
      </c>
      <c r="AE239" s="10">
        <v>2129</v>
      </c>
      <c r="AF239" s="11">
        <v>0</v>
      </c>
    </row>
    <row r="240" spans="29:32" x14ac:dyDescent="0.35">
      <c r="AC240" s="6" t="s">
        <v>250</v>
      </c>
      <c r="AD240" s="7" t="s">
        <v>6</v>
      </c>
      <c r="AE240" s="7">
        <v>2673</v>
      </c>
      <c r="AF240" s="8">
        <v>0</v>
      </c>
    </row>
    <row r="241" spans="29:32" x14ac:dyDescent="0.35">
      <c r="AC241" s="9" t="s">
        <v>251</v>
      </c>
      <c r="AD241" s="10" t="s">
        <v>6</v>
      </c>
      <c r="AE241" s="10">
        <v>3339</v>
      </c>
      <c r="AF241" s="11">
        <v>0</v>
      </c>
    </row>
    <row r="242" spans="29:32" x14ac:dyDescent="0.35">
      <c r="AC242" s="6" t="s">
        <v>252</v>
      </c>
      <c r="AD242" s="7" t="s">
        <v>6</v>
      </c>
      <c r="AE242" s="7">
        <v>2076</v>
      </c>
      <c r="AF242" s="8">
        <v>19.899999999999999</v>
      </c>
    </row>
    <row r="243" spans="29:32" x14ac:dyDescent="0.35">
      <c r="AC243" s="9" t="s">
        <v>253</v>
      </c>
      <c r="AD243" s="10" t="s">
        <v>6</v>
      </c>
      <c r="AE243" s="10">
        <v>2507</v>
      </c>
      <c r="AF243" s="11">
        <v>0</v>
      </c>
    </row>
    <row r="244" spans="29:32" x14ac:dyDescent="0.35">
      <c r="AC244" s="6" t="s">
        <v>254</v>
      </c>
      <c r="AD244" s="7" t="s">
        <v>255</v>
      </c>
      <c r="AE244" s="7">
        <v>2122</v>
      </c>
      <c r="AF244" s="8">
        <v>0</v>
      </c>
    </row>
    <row r="245" spans="29:32" x14ac:dyDescent="0.35">
      <c r="AC245" s="9" t="s">
        <v>256</v>
      </c>
      <c r="AD245" s="10" t="s">
        <v>6</v>
      </c>
      <c r="AE245" s="10">
        <v>2344</v>
      </c>
      <c r="AF245" s="11">
        <v>0</v>
      </c>
    </row>
    <row r="246" spans="29:32" x14ac:dyDescent="0.35">
      <c r="AC246" s="6" t="s">
        <v>257</v>
      </c>
      <c r="AD246" s="7" t="s">
        <v>6</v>
      </c>
      <c r="AE246" s="7">
        <v>2568</v>
      </c>
      <c r="AF246" s="8">
        <v>0</v>
      </c>
    </row>
    <row r="247" spans="29:32" x14ac:dyDescent="0.35">
      <c r="AC247" s="9" t="s">
        <v>258</v>
      </c>
      <c r="AD247" s="10" t="s">
        <v>6</v>
      </c>
      <c r="AE247" s="10">
        <v>2627</v>
      </c>
      <c r="AF247" s="11">
        <v>0</v>
      </c>
    </row>
    <row r="248" spans="29:32" x14ac:dyDescent="0.35">
      <c r="AC248" s="6" t="s">
        <v>259</v>
      </c>
      <c r="AD248" s="7" t="s">
        <v>19</v>
      </c>
      <c r="AE248" s="7">
        <v>2123</v>
      </c>
      <c r="AF248" s="8">
        <v>5.99</v>
      </c>
    </row>
    <row r="249" spans="29:32" x14ac:dyDescent="0.35">
      <c r="AC249" s="9" t="s">
        <v>260</v>
      </c>
      <c r="AD249" s="10" t="s">
        <v>6</v>
      </c>
      <c r="AE249" s="10">
        <v>6488</v>
      </c>
      <c r="AF249" s="11">
        <v>39.9</v>
      </c>
    </row>
    <row r="250" spans="29:32" x14ac:dyDescent="0.35">
      <c r="AC250" s="6" t="s">
        <v>261</v>
      </c>
      <c r="AD250" s="7" t="s">
        <v>7</v>
      </c>
      <c r="AE250" s="7">
        <v>335553</v>
      </c>
      <c r="AF250" s="8">
        <v>1.99</v>
      </c>
    </row>
    <row r="251" spans="29:32" x14ac:dyDescent="0.35">
      <c r="AC251" s="9" t="s">
        <v>262</v>
      </c>
      <c r="AD251" s="10" t="s">
        <v>263</v>
      </c>
      <c r="AE251" s="10">
        <v>2163</v>
      </c>
      <c r="AF251" s="11">
        <v>0</v>
      </c>
    </row>
    <row r="252" spans="29:32" x14ac:dyDescent="0.35">
      <c r="AC252" s="6" t="s">
        <v>264</v>
      </c>
      <c r="AD252" s="7" t="s">
        <v>6</v>
      </c>
      <c r="AE252" s="7">
        <v>2023</v>
      </c>
      <c r="AF252" s="8">
        <v>0</v>
      </c>
    </row>
    <row r="253" spans="29:32" x14ac:dyDescent="0.35">
      <c r="AC253" s="9" t="s">
        <v>265</v>
      </c>
      <c r="AD253" s="10" t="s">
        <v>7</v>
      </c>
      <c r="AE253" s="10">
        <v>218467</v>
      </c>
      <c r="AF253" s="11">
        <v>0</v>
      </c>
    </row>
    <row r="254" spans="29:32" x14ac:dyDescent="0.35">
      <c r="AC254" s="6" t="s">
        <v>266</v>
      </c>
      <c r="AD254" s="7" t="s">
        <v>19</v>
      </c>
      <c r="AE254" s="7">
        <v>2699</v>
      </c>
      <c r="AF254" s="8">
        <v>0</v>
      </c>
    </row>
    <row r="255" spans="29:32" x14ac:dyDescent="0.35">
      <c r="AC255" s="9" t="s">
        <v>267</v>
      </c>
      <c r="AD255" s="10" t="s">
        <v>6</v>
      </c>
      <c r="AE255" s="10">
        <v>6456</v>
      </c>
      <c r="AF255" s="11">
        <v>39.9</v>
      </c>
    </row>
    <row r="256" spans="29:32" x14ac:dyDescent="0.35">
      <c r="AC256" s="6" t="s">
        <v>268</v>
      </c>
      <c r="AD256" s="7" t="s">
        <v>6</v>
      </c>
      <c r="AE256" s="7">
        <v>2506</v>
      </c>
      <c r="AF256" s="8">
        <v>0</v>
      </c>
    </row>
    <row r="257" spans="29:32" x14ac:dyDescent="0.35">
      <c r="AC257" s="9" t="s">
        <v>269</v>
      </c>
      <c r="AD257" s="10" t="s">
        <v>6</v>
      </c>
      <c r="AE257" s="10">
        <v>6457</v>
      </c>
      <c r="AF257" s="11">
        <v>29.9</v>
      </c>
    </row>
    <row r="258" spans="29:32" x14ac:dyDescent="0.35">
      <c r="AC258" s="6" t="s">
        <v>270</v>
      </c>
      <c r="AD258" s="7" t="s">
        <v>6</v>
      </c>
      <c r="AE258" s="7">
        <v>6521</v>
      </c>
      <c r="AF258" s="8">
        <v>29.9</v>
      </c>
    </row>
    <row r="259" spans="29:32" x14ac:dyDescent="0.35">
      <c r="AC259" s="9" t="s">
        <v>271</v>
      </c>
      <c r="AD259" s="10" t="s">
        <v>6</v>
      </c>
      <c r="AE259" s="10">
        <v>2482</v>
      </c>
      <c r="AF259" s="11">
        <v>0</v>
      </c>
    </row>
    <row r="260" spans="29:32" x14ac:dyDescent="0.35">
      <c r="AC260" s="6" t="s">
        <v>272</v>
      </c>
      <c r="AD260" s="7" t="s">
        <v>6</v>
      </c>
      <c r="AE260" s="7">
        <v>6177</v>
      </c>
      <c r="AF260" s="8">
        <v>39.9</v>
      </c>
    </row>
    <row r="261" spans="29:32" x14ac:dyDescent="0.35">
      <c r="AC261" s="9" t="s">
        <v>273</v>
      </c>
      <c r="AD261" s="10" t="s">
        <v>6</v>
      </c>
      <c r="AE261" s="10">
        <v>5962</v>
      </c>
      <c r="AF261" s="11">
        <v>0</v>
      </c>
    </row>
    <row r="262" spans="29:32" x14ac:dyDescent="0.35">
      <c r="AC262" s="6" t="s">
        <v>274</v>
      </c>
      <c r="AD262" s="7" t="s">
        <v>6</v>
      </c>
      <c r="AE262" s="7">
        <v>5527</v>
      </c>
      <c r="AF262" s="8">
        <v>29.9</v>
      </c>
    </row>
    <row r="263" spans="29:32" x14ac:dyDescent="0.35">
      <c r="AC263" s="9" t="s">
        <v>275</v>
      </c>
      <c r="AD263" s="10" t="s">
        <v>6</v>
      </c>
      <c r="AE263" s="10">
        <v>2096</v>
      </c>
      <c r="AF263" s="11">
        <v>0</v>
      </c>
    </row>
    <row r="264" spans="29:32" x14ac:dyDescent="0.35">
      <c r="AC264" s="6" t="s">
        <v>276</v>
      </c>
      <c r="AD264" s="7" t="s">
        <v>6</v>
      </c>
      <c r="AE264" s="7">
        <v>2137</v>
      </c>
      <c r="AF264" s="8">
        <v>0</v>
      </c>
    </row>
    <row r="265" spans="29:32" x14ac:dyDescent="0.35">
      <c r="AC265" s="9" t="s">
        <v>277</v>
      </c>
      <c r="AD265" s="10" t="s">
        <v>6</v>
      </c>
      <c r="AE265" s="10">
        <v>6447</v>
      </c>
      <c r="AF265" s="11">
        <v>19.899999999999999</v>
      </c>
    </row>
    <row r="266" spans="29:32" x14ac:dyDescent="0.35">
      <c r="AC266" s="6" t="s">
        <v>278</v>
      </c>
      <c r="AD266" s="7" t="s">
        <v>6</v>
      </c>
      <c r="AE266" s="7">
        <v>7891132009305</v>
      </c>
      <c r="AF266" s="8">
        <v>0</v>
      </c>
    </row>
    <row r="267" spans="29:32" x14ac:dyDescent="0.35">
      <c r="AC267" s="9" t="s">
        <v>279</v>
      </c>
      <c r="AD267" s="10" t="s">
        <v>6</v>
      </c>
      <c r="AE267" s="10">
        <v>6463</v>
      </c>
      <c r="AF267" s="11">
        <v>39.9</v>
      </c>
    </row>
    <row r="268" spans="29:32" x14ac:dyDescent="0.35">
      <c r="AC268" s="6" t="s">
        <v>280</v>
      </c>
      <c r="AD268" s="7" t="s">
        <v>6</v>
      </c>
      <c r="AE268" s="7">
        <v>5987</v>
      </c>
      <c r="AF268" s="8">
        <v>0</v>
      </c>
    </row>
    <row r="269" spans="29:32" x14ac:dyDescent="0.35">
      <c r="AC269" s="9" t="s">
        <v>281</v>
      </c>
      <c r="AD269" s="10" t="s">
        <v>6</v>
      </c>
      <c r="AE269" s="10">
        <v>2238</v>
      </c>
      <c r="AF269" s="11">
        <v>10.08</v>
      </c>
    </row>
    <row r="270" spans="29:32" x14ac:dyDescent="0.35">
      <c r="AC270" s="6" t="s">
        <v>282</v>
      </c>
      <c r="AD270" s="7" t="s">
        <v>6</v>
      </c>
      <c r="AE270" s="7">
        <v>2126</v>
      </c>
      <c r="AF270" s="8">
        <v>0</v>
      </c>
    </row>
    <row r="271" spans="29:32" x14ac:dyDescent="0.35">
      <c r="AC271" s="9" t="s">
        <v>283</v>
      </c>
      <c r="AD271" s="10" t="s">
        <v>6</v>
      </c>
      <c r="AE271" s="10">
        <v>2349</v>
      </c>
      <c r="AF271" s="11">
        <v>0</v>
      </c>
    </row>
    <row r="272" spans="29:32" x14ac:dyDescent="0.35">
      <c r="AC272" s="6" t="s">
        <v>284</v>
      </c>
      <c r="AD272" s="7" t="s">
        <v>6</v>
      </c>
      <c r="AE272" s="7">
        <v>2083</v>
      </c>
      <c r="AF272" s="8">
        <v>0</v>
      </c>
    </row>
    <row r="273" spans="29:32" x14ac:dyDescent="0.35">
      <c r="AC273" s="9" t="s">
        <v>285</v>
      </c>
      <c r="AD273" s="10" t="s">
        <v>6</v>
      </c>
      <c r="AE273" s="10">
        <v>3084</v>
      </c>
      <c r="AF273" s="11">
        <v>0</v>
      </c>
    </row>
    <row r="274" spans="29:32" x14ac:dyDescent="0.35">
      <c r="AC274" s="6" t="s">
        <v>286</v>
      </c>
      <c r="AD274" s="7" t="s">
        <v>6</v>
      </c>
      <c r="AE274" s="7">
        <v>2803</v>
      </c>
      <c r="AF274" s="8">
        <v>0</v>
      </c>
    </row>
    <row r="275" spans="29:32" x14ac:dyDescent="0.35">
      <c r="AC275" s="9" t="s">
        <v>287</v>
      </c>
      <c r="AD275" s="10" t="s">
        <v>6</v>
      </c>
      <c r="AE275" s="10">
        <v>7524</v>
      </c>
      <c r="AF275" s="11">
        <v>145</v>
      </c>
    </row>
    <row r="276" spans="29:32" x14ac:dyDescent="0.35">
      <c r="AC276" s="6" t="s">
        <v>288</v>
      </c>
      <c r="AD276" s="7" t="s">
        <v>6</v>
      </c>
      <c r="AE276" s="7">
        <v>2566</v>
      </c>
      <c r="AF276" s="8">
        <v>0</v>
      </c>
    </row>
    <row r="277" spans="29:32" x14ac:dyDescent="0.35">
      <c r="AC277" s="12" t="s">
        <v>289</v>
      </c>
      <c r="AD277" s="13" t="s">
        <v>7</v>
      </c>
      <c r="AE277" s="13">
        <v>297851</v>
      </c>
      <c r="AF277" s="14">
        <v>0</v>
      </c>
    </row>
    <row r="278" spans="29:32" x14ac:dyDescent="0.35">
      <c r="AC278" s="6" t="s">
        <v>290</v>
      </c>
      <c r="AD278" s="7" t="s">
        <v>6</v>
      </c>
      <c r="AE278" s="7">
        <v>2223</v>
      </c>
      <c r="AF278" s="8">
        <v>6</v>
      </c>
    </row>
    <row r="279" spans="29:32" x14ac:dyDescent="0.35">
      <c r="AC279" s="9" t="s">
        <v>291</v>
      </c>
      <c r="AD279" s="10" t="s">
        <v>7</v>
      </c>
      <c r="AE279" s="10">
        <v>214803</v>
      </c>
      <c r="AF279" s="11">
        <v>0</v>
      </c>
    </row>
    <row r="280" spans="29:32" x14ac:dyDescent="0.35">
      <c r="AC280" s="6" t="s">
        <v>292</v>
      </c>
      <c r="AD280" s="7" t="s">
        <v>6</v>
      </c>
      <c r="AE280" s="7">
        <v>6474</v>
      </c>
      <c r="AF280" s="8">
        <v>25.39</v>
      </c>
    </row>
    <row r="281" spans="29:32" x14ac:dyDescent="0.35">
      <c r="AC281" s="9" t="s">
        <v>293</v>
      </c>
      <c r="AD281" s="10" t="s">
        <v>294</v>
      </c>
      <c r="AE281" s="10">
        <v>2224</v>
      </c>
      <c r="AF281" s="11">
        <v>0</v>
      </c>
    </row>
    <row r="282" spans="29:32" x14ac:dyDescent="0.35">
      <c r="AC282" s="6" t="s">
        <v>295</v>
      </c>
      <c r="AD282" s="7" t="s">
        <v>6</v>
      </c>
      <c r="AE282" s="7">
        <v>2366</v>
      </c>
      <c r="AF282" s="8">
        <v>0</v>
      </c>
    </row>
    <row r="283" spans="29:32" x14ac:dyDescent="0.35">
      <c r="AC283" s="9" t="s">
        <v>296</v>
      </c>
      <c r="AD283" s="10" t="s">
        <v>6</v>
      </c>
      <c r="AE283" s="10">
        <v>5980</v>
      </c>
      <c r="AF283" s="11">
        <v>0</v>
      </c>
    </row>
    <row r="284" spans="29:32" x14ac:dyDescent="0.35">
      <c r="AC284" s="6" t="s">
        <v>297</v>
      </c>
      <c r="AD284" s="7" t="s">
        <v>6</v>
      </c>
      <c r="AE284" s="7">
        <v>2225</v>
      </c>
      <c r="AF284" s="8">
        <v>29.9</v>
      </c>
    </row>
    <row r="285" spans="29:32" x14ac:dyDescent="0.35">
      <c r="AC285" s="9" t="s">
        <v>298</v>
      </c>
      <c r="AD285" s="10" t="s">
        <v>6</v>
      </c>
      <c r="AE285" s="10">
        <v>2436</v>
      </c>
      <c r="AF285" s="11">
        <v>0</v>
      </c>
    </row>
    <row r="286" spans="29:32" x14ac:dyDescent="0.35">
      <c r="AC286" s="6" t="s">
        <v>299</v>
      </c>
      <c r="AD286" s="7" t="s">
        <v>6</v>
      </c>
      <c r="AE286" s="7">
        <v>2437</v>
      </c>
      <c r="AF286" s="8">
        <v>0</v>
      </c>
    </row>
    <row r="287" spans="29:32" x14ac:dyDescent="0.35">
      <c r="AC287" s="9" t="s">
        <v>300</v>
      </c>
      <c r="AD287" s="10" t="s">
        <v>6</v>
      </c>
      <c r="AE287" s="10">
        <v>4785</v>
      </c>
      <c r="AF287" s="11">
        <v>0</v>
      </c>
    </row>
    <row r="288" spans="29:32" x14ac:dyDescent="0.35">
      <c r="AC288" s="6" t="s">
        <v>301</v>
      </c>
      <c r="AD288" s="7" t="s">
        <v>6</v>
      </c>
      <c r="AE288" s="7">
        <v>5847</v>
      </c>
      <c r="AF288" s="8">
        <v>23.2</v>
      </c>
    </row>
    <row r="289" spans="29:32" x14ac:dyDescent="0.35">
      <c r="AC289" s="9" t="s">
        <v>302</v>
      </c>
      <c r="AD289" s="10" t="s">
        <v>6</v>
      </c>
      <c r="AE289" s="10">
        <v>4025</v>
      </c>
      <c r="AF289" s="11">
        <v>0</v>
      </c>
    </row>
    <row r="290" spans="29:32" x14ac:dyDescent="0.35">
      <c r="AC290" s="6" t="s">
        <v>303</v>
      </c>
      <c r="AD290" s="7" t="s">
        <v>6</v>
      </c>
      <c r="AE290" s="7">
        <v>2735</v>
      </c>
      <c r="AF290" s="8">
        <v>0</v>
      </c>
    </row>
    <row r="291" spans="29:32" x14ac:dyDescent="0.35">
      <c r="AC291" s="9" t="s">
        <v>304</v>
      </c>
      <c r="AD291" s="10" t="s">
        <v>6</v>
      </c>
      <c r="AE291" s="10">
        <v>2457</v>
      </c>
      <c r="AF291" s="11">
        <v>0</v>
      </c>
    </row>
    <row r="292" spans="29:32" x14ac:dyDescent="0.35">
      <c r="AC292" s="6" t="s">
        <v>305</v>
      </c>
      <c r="AD292" s="7" t="s">
        <v>6</v>
      </c>
      <c r="AE292" s="7">
        <v>3146</v>
      </c>
      <c r="AF292" s="8">
        <v>0</v>
      </c>
    </row>
    <row r="293" spans="29:32" x14ac:dyDescent="0.35">
      <c r="AC293" s="9" t="s">
        <v>306</v>
      </c>
      <c r="AD293" s="10" t="s">
        <v>6</v>
      </c>
      <c r="AE293" s="10">
        <v>7898598810582</v>
      </c>
      <c r="AF293" s="11">
        <v>51.9</v>
      </c>
    </row>
    <row r="294" spans="29:32" x14ac:dyDescent="0.35">
      <c r="AC294" s="6" t="s">
        <v>307</v>
      </c>
      <c r="AD294" s="7" t="s">
        <v>6</v>
      </c>
      <c r="AE294" s="7">
        <v>2097</v>
      </c>
      <c r="AF294" s="8">
        <v>0</v>
      </c>
    </row>
    <row r="295" spans="29:32" x14ac:dyDescent="0.35">
      <c r="AC295" s="9" t="s">
        <v>308</v>
      </c>
      <c r="AD295" s="10" t="s">
        <v>6</v>
      </c>
      <c r="AE295" s="10">
        <v>2691</v>
      </c>
      <c r="AF295" s="11">
        <v>0</v>
      </c>
    </row>
    <row r="296" spans="29:32" x14ac:dyDescent="0.35">
      <c r="AC296" s="6" t="s">
        <v>309</v>
      </c>
      <c r="AD296" s="7" t="s">
        <v>6</v>
      </c>
      <c r="AE296" s="7">
        <v>2084</v>
      </c>
      <c r="AF296" s="8">
        <v>0</v>
      </c>
    </row>
    <row r="297" spans="29:32" x14ac:dyDescent="0.35">
      <c r="AC297" s="9" t="s">
        <v>310</v>
      </c>
      <c r="AD297" s="10" t="s">
        <v>6</v>
      </c>
      <c r="AE297" s="10">
        <v>2226</v>
      </c>
      <c r="AF297" s="11">
        <v>8.5</v>
      </c>
    </row>
    <row r="298" spans="29:32" x14ac:dyDescent="0.35">
      <c r="AC298" s="6" t="s">
        <v>311</v>
      </c>
      <c r="AD298" s="7" t="s">
        <v>6</v>
      </c>
      <c r="AE298" s="7">
        <v>4881</v>
      </c>
      <c r="AF298" s="8">
        <v>0</v>
      </c>
    </row>
    <row r="299" spans="29:32" x14ac:dyDescent="0.35">
      <c r="AC299" s="9" t="s">
        <v>312</v>
      </c>
      <c r="AD299" s="10" t="s">
        <v>6</v>
      </c>
      <c r="AE299" s="10">
        <v>2516</v>
      </c>
      <c r="AF299" s="11">
        <v>0</v>
      </c>
    </row>
    <row r="300" spans="29:32" x14ac:dyDescent="0.35">
      <c r="AC300" s="6" t="s">
        <v>313</v>
      </c>
      <c r="AD300" s="7" t="s">
        <v>6</v>
      </c>
      <c r="AE300" s="7">
        <v>2227</v>
      </c>
      <c r="AF300" s="8">
        <v>10.93</v>
      </c>
    </row>
    <row r="301" spans="29:32" x14ac:dyDescent="0.35">
      <c r="AC301" s="9" t="s">
        <v>314</v>
      </c>
      <c r="AD301" s="10" t="s">
        <v>6</v>
      </c>
      <c r="AE301" s="10">
        <v>2085</v>
      </c>
      <c r="AF301" s="11">
        <v>0</v>
      </c>
    </row>
    <row r="302" spans="29:32" x14ac:dyDescent="0.35">
      <c r="AC302" s="6" t="s">
        <v>315</v>
      </c>
      <c r="AD302" s="7" t="s">
        <v>6</v>
      </c>
      <c r="AE302" s="7">
        <v>2914</v>
      </c>
      <c r="AF302" s="8">
        <v>0</v>
      </c>
    </row>
    <row r="303" spans="29:32" x14ac:dyDescent="0.35">
      <c r="AC303" s="9" t="s">
        <v>316</v>
      </c>
      <c r="AD303" s="10" t="s">
        <v>6</v>
      </c>
      <c r="AE303" s="10">
        <v>6391</v>
      </c>
      <c r="AF303" s="11">
        <v>10.99</v>
      </c>
    </row>
    <row r="304" spans="29:32" x14ac:dyDescent="0.35">
      <c r="AC304" s="6" t="s">
        <v>317</v>
      </c>
      <c r="AD304" s="7" t="s">
        <v>6</v>
      </c>
      <c r="AE304" s="7">
        <v>2363</v>
      </c>
      <c r="AF304" s="8">
        <v>0</v>
      </c>
    </row>
    <row r="305" spans="29:32" x14ac:dyDescent="0.35">
      <c r="AC305" s="9" t="s">
        <v>318</v>
      </c>
      <c r="AD305" s="10" t="s">
        <v>6</v>
      </c>
      <c r="AE305" s="10">
        <v>2535</v>
      </c>
      <c r="AF305" s="11">
        <v>0</v>
      </c>
    </row>
    <row r="306" spans="29:32" x14ac:dyDescent="0.35">
      <c r="AC306" s="6" t="s">
        <v>319</v>
      </c>
      <c r="AD306" s="7" t="s">
        <v>6</v>
      </c>
      <c r="AE306" s="7">
        <v>2251</v>
      </c>
      <c r="AF306" s="8">
        <v>0</v>
      </c>
    </row>
    <row r="307" spans="29:32" x14ac:dyDescent="0.35">
      <c r="AC307" s="9" t="s">
        <v>320</v>
      </c>
      <c r="AD307" s="10" t="s">
        <v>6</v>
      </c>
      <c r="AE307" s="10">
        <v>3074</v>
      </c>
      <c r="AF307" s="11">
        <v>0</v>
      </c>
    </row>
    <row r="308" spans="29:32" x14ac:dyDescent="0.35">
      <c r="AC308" s="6" t="s">
        <v>321</v>
      </c>
      <c r="AD308" s="7" t="s">
        <v>6</v>
      </c>
      <c r="AE308" s="7">
        <v>2951</v>
      </c>
      <c r="AF308" s="8">
        <v>0</v>
      </c>
    </row>
    <row r="309" spans="29:32" x14ac:dyDescent="0.35">
      <c r="AC309" s="9" t="s">
        <v>322</v>
      </c>
      <c r="AD309" s="10" t="s">
        <v>6</v>
      </c>
      <c r="AE309" s="10">
        <v>2888</v>
      </c>
      <c r="AF309" s="11">
        <v>0</v>
      </c>
    </row>
    <row r="310" spans="29:32" x14ac:dyDescent="0.35">
      <c r="AC310" s="6" t="s">
        <v>323</v>
      </c>
      <c r="AD310" s="7" t="s">
        <v>6</v>
      </c>
      <c r="AE310" s="7">
        <v>2926</v>
      </c>
      <c r="AF310" s="8">
        <v>0</v>
      </c>
    </row>
    <row r="311" spans="29:32" x14ac:dyDescent="0.35">
      <c r="AC311" s="9" t="s">
        <v>324</v>
      </c>
      <c r="AD311" s="10" t="s">
        <v>6</v>
      </c>
      <c r="AE311" s="10">
        <v>2318</v>
      </c>
      <c r="AF311" s="11">
        <v>0</v>
      </c>
    </row>
    <row r="312" spans="29:32" x14ac:dyDescent="0.35">
      <c r="AC312" s="6" t="s">
        <v>325</v>
      </c>
      <c r="AD312" s="7" t="s">
        <v>6</v>
      </c>
      <c r="AE312" s="7">
        <v>2345</v>
      </c>
      <c r="AF312" s="8">
        <v>0</v>
      </c>
    </row>
    <row r="313" spans="29:32" x14ac:dyDescent="0.35">
      <c r="AC313" s="9" t="s">
        <v>326</v>
      </c>
      <c r="AD313" s="10" t="s">
        <v>6</v>
      </c>
      <c r="AE313" s="10">
        <v>2675</v>
      </c>
      <c r="AF313" s="11">
        <v>0</v>
      </c>
    </row>
    <row r="314" spans="29:32" x14ac:dyDescent="0.35">
      <c r="AC314" s="6" t="s">
        <v>327</v>
      </c>
      <c r="AD314" s="7" t="s">
        <v>6</v>
      </c>
      <c r="AE314" s="7">
        <v>3840</v>
      </c>
      <c r="AF314" s="8">
        <v>0</v>
      </c>
    </row>
    <row r="315" spans="29:32" x14ac:dyDescent="0.35">
      <c r="AC315" s="9" t="s">
        <v>328</v>
      </c>
      <c r="AD315" s="10" t="s">
        <v>6</v>
      </c>
      <c r="AE315" s="10">
        <v>4345</v>
      </c>
      <c r="AF315" s="11">
        <v>0</v>
      </c>
    </row>
    <row r="316" spans="29:32" x14ac:dyDescent="0.35">
      <c r="AC316" s="6" t="s">
        <v>329</v>
      </c>
      <c r="AD316" s="7" t="s">
        <v>6</v>
      </c>
      <c r="AE316" s="7">
        <v>2341</v>
      </c>
      <c r="AF316" s="8">
        <v>0</v>
      </c>
    </row>
    <row r="317" spans="29:32" x14ac:dyDescent="0.35">
      <c r="AC317" s="9" t="s">
        <v>330</v>
      </c>
      <c r="AD317" s="10" t="s">
        <v>6</v>
      </c>
      <c r="AE317" s="10">
        <v>6445</v>
      </c>
      <c r="AF317" s="11">
        <v>0</v>
      </c>
    </row>
    <row r="318" spans="29:32" x14ac:dyDescent="0.35">
      <c r="AC318" s="6" t="s">
        <v>331</v>
      </c>
      <c r="AD318" s="7" t="s">
        <v>6</v>
      </c>
      <c r="AE318" s="7">
        <v>2561</v>
      </c>
      <c r="AF318" s="8">
        <v>0</v>
      </c>
    </row>
    <row r="319" spans="29:32" x14ac:dyDescent="0.35">
      <c r="AC319" s="9" t="s">
        <v>332</v>
      </c>
      <c r="AD319" s="10" t="s">
        <v>6</v>
      </c>
      <c r="AE319" s="10">
        <v>2491</v>
      </c>
      <c r="AF319" s="11">
        <v>0</v>
      </c>
    </row>
    <row r="320" spans="29:32" x14ac:dyDescent="0.35">
      <c r="AC320" s="6" t="s">
        <v>333</v>
      </c>
      <c r="AD320" s="7" t="s">
        <v>6</v>
      </c>
      <c r="AE320" s="7">
        <v>2121</v>
      </c>
      <c r="AF320" s="8">
        <v>0</v>
      </c>
    </row>
    <row r="321" spans="29:32" x14ac:dyDescent="0.35">
      <c r="AC321" s="9" t="s">
        <v>334</v>
      </c>
      <c r="AD321" s="10" t="s">
        <v>6</v>
      </c>
      <c r="AE321" s="10">
        <v>3148</v>
      </c>
      <c r="AF321" s="11">
        <v>0</v>
      </c>
    </row>
    <row r="322" spans="29:32" x14ac:dyDescent="0.35">
      <c r="AC322" s="6" t="s">
        <v>335</v>
      </c>
      <c r="AD322" s="7" t="s">
        <v>6</v>
      </c>
      <c r="AE322" s="7">
        <v>5025</v>
      </c>
      <c r="AF322" s="8">
        <v>0</v>
      </c>
    </row>
    <row r="323" spans="29:32" x14ac:dyDescent="0.35">
      <c r="AC323" s="9" t="s">
        <v>336</v>
      </c>
      <c r="AD323" s="10" t="s">
        <v>6</v>
      </c>
      <c r="AE323" s="10">
        <v>2138</v>
      </c>
      <c r="AF323" s="11">
        <v>0</v>
      </c>
    </row>
    <row r="324" spans="29:32" x14ac:dyDescent="0.35">
      <c r="AC324" s="6" t="s">
        <v>337</v>
      </c>
      <c r="AD324" s="7" t="s">
        <v>6</v>
      </c>
      <c r="AE324" s="7">
        <v>2456</v>
      </c>
      <c r="AF324" s="8">
        <v>0</v>
      </c>
    </row>
    <row r="325" spans="29:32" x14ac:dyDescent="0.35">
      <c r="AC325" s="9" t="s">
        <v>338</v>
      </c>
      <c r="AD325" s="10" t="s">
        <v>6</v>
      </c>
      <c r="AE325" s="10">
        <v>2022</v>
      </c>
      <c r="AF325" s="11">
        <v>0</v>
      </c>
    </row>
    <row r="326" spans="29:32" x14ac:dyDescent="0.35">
      <c r="AC326" s="6" t="s">
        <v>339</v>
      </c>
      <c r="AD326" s="7" t="s">
        <v>6</v>
      </c>
      <c r="AE326" s="7">
        <v>1898</v>
      </c>
      <c r="AF326" s="8">
        <v>0</v>
      </c>
    </row>
    <row r="327" spans="29:32" x14ac:dyDescent="0.35">
      <c r="AC327" s="9" t="s">
        <v>340</v>
      </c>
      <c r="AD327" s="10" t="s">
        <v>6</v>
      </c>
      <c r="AE327" s="10">
        <v>2466</v>
      </c>
      <c r="AF327" s="11">
        <v>0</v>
      </c>
    </row>
    <row r="328" spans="29:32" x14ac:dyDescent="0.35">
      <c r="AC328" s="6" t="s">
        <v>341</v>
      </c>
      <c r="AD328" s="7" t="s">
        <v>6</v>
      </c>
      <c r="AE328" s="7">
        <v>4603</v>
      </c>
      <c r="AF328" s="8">
        <v>0</v>
      </c>
    </row>
    <row r="329" spans="29:32" x14ac:dyDescent="0.35">
      <c r="AC329" s="9" t="s">
        <v>342</v>
      </c>
      <c r="AD329" s="10" t="s">
        <v>6</v>
      </c>
      <c r="AE329" s="10">
        <v>5203</v>
      </c>
      <c r="AF329" s="11">
        <v>0</v>
      </c>
    </row>
    <row r="330" spans="29:32" x14ac:dyDescent="0.35">
      <c r="AC330" s="6" t="s">
        <v>343</v>
      </c>
      <c r="AD330" s="7" t="s">
        <v>6</v>
      </c>
      <c r="AE330" s="7">
        <v>2562</v>
      </c>
      <c r="AF330" s="8">
        <v>0</v>
      </c>
    </row>
    <row r="331" spans="29:32" x14ac:dyDescent="0.35">
      <c r="AC331" s="9" t="s">
        <v>344</v>
      </c>
      <c r="AD331" s="10" t="s">
        <v>6</v>
      </c>
      <c r="AE331" s="10">
        <v>2782</v>
      </c>
      <c r="AF331" s="11">
        <v>0</v>
      </c>
    </row>
    <row r="332" spans="29:32" x14ac:dyDescent="0.35">
      <c r="AC332" s="6" t="s">
        <v>345</v>
      </c>
      <c r="AD332" s="7" t="s">
        <v>6</v>
      </c>
      <c r="AE332" s="7">
        <v>2045</v>
      </c>
      <c r="AF332" s="8">
        <v>0</v>
      </c>
    </row>
    <row r="333" spans="29:32" x14ac:dyDescent="0.35">
      <c r="AC333" s="9" t="s">
        <v>346</v>
      </c>
      <c r="AD333" s="10" t="s">
        <v>6</v>
      </c>
      <c r="AE333" s="10">
        <v>6246</v>
      </c>
      <c r="AF333" s="11">
        <v>49.9</v>
      </c>
    </row>
    <row r="334" spans="29:32" x14ac:dyDescent="0.35">
      <c r="AC334" s="6" t="s">
        <v>347</v>
      </c>
      <c r="AD334" s="7" t="s">
        <v>6</v>
      </c>
      <c r="AE334" s="7">
        <v>3261</v>
      </c>
      <c r="AF334" s="8">
        <v>0</v>
      </c>
    </row>
    <row r="335" spans="29:32" x14ac:dyDescent="0.35">
      <c r="AC335" s="9" t="s">
        <v>348</v>
      </c>
      <c r="AD335" s="10" t="s">
        <v>6</v>
      </c>
      <c r="AE335" s="10">
        <v>4140</v>
      </c>
      <c r="AF335" s="11">
        <v>1</v>
      </c>
    </row>
    <row r="336" spans="29:32" x14ac:dyDescent="0.35">
      <c r="AC336" s="6" t="s">
        <v>349</v>
      </c>
      <c r="AD336" s="7" t="s">
        <v>222</v>
      </c>
      <c r="AE336" s="7">
        <v>2483</v>
      </c>
      <c r="AF336" s="8">
        <v>0</v>
      </c>
    </row>
    <row r="337" spans="29:32" x14ac:dyDescent="0.35">
      <c r="AC337" s="9" t="s">
        <v>350</v>
      </c>
      <c r="AD337" s="10" t="s">
        <v>6</v>
      </c>
      <c r="AE337" s="10">
        <v>3507</v>
      </c>
      <c r="AF337" s="11">
        <v>10.9</v>
      </c>
    </row>
    <row r="338" spans="29:32" x14ac:dyDescent="0.35">
      <c r="AC338" s="6" t="s">
        <v>351</v>
      </c>
      <c r="AD338" s="7" t="s">
        <v>6</v>
      </c>
      <c r="AE338" s="7">
        <v>6533</v>
      </c>
      <c r="AF338" s="8">
        <v>0</v>
      </c>
    </row>
    <row r="339" spans="29:32" x14ac:dyDescent="0.35">
      <c r="AC339" s="9" t="s">
        <v>352</v>
      </c>
      <c r="AD339" s="10" t="s">
        <v>6</v>
      </c>
      <c r="AE339" s="10">
        <v>2240</v>
      </c>
      <c r="AF339" s="11">
        <v>14.9</v>
      </c>
    </row>
    <row r="340" spans="29:32" x14ac:dyDescent="0.35">
      <c r="AC340" s="6" t="s">
        <v>353</v>
      </c>
      <c r="AD340" s="7" t="s">
        <v>6</v>
      </c>
      <c r="AE340" s="7">
        <v>6469</v>
      </c>
      <c r="AF340" s="8">
        <v>59.9</v>
      </c>
    </row>
    <row r="341" spans="29:32" x14ac:dyDescent="0.35">
      <c r="AC341" s="9" t="s">
        <v>354</v>
      </c>
      <c r="AD341" s="10" t="s">
        <v>6</v>
      </c>
      <c r="AE341" s="10">
        <v>2556</v>
      </c>
      <c r="AF341" s="11">
        <v>0</v>
      </c>
    </row>
    <row r="342" spans="29:32" x14ac:dyDescent="0.35">
      <c r="AC342" s="6" t="s">
        <v>355</v>
      </c>
      <c r="AD342" s="7" t="s">
        <v>6</v>
      </c>
      <c r="AE342" s="7">
        <v>3161</v>
      </c>
      <c r="AF342" s="8">
        <v>0</v>
      </c>
    </row>
    <row r="343" spans="29:32" x14ac:dyDescent="0.35">
      <c r="AC343" s="9" t="s">
        <v>356</v>
      </c>
      <c r="AD343" s="10" t="s">
        <v>6</v>
      </c>
      <c r="AE343" s="10">
        <v>2418</v>
      </c>
      <c r="AF343" s="11">
        <v>59.9</v>
      </c>
    </row>
    <row r="344" spans="29:32" x14ac:dyDescent="0.35">
      <c r="AC344" s="6" t="s">
        <v>357</v>
      </c>
      <c r="AD344" s="7" t="s">
        <v>6</v>
      </c>
      <c r="AE344" s="7">
        <v>2242</v>
      </c>
      <c r="AF344" s="8">
        <v>70.739999999999995</v>
      </c>
    </row>
    <row r="345" spans="29:32" x14ac:dyDescent="0.35">
      <c r="AC345" s="9" t="s">
        <v>358</v>
      </c>
      <c r="AD345" s="10" t="s">
        <v>6</v>
      </c>
      <c r="AE345" s="10">
        <v>2485</v>
      </c>
      <c r="AF345" s="11">
        <v>0</v>
      </c>
    </row>
    <row r="346" spans="29:32" x14ac:dyDescent="0.35">
      <c r="AC346" s="6" t="s">
        <v>359</v>
      </c>
      <c r="AD346" s="7" t="s">
        <v>6</v>
      </c>
      <c r="AE346" s="7">
        <v>2722</v>
      </c>
      <c r="AF346" s="8">
        <v>0</v>
      </c>
    </row>
    <row r="347" spans="29:32" x14ac:dyDescent="0.35">
      <c r="AC347" s="9" t="s">
        <v>360</v>
      </c>
      <c r="AD347" s="10" t="s">
        <v>6</v>
      </c>
      <c r="AE347" s="10">
        <v>3101</v>
      </c>
      <c r="AF347" s="11">
        <v>0</v>
      </c>
    </row>
    <row r="348" spans="29:32" x14ac:dyDescent="0.35">
      <c r="AC348" s="6" t="s">
        <v>361</v>
      </c>
      <c r="AD348" s="7" t="s">
        <v>6</v>
      </c>
      <c r="AE348" s="7">
        <v>4466</v>
      </c>
      <c r="AF348" s="8">
        <v>0</v>
      </c>
    </row>
    <row r="349" spans="29:32" x14ac:dyDescent="0.35">
      <c r="AC349" s="9" t="s">
        <v>362</v>
      </c>
      <c r="AD349" s="10" t="s">
        <v>6</v>
      </c>
      <c r="AE349" s="10">
        <v>2557</v>
      </c>
      <c r="AF349" s="11">
        <v>0</v>
      </c>
    </row>
    <row r="350" spans="29:32" x14ac:dyDescent="0.35">
      <c r="AC350" s="6" t="s">
        <v>363</v>
      </c>
      <c r="AD350" s="7" t="s">
        <v>6</v>
      </c>
      <c r="AE350" s="7">
        <v>3137</v>
      </c>
      <c r="AF350" s="8">
        <v>0</v>
      </c>
    </row>
    <row r="351" spans="29:32" x14ac:dyDescent="0.35">
      <c r="AC351" s="9" t="s">
        <v>364</v>
      </c>
      <c r="AD351" s="10" t="s">
        <v>6</v>
      </c>
      <c r="AE351" s="10">
        <v>4061</v>
      </c>
      <c r="AF351" s="11">
        <v>0</v>
      </c>
    </row>
    <row r="352" spans="29:32" x14ac:dyDescent="0.35">
      <c r="AC352" s="6" t="s">
        <v>365</v>
      </c>
      <c r="AD352" s="7" t="s">
        <v>6</v>
      </c>
      <c r="AE352" s="7">
        <v>4290</v>
      </c>
      <c r="AF352" s="8">
        <v>0</v>
      </c>
    </row>
    <row r="353" spans="29:32" x14ac:dyDescent="0.35">
      <c r="AC353" s="9" t="s">
        <v>366</v>
      </c>
      <c r="AD353" s="10" t="s">
        <v>6</v>
      </c>
      <c r="AE353" s="10">
        <v>6472</v>
      </c>
      <c r="AF353" s="11">
        <v>39.9</v>
      </c>
    </row>
    <row r="354" spans="29:32" x14ac:dyDescent="0.35">
      <c r="AC354" s="6" t="s">
        <v>367</v>
      </c>
      <c r="AD354" s="7" t="s">
        <v>6</v>
      </c>
      <c r="AE354" s="7">
        <v>6782</v>
      </c>
      <c r="AF354" s="8">
        <v>0</v>
      </c>
    </row>
    <row r="355" spans="29:32" x14ac:dyDescent="0.35">
      <c r="AC355" s="9" t="s">
        <v>368</v>
      </c>
      <c r="AD355" s="10" t="s">
        <v>6</v>
      </c>
      <c r="AE355" s="10">
        <v>4354</v>
      </c>
      <c r="AF355" s="11">
        <v>0</v>
      </c>
    </row>
    <row r="356" spans="29:32" x14ac:dyDescent="0.35">
      <c r="AC356" s="6" t="s">
        <v>369</v>
      </c>
      <c r="AD356" s="7" t="s">
        <v>6</v>
      </c>
      <c r="AE356" s="7">
        <v>3344</v>
      </c>
      <c r="AF356" s="8">
        <v>0</v>
      </c>
    </row>
    <row r="357" spans="29:32" x14ac:dyDescent="0.35">
      <c r="AC357" s="9" t="s">
        <v>370</v>
      </c>
      <c r="AD357" s="10" t="s">
        <v>6</v>
      </c>
      <c r="AE357" s="10">
        <v>4168</v>
      </c>
      <c r="AF357" s="11">
        <v>0</v>
      </c>
    </row>
    <row r="358" spans="29:32" x14ac:dyDescent="0.35">
      <c r="AC358" s="6" t="s">
        <v>371</v>
      </c>
      <c r="AD358" s="7" t="s">
        <v>6</v>
      </c>
      <c r="AE358" s="7">
        <v>5420</v>
      </c>
      <c r="AF358" s="8">
        <v>0</v>
      </c>
    </row>
    <row r="359" spans="29:32" x14ac:dyDescent="0.35">
      <c r="AC359" s="9" t="s">
        <v>372</v>
      </c>
      <c r="AD359" s="10" t="s">
        <v>6</v>
      </c>
      <c r="AE359" s="10">
        <v>6207</v>
      </c>
      <c r="AF359" s="11">
        <v>12.62</v>
      </c>
    </row>
    <row r="360" spans="29:32" x14ac:dyDescent="0.35">
      <c r="AC360" s="6" t="s">
        <v>373</v>
      </c>
      <c r="AD360" s="7" t="s">
        <v>6</v>
      </c>
      <c r="AE360" s="7">
        <v>2455</v>
      </c>
      <c r="AF360" s="8">
        <v>0</v>
      </c>
    </row>
    <row r="361" spans="29:32" x14ac:dyDescent="0.35">
      <c r="AC361" s="9" t="s">
        <v>374</v>
      </c>
      <c r="AD361" s="10" t="s">
        <v>6</v>
      </c>
      <c r="AE361" s="10">
        <v>2239</v>
      </c>
      <c r="AF361" s="11">
        <v>6.75</v>
      </c>
    </row>
    <row r="362" spans="29:32" x14ac:dyDescent="0.35">
      <c r="AC362" s="6" t="s">
        <v>375</v>
      </c>
      <c r="AD362" s="7" t="s">
        <v>197</v>
      </c>
      <c r="AE362" s="7">
        <v>3190</v>
      </c>
      <c r="AF362" s="8">
        <v>0</v>
      </c>
    </row>
    <row r="363" spans="29:32" x14ac:dyDescent="0.35">
      <c r="AC363" t="s">
        <v>376</v>
      </c>
      <c r="AD363" t="s">
        <v>6</v>
      </c>
      <c r="AE363">
        <v>3160</v>
      </c>
      <c r="AF363">
        <v>0</v>
      </c>
    </row>
    <row r="364" spans="29:32" x14ac:dyDescent="0.35">
      <c r="AC364" t="s">
        <v>377</v>
      </c>
      <c r="AD364" t="s">
        <v>6</v>
      </c>
      <c r="AE364">
        <v>2365</v>
      </c>
      <c r="AF364">
        <v>0</v>
      </c>
    </row>
    <row r="365" spans="29:32" x14ac:dyDescent="0.35">
      <c r="AC365" t="s">
        <v>378</v>
      </c>
      <c r="AD365" t="s">
        <v>6</v>
      </c>
      <c r="AE365">
        <v>2364</v>
      </c>
      <c r="AF365">
        <v>0</v>
      </c>
    </row>
    <row r="366" spans="29:32" x14ac:dyDescent="0.35">
      <c r="AC366" t="s">
        <v>379</v>
      </c>
      <c r="AD366" t="s">
        <v>6</v>
      </c>
      <c r="AE366">
        <v>2340</v>
      </c>
      <c r="AF366">
        <v>0</v>
      </c>
    </row>
    <row r="367" spans="29:32" x14ac:dyDescent="0.35">
      <c r="AC367" t="s">
        <v>380</v>
      </c>
      <c r="AD367" t="s">
        <v>6</v>
      </c>
      <c r="AE367">
        <v>2293</v>
      </c>
      <c r="AF367">
        <v>0</v>
      </c>
    </row>
    <row r="368" spans="29:32" x14ac:dyDescent="0.35">
      <c r="AC368" t="s">
        <v>381</v>
      </c>
      <c r="AD368" t="s">
        <v>19</v>
      </c>
      <c r="AE368">
        <v>2101</v>
      </c>
      <c r="AF368">
        <v>0</v>
      </c>
    </row>
    <row r="369" spans="29:32" x14ac:dyDescent="0.35">
      <c r="AC369" t="s">
        <v>382</v>
      </c>
      <c r="AD369" t="s">
        <v>19</v>
      </c>
      <c r="AE369">
        <v>2130</v>
      </c>
      <c r="AF369">
        <v>0</v>
      </c>
    </row>
    <row r="370" spans="29:32" x14ac:dyDescent="0.35">
      <c r="AC370" t="s">
        <v>383</v>
      </c>
      <c r="AD370" t="s">
        <v>6</v>
      </c>
      <c r="AE370">
        <v>2324</v>
      </c>
      <c r="AF370">
        <v>0</v>
      </c>
    </row>
    <row r="371" spans="29:32" x14ac:dyDescent="0.35">
      <c r="AC371" t="s">
        <v>384</v>
      </c>
      <c r="AD371" t="s">
        <v>6</v>
      </c>
      <c r="AE371">
        <v>7960</v>
      </c>
      <c r="AF371">
        <v>43.9</v>
      </c>
    </row>
    <row r="372" spans="29:32" x14ac:dyDescent="0.35">
      <c r="AC372" t="s">
        <v>385</v>
      </c>
      <c r="AD372" t="s">
        <v>7</v>
      </c>
      <c r="AE372">
        <v>8321</v>
      </c>
      <c r="AF372">
        <v>25.9</v>
      </c>
    </row>
    <row r="373" spans="29:32" x14ac:dyDescent="0.35">
      <c r="AC373" t="s">
        <v>386</v>
      </c>
      <c r="AD373" t="s">
        <v>6</v>
      </c>
      <c r="AE373">
        <v>8945</v>
      </c>
      <c r="AF373">
        <v>64.900000000000006</v>
      </c>
    </row>
    <row r="374" spans="29:32" x14ac:dyDescent="0.35">
      <c r="AC374" t="s">
        <v>387</v>
      </c>
      <c r="AD374" t="s">
        <v>6</v>
      </c>
      <c r="AE374">
        <v>7990</v>
      </c>
      <c r="AF374">
        <v>39.9</v>
      </c>
    </row>
    <row r="375" spans="29:32" x14ac:dyDescent="0.35">
      <c r="AC375" t="s">
        <v>388</v>
      </c>
      <c r="AD375" t="s">
        <v>6</v>
      </c>
      <c r="AE375">
        <v>8000</v>
      </c>
      <c r="AF375">
        <v>24.9</v>
      </c>
    </row>
    <row r="376" spans="29:32" x14ac:dyDescent="0.35">
      <c r="AC376" t="s">
        <v>389</v>
      </c>
      <c r="AD376" t="s">
        <v>6</v>
      </c>
      <c r="AE376">
        <v>8006</v>
      </c>
      <c r="AF376">
        <v>42.9</v>
      </c>
    </row>
    <row r="377" spans="29:32" x14ac:dyDescent="0.35">
      <c r="AC377" t="s">
        <v>390</v>
      </c>
      <c r="AD377" t="s">
        <v>6</v>
      </c>
      <c r="AE377">
        <v>8015</v>
      </c>
      <c r="AF377">
        <v>39.9</v>
      </c>
    </row>
    <row r="378" spans="29:32" x14ac:dyDescent="0.35">
      <c r="AC378" t="s">
        <v>391</v>
      </c>
      <c r="AD378" t="s">
        <v>6</v>
      </c>
      <c r="AE378">
        <v>8019</v>
      </c>
      <c r="AF378">
        <v>44.9</v>
      </c>
    </row>
    <row r="379" spans="29:32" x14ac:dyDescent="0.35">
      <c r="AC379" t="s">
        <v>392</v>
      </c>
      <c r="AD379" t="s">
        <v>6</v>
      </c>
      <c r="AE379">
        <v>8023</v>
      </c>
      <c r="AF379">
        <v>39.9</v>
      </c>
    </row>
    <row r="380" spans="29:32" x14ac:dyDescent="0.35">
      <c r="AC380" t="s">
        <v>393</v>
      </c>
      <c r="AD380" t="s">
        <v>6</v>
      </c>
      <c r="AE380">
        <v>8028</v>
      </c>
      <c r="AF380">
        <v>28.9</v>
      </c>
    </row>
    <row r="381" spans="29:32" x14ac:dyDescent="0.35">
      <c r="AC381" t="s">
        <v>394</v>
      </c>
      <c r="AD381" t="s">
        <v>6</v>
      </c>
      <c r="AE381">
        <v>8037</v>
      </c>
      <c r="AF381">
        <v>54.9</v>
      </c>
    </row>
    <row r="382" spans="29:32" x14ac:dyDescent="0.35">
      <c r="AC382" t="s">
        <v>395</v>
      </c>
      <c r="AD382" t="s">
        <v>6</v>
      </c>
      <c r="AE382">
        <v>8039</v>
      </c>
      <c r="AF382">
        <v>39.9</v>
      </c>
    </row>
    <row r="383" spans="29:32" x14ac:dyDescent="0.35">
      <c r="AC383" t="s">
        <v>396</v>
      </c>
      <c r="AD383" t="s">
        <v>6</v>
      </c>
      <c r="AE383">
        <v>8040</v>
      </c>
      <c r="AF383">
        <v>39.9</v>
      </c>
    </row>
    <row r="384" spans="29:32" x14ac:dyDescent="0.35">
      <c r="AC384" t="s">
        <v>397</v>
      </c>
      <c r="AD384" t="s">
        <v>6</v>
      </c>
      <c r="AE384">
        <v>8046</v>
      </c>
      <c r="AF384">
        <v>39.9</v>
      </c>
    </row>
    <row r="385" spans="29:32" x14ac:dyDescent="0.35">
      <c r="AC385" t="s">
        <v>398</v>
      </c>
      <c r="AD385" t="s">
        <v>6</v>
      </c>
      <c r="AE385">
        <v>8047</v>
      </c>
      <c r="AF385">
        <v>39.9</v>
      </c>
    </row>
    <row r="386" spans="29:32" x14ac:dyDescent="0.35">
      <c r="AC386" t="s">
        <v>399</v>
      </c>
      <c r="AD386" t="s">
        <v>6</v>
      </c>
      <c r="AE386">
        <v>8048</v>
      </c>
      <c r="AF386">
        <v>39.9</v>
      </c>
    </row>
    <row r="387" spans="29:32" x14ac:dyDescent="0.35">
      <c r="AC387" t="s">
        <v>400</v>
      </c>
      <c r="AD387" t="s">
        <v>6</v>
      </c>
      <c r="AE387">
        <v>93908</v>
      </c>
      <c r="AF387">
        <v>39.9</v>
      </c>
    </row>
    <row r="388" spans="29:32" x14ac:dyDescent="0.35">
      <c r="AC388" t="s">
        <v>401</v>
      </c>
      <c r="AD388" t="s">
        <v>6</v>
      </c>
      <c r="AE388">
        <v>8051</v>
      </c>
      <c r="AF388">
        <v>29.9</v>
      </c>
    </row>
    <row r="389" spans="29:32" x14ac:dyDescent="0.35">
      <c r="AC389" t="s">
        <v>402</v>
      </c>
      <c r="AD389" t="s">
        <v>6</v>
      </c>
      <c r="AE389">
        <v>8064</v>
      </c>
      <c r="AF389">
        <v>99.9</v>
      </c>
    </row>
    <row r="390" spans="29:32" x14ac:dyDescent="0.35">
      <c r="AC390" t="s">
        <v>403</v>
      </c>
      <c r="AD390" t="s">
        <v>6</v>
      </c>
      <c r="AE390">
        <v>8080</v>
      </c>
      <c r="AF390">
        <v>31.9</v>
      </c>
    </row>
    <row r="391" spans="29:32" x14ac:dyDescent="0.35">
      <c r="AC391" t="s">
        <v>404</v>
      </c>
      <c r="AD391" t="s">
        <v>6</v>
      </c>
      <c r="AE391">
        <v>8089</v>
      </c>
      <c r="AF391">
        <v>49.9</v>
      </c>
    </row>
    <row r="392" spans="29:32" x14ac:dyDescent="0.35">
      <c r="AC392" t="s">
        <v>405</v>
      </c>
      <c r="AD392" t="s">
        <v>6</v>
      </c>
      <c r="AE392">
        <v>8090</v>
      </c>
      <c r="AF392">
        <v>34.9</v>
      </c>
    </row>
    <row r="393" spans="29:32" x14ac:dyDescent="0.35">
      <c r="AC393" t="s">
        <v>406</v>
      </c>
      <c r="AD393" t="s">
        <v>6</v>
      </c>
      <c r="AE393">
        <v>8093</v>
      </c>
      <c r="AF393">
        <v>37.9</v>
      </c>
    </row>
    <row r="394" spans="29:32" x14ac:dyDescent="0.35">
      <c r="AC394" t="s">
        <v>407</v>
      </c>
      <c r="AD394" t="s">
        <v>6</v>
      </c>
      <c r="AE394">
        <v>8098</v>
      </c>
      <c r="AF394">
        <v>33.9</v>
      </c>
    </row>
    <row r="395" spans="29:32" x14ac:dyDescent="0.35">
      <c r="AC395" t="s">
        <v>408</v>
      </c>
      <c r="AD395" t="s">
        <v>6</v>
      </c>
      <c r="AE395">
        <v>8104</v>
      </c>
      <c r="AF395">
        <v>29.9</v>
      </c>
    </row>
    <row r="396" spans="29:32" x14ac:dyDescent="0.35">
      <c r="AC396" t="s">
        <v>409</v>
      </c>
      <c r="AD396" t="s">
        <v>6</v>
      </c>
      <c r="AE396">
        <v>8333</v>
      </c>
      <c r="AF396">
        <v>49.9</v>
      </c>
    </row>
    <row r="397" spans="29:32" x14ac:dyDescent="0.35">
      <c r="AC397" t="s">
        <v>410</v>
      </c>
      <c r="AD397" t="s">
        <v>6</v>
      </c>
      <c r="AE397">
        <v>8332</v>
      </c>
      <c r="AF397">
        <v>49.9</v>
      </c>
    </row>
    <row r="398" spans="29:32" x14ac:dyDescent="0.35">
      <c r="AC398" t="s">
        <v>411</v>
      </c>
      <c r="AD398" t="s">
        <v>6</v>
      </c>
      <c r="AE398">
        <v>8111</v>
      </c>
      <c r="AF398">
        <v>49.9</v>
      </c>
    </row>
    <row r="399" spans="29:32" x14ac:dyDescent="0.35">
      <c r="AC399" t="s">
        <v>412</v>
      </c>
      <c r="AD399" t="s">
        <v>6</v>
      </c>
      <c r="AE399">
        <v>8133</v>
      </c>
      <c r="AF399">
        <v>46.9</v>
      </c>
    </row>
    <row r="400" spans="29:32" x14ac:dyDescent="0.35">
      <c r="AC400" t="s">
        <v>413</v>
      </c>
      <c r="AD400" t="s">
        <v>6</v>
      </c>
      <c r="AE400">
        <v>8148</v>
      </c>
      <c r="AF400">
        <v>59.9</v>
      </c>
    </row>
    <row r="401" spans="29:32" x14ac:dyDescent="0.35">
      <c r="AC401" t="s">
        <v>414</v>
      </c>
      <c r="AD401" t="s">
        <v>6</v>
      </c>
      <c r="AE401">
        <v>8149</v>
      </c>
      <c r="AF401">
        <v>49.9</v>
      </c>
    </row>
    <row r="402" spans="29:32" x14ac:dyDescent="0.35">
      <c r="AC402" t="s">
        <v>415</v>
      </c>
      <c r="AD402" t="s">
        <v>6</v>
      </c>
      <c r="AE402">
        <v>8151</v>
      </c>
      <c r="AF402">
        <v>39.9</v>
      </c>
    </row>
    <row r="403" spans="29:32" x14ac:dyDescent="0.35">
      <c r="AC403" t="s">
        <v>416</v>
      </c>
      <c r="AD403" t="s">
        <v>6</v>
      </c>
      <c r="AE403">
        <v>8153</v>
      </c>
      <c r="AF403">
        <v>42.9</v>
      </c>
    </row>
    <row r="404" spans="29:32" x14ac:dyDescent="0.35">
      <c r="AC404" t="s">
        <v>417</v>
      </c>
      <c r="AD404" t="s">
        <v>6</v>
      </c>
      <c r="AE404">
        <v>8154</v>
      </c>
      <c r="AF404">
        <v>39.9</v>
      </c>
    </row>
    <row r="405" spans="29:32" x14ac:dyDescent="0.35">
      <c r="AC405" t="s">
        <v>418</v>
      </c>
      <c r="AD405" t="s">
        <v>6</v>
      </c>
      <c r="AE405">
        <v>8155</v>
      </c>
      <c r="AF405">
        <v>93.9</v>
      </c>
    </row>
    <row r="406" spans="29:32" x14ac:dyDescent="0.35">
      <c r="AC406" t="s">
        <v>419</v>
      </c>
      <c r="AD406" t="s">
        <v>6</v>
      </c>
      <c r="AE406">
        <v>8156</v>
      </c>
      <c r="AF406">
        <v>89.9</v>
      </c>
    </row>
    <row r="407" spans="29:32" x14ac:dyDescent="0.35">
      <c r="AC407" t="s">
        <v>420</v>
      </c>
      <c r="AD407" t="s">
        <v>6</v>
      </c>
      <c r="AE407">
        <v>8157</v>
      </c>
      <c r="AF407">
        <v>79.900000000000006</v>
      </c>
    </row>
    <row r="408" spans="29:32" x14ac:dyDescent="0.35">
      <c r="AC408" t="s">
        <v>421</v>
      </c>
      <c r="AD408" t="s">
        <v>6</v>
      </c>
      <c r="AE408">
        <v>8158</v>
      </c>
      <c r="AF408">
        <v>79.900000000000006</v>
      </c>
    </row>
    <row r="409" spans="29:32" x14ac:dyDescent="0.35">
      <c r="AC409" t="s">
        <v>422</v>
      </c>
      <c r="AD409" t="s">
        <v>6</v>
      </c>
      <c r="AE409">
        <v>8159</v>
      </c>
      <c r="AF409">
        <v>54.9</v>
      </c>
    </row>
    <row r="410" spans="29:32" x14ac:dyDescent="0.35">
      <c r="AC410" t="s">
        <v>423</v>
      </c>
      <c r="AD410" t="s">
        <v>6</v>
      </c>
      <c r="AE410">
        <v>8160</v>
      </c>
      <c r="AF410">
        <v>49.9</v>
      </c>
    </row>
    <row r="411" spans="29:32" x14ac:dyDescent="0.35">
      <c r="AC411" t="s">
        <v>424</v>
      </c>
      <c r="AD411" t="s">
        <v>6</v>
      </c>
      <c r="AE411">
        <v>8161</v>
      </c>
      <c r="AF411">
        <v>49.9</v>
      </c>
    </row>
    <row r="412" spans="29:32" x14ac:dyDescent="0.35">
      <c r="AC412" t="s">
        <v>425</v>
      </c>
      <c r="AD412" t="s">
        <v>6</v>
      </c>
      <c r="AE412">
        <v>8162</v>
      </c>
      <c r="AF412">
        <v>69.900000000000006</v>
      </c>
    </row>
    <row r="413" spans="29:32" x14ac:dyDescent="0.35">
      <c r="AC413" t="s">
        <v>426</v>
      </c>
      <c r="AD413" t="s">
        <v>6</v>
      </c>
      <c r="AE413">
        <v>8163</v>
      </c>
      <c r="AF413">
        <v>79.900000000000006</v>
      </c>
    </row>
    <row r="414" spans="29:32" x14ac:dyDescent="0.35">
      <c r="AC414" t="s">
        <v>427</v>
      </c>
      <c r="AD414" t="s">
        <v>6</v>
      </c>
      <c r="AE414">
        <v>8164</v>
      </c>
      <c r="AF414">
        <v>79.900000000000006</v>
      </c>
    </row>
    <row r="415" spans="29:32" x14ac:dyDescent="0.35">
      <c r="AC415" t="s">
        <v>428</v>
      </c>
      <c r="AD415" t="s">
        <v>6</v>
      </c>
      <c r="AE415">
        <v>9016</v>
      </c>
      <c r="AF415">
        <v>59.9</v>
      </c>
    </row>
    <row r="416" spans="29:32" x14ac:dyDescent="0.35">
      <c r="AC416" t="s">
        <v>429</v>
      </c>
      <c r="AD416" t="s">
        <v>6</v>
      </c>
      <c r="AE416">
        <v>8165</v>
      </c>
      <c r="AF416">
        <v>49.9</v>
      </c>
    </row>
    <row r="417" spans="29:32" x14ac:dyDescent="0.35">
      <c r="AC417" t="s">
        <v>430</v>
      </c>
      <c r="AD417" t="s">
        <v>6</v>
      </c>
      <c r="AE417">
        <v>8166</v>
      </c>
      <c r="AF417">
        <v>44.9</v>
      </c>
    </row>
    <row r="418" spans="29:32" x14ac:dyDescent="0.35">
      <c r="AC418" t="s">
        <v>431</v>
      </c>
      <c r="AD418" t="s">
        <v>6</v>
      </c>
      <c r="AE418">
        <v>8167</v>
      </c>
      <c r="AF418">
        <v>99.9</v>
      </c>
    </row>
    <row r="419" spans="29:32" x14ac:dyDescent="0.35">
      <c r="AC419" t="s">
        <v>432</v>
      </c>
      <c r="AD419" t="s">
        <v>6</v>
      </c>
      <c r="AE419">
        <v>8168</v>
      </c>
      <c r="AF419">
        <v>49.9</v>
      </c>
    </row>
    <row r="420" spans="29:32" x14ac:dyDescent="0.35">
      <c r="AC420" t="s">
        <v>433</v>
      </c>
      <c r="AD420" t="s">
        <v>6</v>
      </c>
      <c r="AE420">
        <v>8169</v>
      </c>
      <c r="AF420">
        <v>59.9</v>
      </c>
    </row>
    <row r="421" spans="29:32" x14ac:dyDescent="0.35">
      <c r="AC421" t="s">
        <v>434</v>
      </c>
      <c r="AD421" t="s">
        <v>6</v>
      </c>
      <c r="AE421">
        <v>8170</v>
      </c>
      <c r="AF421">
        <v>149.9</v>
      </c>
    </row>
    <row r="422" spans="29:32" x14ac:dyDescent="0.35">
      <c r="AC422" t="s">
        <v>435</v>
      </c>
      <c r="AD422" t="s">
        <v>6</v>
      </c>
      <c r="AE422">
        <v>8171</v>
      </c>
      <c r="AF422">
        <v>39.9</v>
      </c>
    </row>
    <row r="423" spans="29:32" x14ac:dyDescent="0.35">
      <c r="AC423" t="s">
        <v>436</v>
      </c>
      <c r="AD423" t="s">
        <v>6</v>
      </c>
      <c r="AE423">
        <v>8172</v>
      </c>
      <c r="AF423">
        <v>39.9</v>
      </c>
    </row>
    <row r="424" spans="29:32" x14ac:dyDescent="0.35">
      <c r="AC424" t="s">
        <v>437</v>
      </c>
      <c r="AD424" t="s">
        <v>6</v>
      </c>
      <c r="AE424">
        <v>8174</v>
      </c>
      <c r="AF424">
        <v>39.9</v>
      </c>
    </row>
    <row r="425" spans="29:32" x14ac:dyDescent="0.35">
      <c r="AC425" t="s">
        <v>438</v>
      </c>
      <c r="AD425" t="s">
        <v>6</v>
      </c>
      <c r="AE425">
        <v>8173</v>
      </c>
      <c r="AF425">
        <v>48.9</v>
      </c>
    </row>
    <row r="426" spans="29:32" x14ac:dyDescent="0.35">
      <c r="AC426" t="s">
        <v>439</v>
      </c>
      <c r="AD426" t="s">
        <v>6</v>
      </c>
      <c r="AE426">
        <v>8176</v>
      </c>
      <c r="AF426">
        <v>34.9</v>
      </c>
    </row>
    <row r="427" spans="29:32" x14ac:dyDescent="0.35">
      <c r="AC427" t="s">
        <v>440</v>
      </c>
      <c r="AD427" t="s">
        <v>6</v>
      </c>
      <c r="AE427">
        <v>8175</v>
      </c>
      <c r="AF427">
        <v>46.9</v>
      </c>
    </row>
    <row r="428" spans="29:32" x14ac:dyDescent="0.35">
      <c r="AC428" t="s">
        <v>441</v>
      </c>
      <c r="AD428" t="s">
        <v>6</v>
      </c>
      <c r="AE428">
        <v>8178</v>
      </c>
      <c r="AF428">
        <v>34.9</v>
      </c>
    </row>
    <row r="429" spans="29:32" x14ac:dyDescent="0.35">
      <c r="AC429" t="s">
        <v>442</v>
      </c>
      <c r="AD429" t="s">
        <v>6</v>
      </c>
      <c r="AE429">
        <v>8177</v>
      </c>
      <c r="AF429">
        <v>9.9</v>
      </c>
    </row>
    <row r="430" spans="29:32" x14ac:dyDescent="0.35">
      <c r="AC430" t="s">
        <v>443</v>
      </c>
      <c r="AD430" t="s">
        <v>6</v>
      </c>
      <c r="AE430">
        <v>8179</v>
      </c>
      <c r="AF430">
        <v>43.9</v>
      </c>
    </row>
    <row r="431" spans="29:32" x14ac:dyDescent="0.35">
      <c r="AC431" t="s">
        <v>444</v>
      </c>
      <c r="AD431" t="s">
        <v>6</v>
      </c>
      <c r="AE431">
        <v>8197</v>
      </c>
      <c r="AF431">
        <v>43.9</v>
      </c>
    </row>
    <row r="432" spans="29:32" x14ac:dyDescent="0.35">
      <c r="AC432" t="s">
        <v>445</v>
      </c>
      <c r="AD432" t="s">
        <v>7</v>
      </c>
      <c r="AE432">
        <v>9119</v>
      </c>
      <c r="AF432">
        <v>19.899999999999999</v>
      </c>
    </row>
    <row r="433" spans="29:32" x14ac:dyDescent="0.35">
      <c r="AC433" t="s">
        <v>446</v>
      </c>
      <c r="AD433" t="s">
        <v>6</v>
      </c>
      <c r="AE433">
        <v>8201</v>
      </c>
      <c r="AF433">
        <v>69.900000000000006</v>
      </c>
    </row>
    <row r="434" spans="29:32" x14ac:dyDescent="0.35">
      <c r="AC434" t="s">
        <v>447</v>
      </c>
      <c r="AD434" t="s">
        <v>6</v>
      </c>
      <c r="AE434">
        <v>8204</v>
      </c>
      <c r="AF434">
        <v>69.900000000000006</v>
      </c>
    </row>
    <row r="435" spans="29:32" x14ac:dyDescent="0.35">
      <c r="AC435" t="s">
        <v>448</v>
      </c>
      <c r="AD435" t="s">
        <v>6</v>
      </c>
      <c r="AE435">
        <v>8206</v>
      </c>
      <c r="AF435">
        <v>69.900000000000006</v>
      </c>
    </row>
    <row r="436" spans="29:32" x14ac:dyDescent="0.35">
      <c r="AC436" t="s">
        <v>449</v>
      </c>
      <c r="AD436" t="s">
        <v>6</v>
      </c>
      <c r="AE436">
        <v>8221</v>
      </c>
      <c r="AF436">
        <v>39.9</v>
      </c>
    </row>
    <row r="437" spans="29:32" x14ac:dyDescent="0.35">
      <c r="AC437" t="s">
        <v>450</v>
      </c>
      <c r="AD437" t="s">
        <v>6</v>
      </c>
      <c r="AE437">
        <v>8222</v>
      </c>
      <c r="AF437">
        <v>49.9</v>
      </c>
    </row>
    <row r="438" spans="29:32" x14ac:dyDescent="0.35">
      <c r="AC438" t="s">
        <v>451</v>
      </c>
      <c r="AD438" t="s">
        <v>6</v>
      </c>
      <c r="AE438">
        <v>8223</v>
      </c>
      <c r="AF438">
        <v>57.9</v>
      </c>
    </row>
    <row r="439" spans="29:32" x14ac:dyDescent="0.35">
      <c r="AC439" t="s">
        <v>452</v>
      </c>
      <c r="AD439" t="s">
        <v>6</v>
      </c>
      <c r="AE439">
        <v>8224</v>
      </c>
      <c r="AF439">
        <v>54.9</v>
      </c>
    </row>
    <row r="440" spans="29:32" x14ac:dyDescent="0.35">
      <c r="AC440" t="s">
        <v>453</v>
      </c>
      <c r="AD440" t="s">
        <v>6</v>
      </c>
      <c r="AE440">
        <v>8226</v>
      </c>
      <c r="AF440">
        <v>49.9</v>
      </c>
    </row>
    <row r="441" spans="29:32" x14ac:dyDescent="0.35">
      <c r="AC441" t="s">
        <v>454</v>
      </c>
      <c r="AD441" t="s">
        <v>6</v>
      </c>
      <c r="AE441">
        <v>8228</v>
      </c>
      <c r="AF441">
        <v>49.9</v>
      </c>
    </row>
    <row r="442" spans="29:32" x14ac:dyDescent="0.35">
      <c r="AC442" t="s">
        <v>455</v>
      </c>
      <c r="AD442" t="s">
        <v>6</v>
      </c>
      <c r="AE442">
        <v>8229</v>
      </c>
      <c r="AF442">
        <v>39.9</v>
      </c>
    </row>
    <row r="443" spans="29:32" x14ac:dyDescent="0.35">
      <c r="AC443" t="s">
        <v>456</v>
      </c>
      <c r="AD443" t="s">
        <v>6</v>
      </c>
      <c r="AE443">
        <v>8231</v>
      </c>
      <c r="AF443">
        <v>59.9</v>
      </c>
    </row>
    <row r="444" spans="29:32" x14ac:dyDescent="0.35">
      <c r="AC444" t="s">
        <v>457</v>
      </c>
      <c r="AD444" t="s">
        <v>7</v>
      </c>
      <c r="AE444">
        <v>8232</v>
      </c>
      <c r="AF444">
        <v>19.989999999999998</v>
      </c>
    </row>
    <row r="445" spans="29:32" x14ac:dyDescent="0.35">
      <c r="AC445" t="s">
        <v>458</v>
      </c>
      <c r="AD445" t="s">
        <v>6</v>
      </c>
      <c r="AE445">
        <v>8235</v>
      </c>
      <c r="AF445">
        <v>69.900000000000006</v>
      </c>
    </row>
    <row r="446" spans="29:32" x14ac:dyDescent="0.35">
      <c r="AC446" t="s">
        <v>459</v>
      </c>
      <c r="AD446" t="s">
        <v>6</v>
      </c>
      <c r="AE446">
        <v>8237</v>
      </c>
      <c r="AF446">
        <v>79.900000000000006</v>
      </c>
    </row>
    <row r="447" spans="29:32" x14ac:dyDescent="0.35">
      <c r="AC447" t="s">
        <v>460</v>
      </c>
      <c r="AD447" t="s">
        <v>6</v>
      </c>
      <c r="AE447">
        <v>8239</v>
      </c>
      <c r="AF447">
        <v>69.900000000000006</v>
      </c>
    </row>
    <row r="448" spans="29:32" x14ac:dyDescent="0.35">
      <c r="AC448" t="s">
        <v>461</v>
      </c>
      <c r="AD448" t="s">
        <v>6</v>
      </c>
      <c r="AE448">
        <v>8240</v>
      </c>
      <c r="AF448">
        <v>69.900000000000006</v>
      </c>
    </row>
    <row r="449" spans="29:32" x14ac:dyDescent="0.35">
      <c r="AC449" t="s">
        <v>462</v>
      </c>
      <c r="AD449" t="s">
        <v>6</v>
      </c>
      <c r="AE449">
        <v>8247</v>
      </c>
      <c r="AF449">
        <v>59.9</v>
      </c>
    </row>
    <row r="450" spans="29:32" x14ac:dyDescent="0.35">
      <c r="AC450" t="s">
        <v>463</v>
      </c>
      <c r="AD450" t="s">
        <v>7</v>
      </c>
      <c r="AE450">
        <v>8259</v>
      </c>
      <c r="AF450">
        <v>49.9</v>
      </c>
    </row>
    <row r="451" spans="29:32" x14ac:dyDescent="0.35">
      <c r="AC451" t="s">
        <v>464</v>
      </c>
      <c r="AD451" t="s">
        <v>7</v>
      </c>
      <c r="AE451">
        <v>360258</v>
      </c>
      <c r="AF451">
        <v>49.9</v>
      </c>
    </row>
    <row r="452" spans="29:32" x14ac:dyDescent="0.35">
      <c r="AC452" t="s">
        <v>465</v>
      </c>
      <c r="AD452" t="s">
        <v>6</v>
      </c>
      <c r="AE452">
        <v>8251</v>
      </c>
      <c r="AF452">
        <v>59.9</v>
      </c>
    </row>
    <row r="453" spans="29:32" x14ac:dyDescent="0.35">
      <c r="AC453" t="s">
        <v>466</v>
      </c>
      <c r="AD453" t="s">
        <v>6</v>
      </c>
      <c r="AE453">
        <v>8267</v>
      </c>
      <c r="AF453">
        <v>54.9</v>
      </c>
    </row>
    <row r="454" spans="29:32" x14ac:dyDescent="0.35">
      <c r="AC454" t="s">
        <v>467</v>
      </c>
      <c r="AD454" t="s">
        <v>6</v>
      </c>
      <c r="AE454">
        <v>93693</v>
      </c>
      <c r="AF454">
        <v>79.900000000000006</v>
      </c>
    </row>
    <row r="455" spans="29:32" x14ac:dyDescent="0.35">
      <c r="AC455" t="s">
        <v>468</v>
      </c>
      <c r="AD455" t="s">
        <v>6</v>
      </c>
      <c r="AE455">
        <v>8273</v>
      </c>
      <c r="AF455">
        <v>79.900000000000006</v>
      </c>
    </row>
    <row r="456" spans="29:32" x14ac:dyDescent="0.35">
      <c r="AC456" t="s">
        <v>469</v>
      </c>
      <c r="AD456" t="s">
        <v>6</v>
      </c>
      <c r="AE456">
        <v>8274</v>
      </c>
      <c r="AF456">
        <v>84.9</v>
      </c>
    </row>
    <row r="457" spans="29:32" x14ac:dyDescent="0.35">
      <c r="AC457" t="s">
        <v>470</v>
      </c>
      <c r="AD457" t="s">
        <v>6</v>
      </c>
      <c r="AE457">
        <v>8276</v>
      </c>
      <c r="AF457">
        <v>29.9</v>
      </c>
    </row>
    <row r="458" spans="29:32" x14ac:dyDescent="0.35">
      <c r="AC458" t="s">
        <v>471</v>
      </c>
      <c r="AD458" t="s">
        <v>6</v>
      </c>
      <c r="AE458">
        <v>8279</v>
      </c>
      <c r="AF458">
        <v>34.9</v>
      </c>
    </row>
    <row r="459" spans="29:32" x14ac:dyDescent="0.35">
      <c r="AC459" t="s">
        <v>472</v>
      </c>
      <c r="AD459" t="s">
        <v>6</v>
      </c>
      <c r="AE459">
        <v>8281</v>
      </c>
      <c r="AF459">
        <v>49.9</v>
      </c>
    </row>
    <row r="460" spans="29:32" x14ac:dyDescent="0.35">
      <c r="AC460" t="s">
        <v>473</v>
      </c>
      <c r="AD460" t="s">
        <v>6</v>
      </c>
      <c r="AE460">
        <v>8282</v>
      </c>
      <c r="AF460">
        <v>49.9</v>
      </c>
    </row>
    <row r="461" spans="29:32" x14ac:dyDescent="0.35">
      <c r="AC461" t="s">
        <v>474</v>
      </c>
      <c r="AD461" t="s">
        <v>6</v>
      </c>
      <c r="AE461">
        <v>8284</v>
      </c>
      <c r="AF461">
        <v>61.9</v>
      </c>
    </row>
    <row r="462" spans="29:32" x14ac:dyDescent="0.35">
      <c r="AC462" t="s">
        <v>475</v>
      </c>
      <c r="AD462" t="s">
        <v>6</v>
      </c>
      <c r="AE462">
        <v>8287</v>
      </c>
      <c r="AF462">
        <v>58.9</v>
      </c>
    </row>
    <row r="463" spans="29:32" x14ac:dyDescent="0.35">
      <c r="AC463" t="s">
        <v>476</v>
      </c>
      <c r="AD463" t="s">
        <v>6</v>
      </c>
      <c r="AE463">
        <v>8290</v>
      </c>
      <c r="AF463">
        <v>54.9</v>
      </c>
    </row>
    <row r="464" spans="29:32" x14ac:dyDescent="0.35">
      <c r="AC464" t="s">
        <v>477</v>
      </c>
      <c r="AD464" t="s">
        <v>6</v>
      </c>
      <c r="AE464">
        <v>8519</v>
      </c>
      <c r="AF464">
        <v>54.9</v>
      </c>
    </row>
    <row r="465" spans="29:32" x14ac:dyDescent="0.35">
      <c r="AC465" t="s">
        <v>478</v>
      </c>
      <c r="AD465" t="s">
        <v>6</v>
      </c>
      <c r="AE465">
        <v>8291</v>
      </c>
      <c r="AF465">
        <v>39.9</v>
      </c>
    </row>
    <row r="466" spans="29:32" x14ac:dyDescent="0.35">
      <c r="AC466" t="s">
        <v>479</v>
      </c>
      <c r="AD466" t="s">
        <v>6</v>
      </c>
      <c r="AE466">
        <v>8292</v>
      </c>
      <c r="AF466">
        <v>41.9</v>
      </c>
    </row>
    <row r="467" spans="29:32" x14ac:dyDescent="0.35">
      <c r="AC467" t="s">
        <v>480</v>
      </c>
      <c r="AD467" t="s">
        <v>6</v>
      </c>
      <c r="AE467">
        <v>1717</v>
      </c>
      <c r="AF467">
        <v>44.9</v>
      </c>
    </row>
    <row r="468" spans="29:32" x14ac:dyDescent="0.35">
      <c r="AC468" t="s">
        <v>481</v>
      </c>
      <c r="AD468" t="s">
        <v>6</v>
      </c>
      <c r="AE468">
        <v>93966</v>
      </c>
      <c r="AF468">
        <v>34.9</v>
      </c>
    </row>
    <row r="469" spans="29:32" x14ac:dyDescent="0.35">
      <c r="AC469" t="s">
        <v>482</v>
      </c>
      <c r="AD469" t="s">
        <v>6</v>
      </c>
      <c r="AE469">
        <v>8296</v>
      </c>
      <c r="AF469">
        <v>99.9</v>
      </c>
    </row>
    <row r="470" spans="29:32" x14ac:dyDescent="0.35">
      <c r="AC470" t="s">
        <v>483</v>
      </c>
      <c r="AD470" t="s">
        <v>6</v>
      </c>
      <c r="AE470">
        <v>93964</v>
      </c>
      <c r="AF470">
        <v>99.9</v>
      </c>
    </row>
    <row r="471" spans="29:32" x14ac:dyDescent="0.35">
      <c r="AC471" t="s">
        <v>484</v>
      </c>
      <c r="AD471" t="s">
        <v>6</v>
      </c>
      <c r="AE471">
        <v>8298</v>
      </c>
      <c r="AF471">
        <v>39.9</v>
      </c>
    </row>
    <row r="472" spans="29:32" x14ac:dyDescent="0.35">
      <c r="AC472" t="s">
        <v>485</v>
      </c>
      <c r="AD472" t="s">
        <v>6</v>
      </c>
      <c r="AE472">
        <v>8302</v>
      </c>
      <c r="AF472">
        <v>49.9</v>
      </c>
    </row>
    <row r="473" spans="29:32" x14ac:dyDescent="0.35">
      <c r="AC473" t="s">
        <v>486</v>
      </c>
      <c r="AD473" t="s">
        <v>6</v>
      </c>
      <c r="AE473">
        <v>8306</v>
      </c>
      <c r="AF473">
        <v>49.9</v>
      </c>
    </row>
    <row r="474" spans="29:32" x14ac:dyDescent="0.35">
      <c r="AC474" t="s">
        <v>487</v>
      </c>
      <c r="AD474" t="s">
        <v>6</v>
      </c>
      <c r="AE474">
        <v>8307</v>
      </c>
      <c r="AF474">
        <v>57.9</v>
      </c>
    </row>
    <row r="475" spans="29:32" x14ac:dyDescent="0.35">
      <c r="AC475" t="s">
        <v>488</v>
      </c>
      <c r="AD475" t="s">
        <v>6</v>
      </c>
      <c r="AE475">
        <v>8309</v>
      </c>
      <c r="AF475">
        <v>54.9</v>
      </c>
    </row>
    <row r="476" spans="29:32" x14ac:dyDescent="0.35">
      <c r="AC476" t="s">
        <v>489</v>
      </c>
      <c r="AD476" t="s">
        <v>6</v>
      </c>
      <c r="AE476">
        <v>8316</v>
      </c>
      <c r="AF476">
        <v>57.9</v>
      </c>
    </row>
    <row r="477" spans="29:32" x14ac:dyDescent="0.35">
      <c r="AC477" t="s">
        <v>490</v>
      </c>
      <c r="AD477" t="s">
        <v>6</v>
      </c>
      <c r="AE477">
        <v>8308</v>
      </c>
      <c r="AF477">
        <v>49.9</v>
      </c>
    </row>
    <row r="478" spans="29:32" x14ac:dyDescent="0.35">
      <c r="AC478" t="s">
        <v>491</v>
      </c>
      <c r="AD478" t="s">
        <v>6</v>
      </c>
      <c r="AE478">
        <v>8312</v>
      </c>
      <c r="AF478">
        <v>49.9</v>
      </c>
    </row>
    <row r="479" spans="29:32" x14ac:dyDescent="0.35">
      <c r="AC479" t="s">
        <v>492</v>
      </c>
      <c r="AD479" t="s">
        <v>6</v>
      </c>
      <c r="AE479">
        <v>8317</v>
      </c>
      <c r="AF479">
        <v>39.9</v>
      </c>
    </row>
    <row r="480" spans="29:32" x14ac:dyDescent="0.35">
      <c r="AC480" t="s">
        <v>493</v>
      </c>
      <c r="AD480" t="s">
        <v>7</v>
      </c>
      <c r="AE480">
        <v>6903</v>
      </c>
      <c r="AF480">
        <v>24.9</v>
      </c>
    </row>
    <row r="481" spans="29:32" x14ac:dyDescent="0.35">
      <c r="AC481" t="s">
        <v>494</v>
      </c>
      <c r="AD481" t="s">
        <v>6</v>
      </c>
      <c r="AE481">
        <v>8323</v>
      </c>
      <c r="AF481">
        <v>54.9</v>
      </c>
    </row>
    <row r="482" spans="29:32" x14ac:dyDescent="0.35">
      <c r="AC482" t="s">
        <v>495</v>
      </c>
      <c r="AD482" t="s">
        <v>6</v>
      </c>
      <c r="AE482">
        <v>8328</v>
      </c>
      <c r="AF482">
        <v>34.9</v>
      </c>
    </row>
    <row r="483" spans="29:32" x14ac:dyDescent="0.35">
      <c r="AC483" t="s">
        <v>496</v>
      </c>
      <c r="AD483" t="s">
        <v>6</v>
      </c>
      <c r="AE483">
        <v>8324</v>
      </c>
      <c r="AF483">
        <v>39.9</v>
      </c>
    </row>
    <row r="484" spans="29:32" x14ac:dyDescent="0.35">
      <c r="AC484" t="s">
        <v>497</v>
      </c>
      <c r="AD484" t="s">
        <v>6</v>
      </c>
      <c r="AE484">
        <v>8331</v>
      </c>
      <c r="AF484">
        <v>34.9</v>
      </c>
    </row>
    <row r="485" spans="29:32" x14ac:dyDescent="0.35">
      <c r="AC485" t="s">
        <v>498</v>
      </c>
      <c r="AD485" t="s">
        <v>6</v>
      </c>
      <c r="AE485">
        <v>8330</v>
      </c>
      <c r="AF485">
        <v>34.9</v>
      </c>
    </row>
    <row r="486" spans="29:32" x14ac:dyDescent="0.35">
      <c r="AC486" t="s">
        <v>499</v>
      </c>
      <c r="AD486" t="s">
        <v>6</v>
      </c>
      <c r="AE486">
        <v>8334</v>
      </c>
      <c r="AF486">
        <v>34.9</v>
      </c>
    </row>
    <row r="487" spans="29:32" x14ac:dyDescent="0.35">
      <c r="AC487" t="s">
        <v>500</v>
      </c>
      <c r="AD487" t="s">
        <v>6</v>
      </c>
      <c r="AE487">
        <v>8336</v>
      </c>
      <c r="AF487">
        <v>46.9</v>
      </c>
    </row>
    <row r="488" spans="29:32" x14ac:dyDescent="0.35">
      <c r="AC488" t="s">
        <v>501</v>
      </c>
      <c r="AD488" t="s">
        <v>6</v>
      </c>
      <c r="AE488">
        <v>8337</v>
      </c>
      <c r="AF488">
        <v>69.900000000000006</v>
      </c>
    </row>
    <row r="489" spans="29:32" x14ac:dyDescent="0.35">
      <c r="AC489" t="s">
        <v>502</v>
      </c>
      <c r="AD489" t="s">
        <v>6</v>
      </c>
      <c r="AE489">
        <v>8341</v>
      </c>
      <c r="AF489">
        <v>69.900000000000006</v>
      </c>
    </row>
    <row r="490" spans="29:32" x14ac:dyDescent="0.35">
      <c r="AC490" t="s">
        <v>503</v>
      </c>
      <c r="AD490" t="s">
        <v>6</v>
      </c>
      <c r="AE490">
        <v>3683</v>
      </c>
      <c r="AF490">
        <v>69.900000000000006</v>
      </c>
    </row>
    <row r="491" spans="29:32" x14ac:dyDescent="0.35">
      <c r="AC491" t="s">
        <v>504</v>
      </c>
      <c r="AD491" t="s">
        <v>6</v>
      </c>
      <c r="AE491">
        <v>8346</v>
      </c>
      <c r="AF491">
        <v>69.900000000000006</v>
      </c>
    </row>
    <row r="492" spans="29:32" x14ac:dyDescent="0.35">
      <c r="AC492" t="s">
        <v>505</v>
      </c>
      <c r="AD492" t="s">
        <v>6</v>
      </c>
      <c r="AE492">
        <v>8345</v>
      </c>
      <c r="AF492">
        <v>69.900000000000006</v>
      </c>
    </row>
    <row r="493" spans="29:32" x14ac:dyDescent="0.35">
      <c r="AC493" t="s">
        <v>506</v>
      </c>
      <c r="AD493" t="s">
        <v>6</v>
      </c>
      <c r="AE493">
        <v>103645</v>
      </c>
      <c r="AF493">
        <v>69.900000000000006</v>
      </c>
    </row>
    <row r="494" spans="29:32" x14ac:dyDescent="0.35">
      <c r="AC494" t="s">
        <v>507</v>
      </c>
      <c r="AD494" t="s">
        <v>6</v>
      </c>
      <c r="AE494">
        <v>6952</v>
      </c>
      <c r="AF494">
        <v>49.9</v>
      </c>
    </row>
    <row r="495" spans="29:32" x14ac:dyDescent="0.35">
      <c r="AC495" t="s">
        <v>508</v>
      </c>
      <c r="AD495" t="s">
        <v>6</v>
      </c>
      <c r="AE495">
        <v>8349</v>
      </c>
      <c r="AF495">
        <v>68.900000000000006</v>
      </c>
    </row>
    <row r="496" spans="29:32" x14ac:dyDescent="0.35">
      <c r="AC496" t="s">
        <v>509</v>
      </c>
      <c r="AD496" t="s">
        <v>6</v>
      </c>
      <c r="AE496">
        <v>8350</v>
      </c>
      <c r="AF496">
        <v>64.900000000000006</v>
      </c>
    </row>
    <row r="497" spans="29:32" x14ac:dyDescent="0.35">
      <c r="AC497" t="s">
        <v>510</v>
      </c>
      <c r="AD497" t="s">
        <v>6</v>
      </c>
      <c r="AE497">
        <v>8352</v>
      </c>
      <c r="AF497">
        <v>64.900000000000006</v>
      </c>
    </row>
    <row r="498" spans="29:32" x14ac:dyDescent="0.35">
      <c r="AC498" t="s">
        <v>511</v>
      </c>
      <c r="AD498" t="s">
        <v>6</v>
      </c>
      <c r="AE498">
        <v>8358</v>
      </c>
      <c r="AF498">
        <v>99.9</v>
      </c>
    </row>
    <row r="499" spans="29:32" x14ac:dyDescent="0.35">
      <c r="AC499" t="s">
        <v>512</v>
      </c>
      <c r="AD499" t="s">
        <v>6</v>
      </c>
      <c r="AE499">
        <v>8360</v>
      </c>
      <c r="AF499">
        <v>99.9</v>
      </c>
    </row>
    <row r="500" spans="29:32" x14ac:dyDescent="0.35">
      <c r="AC500" t="s">
        <v>513</v>
      </c>
      <c r="AD500" t="s">
        <v>6</v>
      </c>
      <c r="AE500">
        <v>8361</v>
      </c>
      <c r="AF500">
        <v>59.9</v>
      </c>
    </row>
    <row r="501" spans="29:32" x14ac:dyDescent="0.35">
      <c r="AC501" t="s">
        <v>514</v>
      </c>
      <c r="AD501" t="s">
        <v>6</v>
      </c>
      <c r="AE501">
        <v>8362</v>
      </c>
      <c r="AF501">
        <v>69.900000000000006</v>
      </c>
    </row>
    <row r="502" spans="29:32" x14ac:dyDescent="0.35">
      <c r="AC502" t="s">
        <v>515</v>
      </c>
      <c r="AD502" t="s">
        <v>6</v>
      </c>
      <c r="AE502">
        <v>8363</v>
      </c>
      <c r="AF502">
        <v>129.9</v>
      </c>
    </row>
    <row r="503" spans="29:32" x14ac:dyDescent="0.35">
      <c r="AC503" t="s">
        <v>516</v>
      </c>
      <c r="AD503" t="s">
        <v>6</v>
      </c>
      <c r="AE503">
        <v>8367</v>
      </c>
      <c r="AF503">
        <v>162.9</v>
      </c>
    </row>
    <row r="504" spans="29:32" x14ac:dyDescent="0.35">
      <c r="AC504" t="s">
        <v>517</v>
      </c>
      <c r="AD504" t="s">
        <v>6</v>
      </c>
      <c r="AE504">
        <v>1560</v>
      </c>
      <c r="AF504">
        <v>162.9</v>
      </c>
    </row>
    <row r="505" spans="29:32" x14ac:dyDescent="0.35">
      <c r="AC505" t="s">
        <v>518</v>
      </c>
      <c r="AD505" t="s">
        <v>6</v>
      </c>
      <c r="AE505">
        <v>8371</v>
      </c>
      <c r="AF505">
        <v>93.9</v>
      </c>
    </row>
    <row r="506" spans="29:32" x14ac:dyDescent="0.35">
      <c r="AC506" t="s">
        <v>519</v>
      </c>
      <c r="AD506" t="s">
        <v>6</v>
      </c>
      <c r="AE506">
        <v>1706</v>
      </c>
      <c r="AF506">
        <v>93.9</v>
      </c>
    </row>
    <row r="507" spans="29:32" x14ac:dyDescent="0.35">
      <c r="AC507" t="s">
        <v>520</v>
      </c>
      <c r="AD507" t="s">
        <v>6</v>
      </c>
      <c r="AE507">
        <v>8372</v>
      </c>
      <c r="AF507">
        <v>89.9</v>
      </c>
    </row>
    <row r="508" spans="29:32" x14ac:dyDescent="0.35">
      <c r="AC508" t="s">
        <v>521</v>
      </c>
      <c r="AD508" t="s">
        <v>6</v>
      </c>
      <c r="AE508">
        <v>3682</v>
      </c>
      <c r="AF508">
        <v>89.9</v>
      </c>
    </row>
    <row r="509" spans="29:32" x14ac:dyDescent="0.35">
      <c r="AC509" t="s">
        <v>522</v>
      </c>
      <c r="AD509" t="s">
        <v>6</v>
      </c>
      <c r="AE509">
        <v>8374</v>
      </c>
      <c r="AF509">
        <v>126.9</v>
      </c>
    </row>
    <row r="510" spans="29:32" x14ac:dyDescent="0.35">
      <c r="AC510" t="s">
        <v>523</v>
      </c>
      <c r="AD510" t="s">
        <v>6</v>
      </c>
      <c r="AE510">
        <v>1814</v>
      </c>
      <c r="AF510">
        <v>126.9</v>
      </c>
    </row>
    <row r="511" spans="29:32" x14ac:dyDescent="0.35">
      <c r="AC511" t="s">
        <v>524</v>
      </c>
      <c r="AD511" t="s">
        <v>6</v>
      </c>
      <c r="AE511">
        <v>8375</v>
      </c>
      <c r="AF511">
        <v>24.9</v>
      </c>
    </row>
    <row r="512" spans="29:32" x14ac:dyDescent="0.35">
      <c r="AC512" t="s">
        <v>525</v>
      </c>
      <c r="AD512" t="s">
        <v>6</v>
      </c>
      <c r="AE512">
        <v>3156</v>
      </c>
      <c r="AF512">
        <v>24.9</v>
      </c>
    </row>
    <row r="513" spans="29:32" x14ac:dyDescent="0.35">
      <c r="AC513" t="s">
        <v>526</v>
      </c>
      <c r="AD513" t="s">
        <v>6</v>
      </c>
      <c r="AE513">
        <v>8379</v>
      </c>
      <c r="AF513">
        <v>39.9</v>
      </c>
    </row>
    <row r="514" spans="29:32" x14ac:dyDescent="0.35">
      <c r="AC514" t="s">
        <v>527</v>
      </c>
      <c r="AD514" t="s">
        <v>6</v>
      </c>
      <c r="AE514">
        <v>96119</v>
      </c>
      <c r="AF514">
        <v>39.9</v>
      </c>
    </row>
    <row r="515" spans="29:32" x14ac:dyDescent="0.35">
      <c r="AC515" t="s">
        <v>528</v>
      </c>
      <c r="AD515" t="s">
        <v>6</v>
      </c>
      <c r="AE515">
        <v>4083</v>
      </c>
      <c r="AF515">
        <v>49</v>
      </c>
    </row>
    <row r="516" spans="29:32" x14ac:dyDescent="0.35">
      <c r="AC516" t="s">
        <v>529</v>
      </c>
      <c r="AD516" t="s">
        <v>6</v>
      </c>
      <c r="AE516">
        <v>8380</v>
      </c>
      <c r="AF516">
        <v>49</v>
      </c>
    </row>
    <row r="517" spans="29:32" x14ac:dyDescent="0.35">
      <c r="AC517" t="s">
        <v>530</v>
      </c>
      <c r="AD517" t="s">
        <v>6</v>
      </c>
      <c r="AE517">
        <v>8381</v>
      </c>
      <c r="AF517">
        <v>49.9</v>
      </c>
    </row>
    <row r="518" spans="29:32" x14ac:dyDescent="0.35">
      <c r="AC518" t="s">
        <v>531</v>
      </c>
      <c r="AD518" t="s">
        <v>6</v>
      </c>
      <c r="AE518">
        <v>94313</v>
      </c>
      <c r="AF518">
        <v>39.9</v>
      </c>
    </row>
    <row r="519" spans="29:32" x14ac:dyDescent="0.35">
      <c r="AC519" t="s">
        <v>532</v>
      </c>
      <c r="AD519" t="s">
        <v>6</v>
      </c>
      <c r="AE519">
        <v>8383</v>
      </c>
      <c r="AF519">
        <v>59.9</v>
      </c>
    </row>
    <row r="520" spans="29:32" x14ac:dyDescent="0.35">
      <c r="AC520" t="s">
        <v>533</v>
      </c>
      <c r="AD520" t="s">
        <v>6</v>
      </c>
      <c r="AE520">
        <v>109163</v>
      </c>
      <c r="AF520">
        <v>59.9</v>
      </c>
    </row>
    <row r="521" spans="29:32" x14ac:dyDescent="0.35">
      <c r="AC521" t="s">
        <v>534</v>
      </c>
      <c r="AD521" t="s">
        <v>6</v>
      </c>
      <c r="AE521">
        <v>8384</v>
      </c>
      <c r="AF521">
        <v>39.9</v>
      </c>
    </row>
    <row r="522" spans="29:32" x14ac:dyDescent="0.35">
      <c r="AC522" t="s">
        <v>535</v>
      </c>
      <c r="AD522" t="s">
        <v>6</v>
      </c>
      <c r="AE522">
        <v>8386</v>
      </c>
      <c r="AF522">
        <v>49.9</v>
      </c>
    </row>
    <row r="523" spans="29:32" x14ac:dyDescent="0.35">
      <c r="AC523" t="s">
        <v>536</v>
      </c>
      <c r="AD523" t="s">
        <v>6</v>
      </c>
      <c r="AE523">
        <v>8385</v>
      </c>
      <c r="AF523">
        <v>49.9</v>
      </c>
    </row>
    <row r="524" spans="29:32" x14ac:dyDescent="0.35">
      <c r="AC524" t="s">
        <v>537</v>
      </c>
      <c r="AD524" t="s">
        <v>6</v>
      </c>
      <c r="AE524">
        <v>4642</v>
      </c>
      <c r="AF524">
        <v>43.9</v>
      </c>
    </row>
    <row r="525" spans="29:32" x14ac:dyDescent="0.35">
      <c r="AC525" t="s">
        <v>538</v>
      </c>
      <c r="AD525" t="s">
        <v>7</v>
      </c>
      <c r="AE525">
        <v>5688</v>
      </c>
      <c r="AF525">
        <v>19.899999999999999</v>
      </c>
    </row>
    <row r="526" spans="29:32" x14ac:dyDescent="0.35">
      <c r="AC526" t="s">
        <v>539</v>
      </c>
      <c r="AD526" t="s">
        <v>6</v>
      </c>
      <c r="AE526">
        <v>5687</v>
      </c>
      <c r="AF526">
        <v>39.9</v>
      </c>
    </row>
    <row r="527" spans="29:32" x14ac:dyDescent="0.35">
      <c r="AC527" t="s">
        <v>540</v>
      </c>
      <c r="AD527" t="s">
        <v>6</v>
      </c>
      <c r="AE527">
        <v>8387</v>
      </c>
      <c r="AF527">
        <v>44.9</v>
      </c>
    </row>
    <row r="528" spans="29:32" x14ac:dyDescent="0.35">
      <c r="AC528" t="s">
        <v>541</v>
      </c>
      <c r="AD528" t="s">
        <v>6</v>
      </c>
      <c r="AE528">
        <v>4141</v>
      </c>
      <c r="AF528">
        <v>44.9</v>
      </c>
    </row>
    <row r="529" spans="29:32" x14ac:dyDescent="0.35">
      <c r="AC529" t="s">
        <v>542</v>
      </c>
      <c r="AD529" t="s">
        <v>6</v>
      </c>
      <c r="AE529">
        <v>8389</v>
      </c>
      <c r="AF529">
        <v>49.9</v>
      </c>
    </row>
    <row r="530" spans="29:32" x14ac:dyDescent="0.35">
      <c r="AC530" t="s">
        <v>543</v>
      </c>
      <c r="AD530" t="s">
        <v>7</v>
      </c>
      <c r="AE530">
        <v>9124</v>
      </c>
      <c r="AF530">
        <v>25.9</v>
      </c>
    </row>
    <row r="531" spans="29:32" x14ac:dyDescent="0.35">
      <c r="AC531" t="s">
        <v>544</v>
      </c>
      <c r="AD531" t="s">
        <v>6</v>
      </c>
      <c r="AE531">
        <v>8390</v>
      </c>
      <c r="AF531">
        <v>64.900000000000006</v>
      </c>
    </row>
    <row r="532" spans="29:32" x14ac:dyDescent="0.35">
      <c r="AC532" t="s">
        <v>545</v>
      </c>
      <c r="AD532" t="s">
        <v>6</v>
      </c>
      <c r="AE532">
        <v>8391</v>
      </c>
      <c r="AF532">
        <v>52.9</v>
      </c>
    </row>
    <row r="533" spans="29:32" x14ac:dyDescent="0.35">
      <c r="AC533" t="s">
        <v>546</v>
      </c>
      <c r="AD533" t="s">
        <v>6</v>
      </c>
      <c r="AE533">
        <v>8392</v>
      </c>
      <c r="AF533">
        <v>14.9</v>
      </c>
    </row>
    <row r="534" spans="29:32" x14ac:dyDescent="0.35">
      <c r="AC534" t="s">
        <v>547</v>
      </c>
      <c r="AD534" t="s">
        <v>6</v>
      </c>
      <c r="AE534">
        <v>8393</v>
      </c>
      <c r="AF534">
        <v>59.9</v>
      </c>
    </row>
    <row r="535" spans="29:32" x14ac:dyDescent="0.35">
      <c r="AC535" t="s">
        <v>548</v>
      </c>
      <c r="AD535" t="s">
        <v>6</v>
      </c>
      <c r="AE535">
        <v>95389</v>
      </c>
      <c r="AF535">
        <v>49.9</v>
      </c>
    </row>
    <row r="536" spans="29:32" x14ac:dyDescent="0.35">
      <c r="AC536" t="s">
        <v>549</v>
      </c>
      <c r="AD536" t="s">
        <v>6</v>
      </c>
      <c r="AE536">
        <v>8396</v>
      </c>
      <c r="AF536">
        <v>94.9</v>
      </c>
    </row>
    <row r="537" spans="29:32" x14ac:dyDescent="0.35">
      <c r="AC537" t="s">
        <v>550</v>
      </c>
      <c r="AD537" t="s">
        <v>6</v>
      </c>
      <c r="AE537">
        <v>93466</v>
      </c>
      <c r="AF537">
        <v>94.9</v>
      </c>
    </row>
    <row r="538" spans="29:32" x14ac:dyDescent="0.35">
      <c r="AC538" t="s">
        <v>551</v>
      </c>
      <c r="AD538" t="s">
        <v>6</v>
      </c>
      <c r="AE538">
        <v>8397</v>
      </c>
      <c r="AF538">
        <v>93.9</v>
      </c>
    </row>
    <row r="539" spans="29:32" x14ac:dyDescent="0.35">
      <c r="AC539" t="s">
        <v>552</v>
      </c>
      <c r="AD539" t="s">
        <v>6</v>
      </c>
      <c r="AE539">
        <v>8398</v>
      </c>
      <c r="AF539">
        <v>94.9</v>
      </c>
    </row>
    <row r="540" spans="29:32" x14ac:dyDescent="0.35">
      <c r="AC540" t="s">
        <v>553</v>
      </c>
      <c r="AD540" t="s">
        <v>6</v>
      </c>
      <c r="AE540">
        <v>5764</v>
      </c>
      <c r="AF540">
        <v>94.9</v>
      </c>
    </row>
    <row r="541" spans="29:32" x14ac:dyDescent="0.35">
      <c r="AC541" t="s">
        <v>554</v>
      </c>
      <c r="AD541" t="s">
        <v>6</v>
      </c>
      <c r="AE541">
        <v>8399</v>
      </c>
      <c r="AF541">
        <v>43.9</v>
      </c>
    </row>
    <row r="542" spans="29:32" x14ac:dyDescent="0.35">
      <c r="AC542" t="s">
        <v>555</v>
      </c>
      <c r="AD542" t="s">
        <v>6</v>
      </c>
      <c r="AE542">
        <v>3706</v>
      </c>
      <c r="AF542">
        <v>43.9</v>
      </c>
    </row>
    <row r="543" spans="29:32" x14ac:dyDescent="0.35">
      <c r="AC543" t="s">
        <v>556</v>
      </c>
      <c r="AD543" t="s">
        <v>6</v>
      </c>
      <c r="AE543">
        <v>8400</v>
      </c>
      <c r="AF543">
        <v>56.9</v>
      </c>
    </row>
    <row r="544" spans="29:32" x14ac:dyDescent="0.35">
      <c r="AC544" t="s">
        <v>557</v>
      </c>
      <c r="AD544" t="s">
        <v>6</v>
      </c>
      <c r="AE544">
        <v>8401</v>
      </c>
      <c r="AF544">
        <v>53.9</v>
      </c>
    </row>
    <row r="545" spans="29:32" x14ac:dyDescent="0.35">
      <c r="AC545" t="s">
        <v>558</v>
      </c>
      <c r="AD545" t="s">
        <v>6</v>
      </c>
      <c r="AE545">
        <v>8402</v>
      </c>
      <c r="AF545">
        <v>41.9</v>
      </c>
    </row>
    <row r="546" spans="29:32" x14ac:dyDescent="0.35">
      <c r="AC546" t="s">
        <v>559</v>
      </c>
      <c r="AD546" t="s">
        <v>6</v>
      </c>
      <c r="AE546">
        <v>8403</v>
      </c>
      <c r="AF546">
        <v>14.9</v>
      </c>
    </row>
    <row r="547" spans="29:32" x14ac:dyDescent="0.35">
      <c r="AC547" t="s">
        <v>560</v>
      </c>
      <c r="AD547" t="s">
        <v>6</v>
      </c>
      <c r="AE547">
        <v>8404</v>
      </c>
      <c r="AF547">
        <v>24.9</v>
      </c>
    </row>
    <row r="548" spans="29:32" x14ac:dyDescent="0.35">
      <c r="AC548" t="s">
        <v>561</v>
      </c>
      <c r="AD548" t="s">
        <v>6</v>
      </c>
      <c r="AE548">
        <v>8408</v>
      </c>
      <c r="AF548">
        <v>69.900000000000006</v>
      </c>
    </row>
    <row r="549" spans="29:32" x14ac:dyDescent="0.35">
      <c r="AC549" t="s">
        <v>562</v>
      </c>
      <c r="AD549" t="s">
        <v>6</v>
      </c>
      <c r="AE549">
        <v>8409</v>
      </c>
      <c r="AF549">
        <v>59.9</v>
      </c>
    </row>
    <row r="550" spans="29:32" x14ac:dyDescent="0.35">
      <c r="AC550" t="s">
        <v>563</v>
      </c>
      <c r="AD550" t="s">
        <v>6</v>
      </c>
      <c r="AE550">
        <v>8410</v>
      </c>
      <c r="AF550">
        <v>59.9</v>
      </c>
    </row>
    <row r="551" spans="29:32" x14ac:dyDescent="0.35">
      <c r="AC551" t="s">
        <v>564</v>
      </c>
      <c r="AD551" t="s">
        <v>6</v>
      </c>
      <c r="AE551">
        <v>8416</v>
      </c>
      <c r="AF551">
        <v>64.900000000000006</v>
      </c>
    </row>
    <row r="552" spans="29:32" x14ac:dyDescent="0.35">
      <c r="AC552" t="s">
        <v>565</v>
      </c>
      <c r="AD552" t="s">
        <v>6</v>
      </c>
      <c r="AE552">
        <v>8424</v>
      </c>
      <c r="AF552">
        <v>69.900000000000006</v>
      </c>
    </row>
    <row r="553" spans="29:32" x14ac:dyDescent="0.35">
      <c r="AC553" t="s">
        <v>566</v>
      </c>
      <c r="AD553" t="s">
        <v>6</v>
      </c>
      <c r="AE553">
        <v>8426</v>
      </c>
      <c r="AF553">
        <v>79</v>
      </c>
    </row>
    <row r="554" spans="29:32" x14ac:dyDescent="0.35">
      <c r="AC554" t="s">
        <v>567</v>
      </c>
      <c r="AD554" t="s">
        <v>6</v>
      </c>
      <c r="AE554">
        <v>8427</v>
      </c>
      <c r="AF554">
        <v>64.900000000000006</v>
      </c>
    </row>
    <row r="555" spans="29:32" x14ac:dyDescent="0.35">
      <c r="AC555" t="s">
        <v>568</v>
      </c>
      <c r="AD555" t="s">
        <v>7</v>
      </c>
      <c r="AE555">
        <v>4980</v>
      </c>
      <c r="AF555">
        <v>79.900000000000006</v>
      </c>
    </row>
    <row r="556" spans="29:32" x14ac:dyDescent="0.35">
      <c r="AC556" t="s">
        <v>569</v>
      </c>
      <c r="AD556" t="s">
        <v>7</v>
      </c>
      <c r="AE556">
        <v>360265</v>
      </c>
      <c r="AF556">
        <v>79.900000000000006</v>
      </c>
    </row>
    <row r="557" spans="29:32" x14ac:dyDescent="0.35">
      <c r="AC557" t="s">
        <v>570</v>
      </c>
      <c r="AD557" t="s">
        <v>6</v>
      </c>
      <c r="AE557">
        <v>8435</v>
      </c>
      <c r="AF557">
        <v>79.900000000000006</v>
      </c>
    </row>
    <row r="558" spans="29:32" x14ac:dyDescent="0.35">
      <c r="AC558" t="s">
        <v>571</v>
      </c>
      <c r="AD558" t="s">
        <v>6</v>
      </c>
      <c r="AE558">
        <v>8436</v>
      </c>
      <c r="AF558">
        <v>31.9</v>
      </c>
    </row>
    <row r="559" spans="29:32" x14ac:dyDescent="0.35">
      <c r="AC559" t="s">
        <v>572</v>
      </c>
      <c r="AD559" t="s">
        <v>6</v>
      </c>
      <c r="AE559">
        <v>100058</v>
      </c>
      <c r="AF559">
        <v>31.9</v>
      </c>
    </row>
    <row r="560" spans="29:32" x14ac:dyDescent="0.35">
      <c r="AC560" t="s">
        <v>573</v>
      </c>
      <c r="AD560" t="s">
        <v>6</v>
      </c>
      <c r="AE560">
        <v>102857</v>
      </c>
      <c r="AF560">
        <v>31.9</v>
      </c>
    </row>
    <row r="561" spans="29:32" x14ac:dyDescent="0.35">
      <c r="AC561" t="s">
        <v>574</v>
      </c>
      <c r="AD561" t="s">
        <v>6</v>
      </c>
      <c r="AE561">
        <v>8438</v>
      </c>
      <c r="AF561">
        <v>31.9</v>
      </c>
    </row>
    <row r="562" spans="29:32" x14ac:dyDescent="0.35">
      <c r="AC562" t="s">
        <v>575</v>
      </c>
      <c r="AD562" t="s">
        <v>6</v>
      </c>
      <c r="AE562">
        <v>8439</v>
      </c>
      <c r="AF562">
        <v>32.9</v>
      </c>
    </row>
    <row r="563" spans="29:32" x14ac:dyDescent="0.35">
      <c r="AC563" t="s">
        <v>576</v>
      </c>
      <c r="AD563" t="s">
        <v>6</v>
      </c>
      <c r="AE563">
        <v>107413</v>
      </c>
      <c r="AF563">
        <v>32.9</v>
      </c>
    </row>
    <row r="564" spans="29:32" x14ac:dyDescent="0.35">
      <c r="AC564" t="s">
        <v>577</v>
      </c>
      <c r="AD564" t="s">
        <v>6</v>
      </c>
      <c r="AE564">
        <v>8474</v>
      </c>
      <c r="AF564">
        <v>32.9</v>
      </c>
    </row>
    <row r="565" spans="29:32" x14ac:dyDescent="0.35">
      <c r="AC565" t="s">
        <v>578</v>
      </c>
      <c r="AD565" t="s">
        <v>6</v>
      </c>
      <c r="AE565">
        <v>8441</v>
      </c>
      <c r="AF565">
        <v>29.9</v>
      </c>
    </row>
    <row r="566" spans="29:32" x14ac:dyDescent="0.35">
      <c r="AC566" t="s">
        <v>579</v>
      </c>
      <c r="AD566" t="s">
        <v>6</v>
      </c>
      <c r="AE566">
        <v>93626</v>
      </c>
      <c r="AF566">
        <v>39.9</v>
      </c>
    </row>
    <row r="567" spans="29:32" x14ac:dyDescent="0.35">
      <c r="AC567" t="s">
        <v>580</v>
      </c>
      <c r="AD567" t="s">
        <v>6</v>
      </c>
      <c r="AE567">
        <v>8442</v>
      </c>
      <c r="AF567">
        <v>38.9</v>
      </c>
    </row>
    <row r="568" spans="29:32" x14ac:dyDescent="0.35">
      <c r="AC568" t="s">
        <v>581</v>
      </c>
      <c r="AD568" t="s">
        <v>6</v>
      </c>
      <c r="AE568">
        <v>8326</v>
      </c>
      <c r="AF568">
        <v>49.9</v>
      </c>
    </row>
    <row r="569" spans="29:32" x14ac:dyDescent="0.35">
      <c r="AC569" t="s">
        <v>582</v>
      </c>
      <c r="AD569" t="s">
        <v>6</v>
      </c>
      <c r="AE569">
        <v>8444</v>
      </c>
      <c r="AF569">
        <v>34.9</v>
      </c>
    </row>
    <row r="570" spans="29:32" x14ac:dyDescent="0.35">
      <c r="AC570" t="s">
        <v>583</v>
      </c>
      <c r="AD570" t="s">
        <v>6</v>
      </c>
      <c r="AE570">
        <v>8445</v>
      </c>
      <c r="AF570">
        <v>79.900000000000006</v>
      </c>
    </row>
    <row r="571" spans="29:32" x14ac:dyDescent="0.35">
      <c r="AC571" t="s">
        <v>584</v>
      </c>
      <c r="AD571" t="s">
        <v>6</v>
      </c>
      <c r="AE571">
        <v>8450</v>
      </c>
      <c r="AF571">
        <v>25.9</v>
      </c>
    </row>
    <row r="572" spans="29:32" x14ac:dyDescent="0.35">
      <c r="AC572" t="s">
        <v>585</v>
      </c>
      <c r="AD572" t="s">
        <v>6</v>
      </c>
      <c r="AE572">
        <v>8459</v>
      </c>
      <c r="AF572">
        <v>34.9</v>
      </c>
    </row>
    <row r="573" spans="29:32" x14ac:dyDescent="0.35">
      <c r="AC573" t="s">
        <v>586</v>
      </c>
      <c r="AD573" t="s">
        <v>6</v>
      </c>
      <c r="AE573">
        <v>1998</v>
      </c>
      <c r="AF573">
        <v>34.9</v>
      </c>
    </row>
    <row r="574" spans="29:32" x14ac:dyDescent="0.35">
      <c r="AC574" t="s">
        <v>587</v>
      </c>
      <c r="AD574" t="s">
        <v>6</v>
      </c>
      <c r="AE574">
        <v>8465</v>
      </c>
      <c r="AF574">
        <v>41.9</v>
      </c>
    </row>
    <row r="575" spans="29:32" x14ac:dyDescent="0.35">
      <c r="AC575" t="s">
        <v>588</v>
      </c>
      <c r="AD575" t="s">
        <v>6</v>
      </c>
      <c r="AE575">
        <v>8473</v>
      </c>
      <c r="AF575">
        <v>39.9</v>
      </c>
    </row>
    <row r="576" spans="29:32" x14ac:dyDescent="0.35">
      <c r="AC576" t="s">
        <v>589</v>
      </c>
      <c r="AD576" t="s">
        <v>6</v>
      </c>
      <c r="AE576">
        <v>110332</v>
      </c>
      <c r="AF576">
        <v>32.9</v>
      </c>
    </row>
    <row r="577" spans="29:32" x14ac:dyDescent="0.35">
      <c r="AC577" t="s">
        <v>590</v>
      </c>
      <c r="AD577" t="s">
        <v>6</v>
      </c>
      <c r="AE577">
        <v>8475</v>
      </c>
      <c r="AF577">
        <v>34.9</v>
      </c>
    </row>
    <row r="578" spans="29:32" x14ac:dyDescent="0.35">
      <c r="AC578" t="s">
        <v>591</v>
      </c>
      <c r="AD578" t="s">
        <v>6</v>
      </c>
      <c r="AE578">
        <v>8479</v>
      </c>
      <c r="AF578">
        <v>39.9</v>
      </c>
    </row>
    <row r="579" spans="29:32" x14ac:dyDescent="0.35">
      <c r="AC579" t="s">
        <v>592</v>
      </c>
      <c r="AD579" t="s">
        <v>6</v>
      </c>
      <c r="AE579">
        <v>2957</v>
      </c>
      <c r="AF579">
        <v>39.9</v>
      </c>
    </row>
    <row r="580" spans="29:32" x14ac:dyDescent="0.35">
      <c r="AC580" t="s">
        <v>593</v>
      </c>
      <c r="AD580" t="s">
        <v>6</v>
      </c>
      <c r="AE580">
        <v>8480</v>
      </c>
      <c r="AF580">
        <v>39.9</v>
      </c>
    </row>
    <row r="581" spans="29:32" x14ac:dyDescent="0.35">
      <c r="AC581" t="s">
        <v>594</v>
      </c>
      <c r="AD581" t="s">
        <v>6</v>
      </c>
      <c r="AE581">
        <v>94461</v>
      </c>
      <c r="AF581">
        <v>31.9</v>
      </c>
    </row>
    <row r="582" spans="29:32" x14ac:dyDescent="0.35">
      <c r="AC582" t="s">
        <v>595</v>
      </c>
      <c r="AD582" t="s">
        <v>6</v>
      </c>
      <c r="AE582">
        <v>8481</v>
      </c>
      <c r="AF582">
        <v>39.9</v>
      </c>
    </row>
    <row r="583" spans="29:32" x14ac:dyDescent="0.35">
      <c r="AC583" t="s">
        <v>596</v>
      </c>
      <c r="AD583" t="s">
        <v>6</v>
      </c>
      <c r="AE583">
        <v>6237</v>
      </c>
      <c r="AF583">
        <v>39.9</v>
      </c>
    </row>
    <row r="584" spans="29:32" x14ac:dyDescent="0.35">
      <c r="AC584" t="s">
        <v>597</v>
      </c>
      <c r="AD584" t="s">
        <v>6</v>
      </c>
      <c r="AE584">
        <v>8483</v>
      </c>
      <c r="AF584">
        <v>49.9</v>
      </c>
    </row>
    <row r="585" spans="29:32" x14ac:dyDescent="0.35">
      <c r="AC585" t="s">
        <v>598</v>
      </c>
      <c r="AD585" t="s">
        <v>6</v>
      </c>
      <c r="AE585">
        <v>6857</v>
      </c>
      <c r="AF585">
        <v>49.9</v>
      </c>
    </row>
    <row r="586" spans="29:32" x14ac:dyDescent="0.35">
      <c r="AC586" t="s">
        <v>599</v>
      </c>
      <c r="AD586" t="s">
        <v>6</v>
      </c>
      <c r="AE586">
        <v>8482</v>
      </c>
      <c r="AF586">
        <v>49.9</v>
      </c>
    </row>
    <row r="587" spans="29:32" x14ac:dyDescent="0.35">
      <c r="AC587" t="s">
        <v>600</v>
      </c>
      <c r="AD587" t="s">
        <v>6</v>
      </c>
      <c r="AE587">
        <v>93469</v>
      </c>
      <c r="AF587">
        <v>49.9</v>
      </c>
    </row>
    <row r="588" spans="29:32" x14ac:dyDescent="0.35">
      <c r="AC588" t="s">
        <v>601</v>
      </c>
      <c r="AD588" t="s">
        <v>6</v>
      </c>
      <c r="AE588">
        <v>100865</v>
      </c>
      <c r="AF588">
        <v>115.9</v>
      </c>
    </row>
    <row r="589" spans="29:32" x14ac:dyDescent="0.35">
      <c r="AC589" t="s">
        <v>602</v>
      </c>
      <c r="AD589" t="s">
        <v>6</v>
      </c>
      <c r="AE589">
        <v>8484</v>
      </c>
      <c r="AF589">
        <v>115.9</v>
      </c>
    </row>
    <row r="590" spans="29:32" x14ac:dyDescent="0.35">
      <c r="AC590" t="s">
        <v>603</v>
      </c>
      <c r="AD590" t="s">
        <v>6</v>
      </c>
      <c r="AE590">
        <v>8485</v>
      </c>
      <c r="AF590">
        <v>34.9</v>
      </c>
    </row>
    <row r="591" spans="29:32" x14ac:dyDescent="0.35">
      <c r="AC591" t="s">
        <v>604</v>
      </c>
      <c r="AD591" t="s">
        <v>6</v>
      </c>
      <c r="AE591">
        <v>96166</v>
      </c>
      <c r="AF591">
        <v>34.9</v>
      </c>
    </row>
    <row r="592" spans="29:32" x14ac:dyDescent="0.35">
      <c r="AC592" t="s">
        <v>605</v>
      </c>
      <c r="AD592" t="s">
        <v>6</v>
      </c>
      <c r="AE592">
        <v>8491</v>
      </c>
      <c r="AF592">
        <v>78.900000000000006</v>
      </c>
    </row>
    <row r="593" spans="29:32" x14ac:dyDescent="0.35">
      <c r="AC593" t="s">
        <v>606</v>
      </c>
      <c r="AD593" t="s">
        <v>6</v>
      </c>
      <c r="AE593">
        <v>94146</v>
      </c>
      <c r="AF593">
        <v>78.900000000000006</v>
      </c>
    </row>
    <row r="594" spans="29:32" x14ac:dyDescent="0.35">
      <c r="AC594" t="s">
        <v>607</v>
      </c>
      <c r="AD594" t="s">
        <v>6</v>
      </c>
      <c r="AE594">
        <v>8492</v>
      </c>
      <c r="AF594">
        <v>64.900000000000006</v>
      </c>
    </row>
    <row r="595" spans="29:32" x14ac:dyDescent="0.35">
      <c r="AC595" t="s">
        <v>608</v>
      </c>
      <c r="AD595" t="s">
        <v>6</v>
      </c>
      <c r="AE595">
        <v>94808</v>
      </c>
      <c r="AF595">
        <v>64.900000000000006</v>
      </c>
    </row>
    <row r="596" spans="29:32" x14ac:dyDescent="0.35">
      <c r="AC596" t="s">
        <v>609</v>
      </c>
      <c r="AD596" t="s">
        <v>6</v>
      </c>
      <c r="AE596">
        <v>8493</v>
      </c>
      <c r="AF596">
        <v>34.9</v>
      </c>
    </row>
    <row r="597" spans="29:32" x14ac:dyDescent="0.35">
      <c r="AC597" t="s">
        <v>610</v>
      </c>
      <c r="AD597" t="s">
        <v>6</v>
      </c>
      <c r="AE597">
        <v>100583</v>
      </c>
      <c r="AF597">
        <v>34.9</v>
      </c>
    </row>
    <row r="598" spans="29:32" x14ac:dyDescent="0.35">
      <c r="AC598" t="s">
        <v>611</v>
      </c>
      <c r="AD598" t="s">
        <v>6</v>
      </c>
      <c r="AE598">
        <v>8494</v>
      </c>
      <c r="AF598">
        <v>59.9</v>
      </c>
    </row>
    <row r="599" spans="29:32" x14ac:dyDescent="0.35">
      <c r="AC599" t="s">
        <v>612</v>
      </c>
      <c r="AD599" t="s">
        <v>6</v>
      </c>
      <c r="AE599">
        <v>6815</v>
      </c>
      <c r="AF599">
        <v>59.9</v>
      </c>
    </row>
    <row r="600" spans="29:32" x14ac:dyDescent="0.35">
      <c r="AC600" t="s">
        <v>613</v>
      </c>
      <c r="AD600" t="s">
        <v>6</v>
      </c>
      <c r="AE600">
        <v>8497</v>
      </c>
      <c r="AF600">
        <v>29.9</v>
      </c>
    </row>
    <row r="601" spans="29:32" x14ac:dyDescent="0.35">
      <c r="AC601" t="s">
        <v>614</v>
      </c>
      <c r="AD601" t="s">
        <v>6</v>
      </c>
      <c r="AE601">
        <v>1984</v>
      </c>
      <c r="AF601">
        <v>29.9</v>
      </c>
    </row>
    <row r="602" spans="29:32" x14ac:dyDescent="0.35">
      <c r="AC602" t="s">
        <v>615</v>
      </c>
      <c r="AD602" t="s">
        <v>6</v>
      </c>
      <c r="AE602">
        <v>4651</v>
      </c>
      <c r="AF602">
        <v>29.9</v>
      </c>
    </row>
    <row r="603" spans="29:32" x14ac:dyDescent="0.35">
      <c r="AC603" t="s">
        <v>616</v>
      </c>
      <c r="AD603" t="s">
        <v>6</v>
      </c>
      <c r="AE603">
        <v>8498</v>
      </c>
      <c r="AF603">
        <v>29.9</v>
      </c>
    </row>
    <row r="604" spans="29:32" x14ac:dyDescent="0.35">
      <c r="AC604" t="s">
        <v>617</v>
      </c>
      <c r="AD604" t="s">
        <v>6</v>
      </c>
      <c r="AE604">
        <v>6960</v>
      </c>
      <c r="AF604">
        <v>39.9</v>
      </c>
    </row>
    <row r="605" spans="29:32" x14ac:dyDescent="0.35">
      <c r="AC605" t="s">
        <v>618</v>
      </c>
      <c r="AD605" t="s">
        <v>6</v>
      </c>
      <c r="AE605">
        <v>8502</v>
      </c>
      <c r="AF605">
        <v>52.9</v>
      </c>
    </row>
    <row r="606" spans="29:32" x14ac:dyDescent="0.35">
      <c r="AC606" t="s">
        <v>619</v>
      </c>
      <c r="AD606" t="s">
        <v>6</v>
      </c>
      <c r="AE606">
        <v>93473</v>
      </c>
      <c r="AF606">
        <v>49.9</v>
      </c>
    </row>
    <row r="607" spans="29:32" x14ac:dyDescent="0.35">
      <c r="AC607" t="s">
        <v>620</v>
      </c>
      <c r="AD607" t="s">
        <v>6</v>
      </c>
      <c r="AE607">
        <v>8503</v>
      </c>
      <c r="AF607">
        <v>57.8</v>
      </c>
    </row>
    <row r="608" spans="29:32" x14ac:dyDescent="0.35">
      <c r="AC608" t="s">
        <v>621</v>
      </c>
      <c r="AD608" t="s">
        <v>6</v>
      </c>
      <c r="AE608">
        <v>6519</v>
      </c>
      <c r="AF608">
        <v>57.8</v>
      </c>
    </row>
    <row r="609" spans="29:32" x14ac:dyDescent="0.35">
      <c r="AC609" t="s">
        <v>622</v>
      </c>
      <c r="AD609" t="s">
        <v>6</v>
      </c>
      <c r="AE609">
        <v>8505</v>
      </c>
      <c r="AF609">
        <v>36.9</v>
      </c>
    </row>
    <row r="610" spans="29:32" x14ac:dyDescent="0.35">
      <c r="AC610" t="s">
        <v>623</v>
      </c>
      <c r="AD610" t="s">
        <v>6</v>
      </c>
      <c r="AE610">
        <v>5299</v>
      </c>
      <c r="AF610">
        <v>36.9</v>
      </c>
    </row>
    <row r="611" spans="29:32" x14ac:dyDescent="0.35">
      <c r="AC611" t="s">
        <v>624</v>
      </c>
      <c r="AD611" t="s">
        <v>6</v>
      </c>
      <c r="AE611">
        <v>8506</v>
      </c>
      <c r="AF611">
        <v>54.9</v>
      </c>
    </row>
    <row r="612" spans="29:32" x14ac:dyDescent="0.35">
      <c r="AC612" t="s">
        <v>625</v>
      </c>
      <c r="AD612" t="s">
        <v>6</v>
      </c>
      <c r="AE612">
        <v>5312</v>
      </c>
      <c r="AF612">
        <v>54.9</v>
      </c>
    </row>
    <row r="613" spans="29:32" x14ac:dyDescent="0.35">
      <c r="AC613" t="s">
        <v>626</v>
      </c>
      <c r="AD613" t="s">
        <v>6</v>
      </c>
      <c r="AE613">
        <v>8507</v>
      </c>
      <c r="AF613">
        <v>59.9</v>
      </c>
    </row>
    <row r="614" spans="29:32" x14ac:dyDescent="0.35">
      <c r="AC614" t="s">
        <v>627</v>
      </c>
      <c r="AD614" t="s">
        <v>6</v>
      </c>
      <c r="AE614">
        <v>98130</v>
      </c>
      <c r="AF614">
        <v>59.9</v>
      </c>
    </row>
    <row r="615" spans="29:32" x14ac:dyDescent="0.35">
      <c r="AC615" t="s">
        <v>628</v>
      </c>
      <c r="AD615" t="s">
        <v>6</v>
      </c>
      <c r="AE615">
        <v>8518</v>
      </c>
      <c r="AF615">
        <v>79.900000000000006</v>
      </c>
    </row>
    <row r="616" spans="29:32" x14ac:dyDescent="0.35">
      <c r="AC616" t="s">
        <v>629</v>
      </c>
      <c r="AD616" t="s">
        <v>6</v>
      </c>
      <c r="AE616">
        <v>1293</v>
      </c>
      <c r="AF616">
        <v>79.900000000000006</v>
      </c>
    </row>
    <row r="617" spans="29:32" x14ac:dyDescent="0.35">
      <c r="AC617" t="s">
        <v>630</v>
      </c>
      <c r="AD617" t="s">
        <v>6</v>
      </c>
      <c r="AE617">
        <v>6991</v>
      </c>
      <c r="AF617">
        <v>0</v>
      </c>
    </row>
    <row r="618" spans="29:32" x14ac:dyDescent="0.35">
      <c r="AC618" t="s">
        <v>631</v>
      </c>
      <c r="AD618" t="s">
        <v>6</v>
      </c>
      <c r="AE618">
        <v>6998</v>
      </c>
      <c r="AF618">
        <v>49.9</v>
      </c>
    </row>
    <row r="619" spans="29:32" x14ac:dyDescent="0.35">
      <c r="AC619" t="s">
        <v>632</v>
      </c>
      <c r="AD619" t="s">
        <v>6</v>
      </c>
      <c r="AE619">
        <v>8525</v>
      </c>
      <c r="AF619">
        <v>59.9</v>
      </c>
    </row>
    <row r="620" spans="29:32" x14ac:dyDescent="0.35">
      <c r="AC620" t="s">
        <v>633</v>
      </c>
      <c r="AD620" t="s">
        <v>6</v>
      </c>
      <c r="AE620">
        <v>6578</v>
      </c>
      <c r="AF620">
        <v>59.9</v>
      </c>
    </row>
    <row r="621" spans="29:32" x14ac:dyDescent="0.35">
      <c r="AC621" t="s">
        <v>634</v>
      </c>
      <c r="AD621" t="s">
        <v>6</v>
      </c>
      <c r="AE621">
        <v>8526</v>
      </c>
      <c r="AF621">
        <v>69.900000000000006</v>
      </c>
    </row>
    <row r="622" spans="29:32" x14ac:dyDescent="0.35">
      <c r="AC622" t="s">
        <v>635</v>
      </c>
      <c r="AD622" t="s">
        <v>6</v>
      </c>
      <c r="AE622">
        <v>5753</v>
      </c>
      <c r="AF622">
        <v>69.900000000000006</v>
      </c>
    </row>
    <row r="623" spans="29:32" x14ac:dyDescent="0.35">
      <c r="AC623" t="s">
        <v>636</v>
      </c>
      <c r="AD623" t="s">
        <v>6</v>
      </c>
      <c r="AE623">
        <v>105406</v>
      </c>
      <c r="AF623">
        <v>69.900000000000006</v>
      </c>
    </row>
    <row r="624" spans="29:32" x14ac:dyDescent="0.35">
      <c r="AC624" t="s">
        <v>637</v>
      </c>
      <c r="AD624" t="s">
        <v>6</v>
      </c>
      <c r="AE624">
        <v>8529</v>
      </c>
      <c r="AF624">
        <v>69.900000000000006</v>
      </c>
    </row>
    <row r="625" spans="29:32" x14ac:dyDescent="0.35">
      <c r="AC625" t="s">
        <v>638</v>
      </c>
      <c r="AD625" t="s">
        <v>6</v>
      </c>
      <c r="AE625">
        <v>8532</v>
      </c>
      <c r="AF625">
        <v>63.9</v>
      </c>
    </row>
    <row r="626" spans="29:32" x14ac:dyDescent="0.35">
      <c r="AC626" t="s">
        <v>639</v>
      </c>
      <c r="AD626" t="s">
        <v>6</v>
      </c>
      <c r="AE626">
        <v>105407</v>
      </c>
      <c r="AF626">
        <v>63.9</v>
      </c>
    </row>
    <row r="627" spans="29:32" x14ac:dyDescent="0.35">
      <c r="AC627" t="s">
        <v>640</v>
      </c>
      <c r="AD627" t="s">
        <v>6</v>
      </c>
      <c r="AE627">
        <v>8541</v>
      </c>
      <c r="AF627">
        <v>63.9</v>
      </c>
    </row>
    <row r="628" spans="29:32" x14ac:dyDescent="0.35">
      <c r="AC628" t="s">
        <v>641</v>
      </c>
      <c r="AD628" t="s">
        <v>6</v>
      </c>
      <c r="AE628">
        <v>5752</v>
      </c>
      <c r="AF628">
        <v>63.9</v>
      </c>
    </row>
    <row r="629" spans="29:32" x14ac:dyDescent="0.35">
      <c r="AC629" t="s">
        <v>642</v>
      </c>
      <c r="AD629" t="s">
        <v>6</v>
      </c>
      <c r="AE629">
        <v>6032</v>
      </c>
      <c r="AF629">
        <v>63.9</v>
      </c>
    </row>
    <row r="630" spans="29:32" x14ac:dyDescent="0.35">
      <c r="AC630" t="s">
        <v>643</v>
      </c>
      <c r="AD630" t="s">
        <v>6</v>
      </c>
      <c r="AE630">
        <v>6031</v>
      </c>
      <c r="AF630">
        <v>59.9</v>
      </c>
    </row>
    <row r="631" spans="29:32" x14ac:dyDescent="0.35">
      <c r="AC631" t="s">
        <v>644</v>
      </c>
      <c r="AD631" t="s">
        <v>6</v>
      </c>
      <c r="AE631">
        <v>9067</v>
      </c>
      <c r="AF631">
        <v>62.9</v>
      </c>
    </row>
    <row r="632" spans="29:32" x14ac:dyDescent="0.35">
      <c r="AC632" t="s">
        <v>645</v>
      </c>
      <c r="AD632" t="s">
        <v>6</v>
      </c>
      <c r="AE632">
        <v>9075</v>
      </c>
      <c r="AF632">
        <v>62.9</v>
      </c>
    </row>
    <row r="633" spans="29:32" x14ac:dyDescent="0.35">
      <c r="AC633" t="s">
        <v>646</v>
      </c>
      <c r="AD633" t="s">
        <v>6</v>
      </c>
      <c r="AE633">
        <v>8544</v>
      </c>
      <c r="AF633">
        <v>59.9</v>
      </c>
    </row>
    <row r="634" spans="29:32" x14ac:dyDescent="0.35">
      <c r="AC634" t="s">
        <v>647</v>
      </c>
      <c r="AD634" t="s">
        <v>6</v>
      </c>
      <c r="AE634">
        <v>93471</v>
      </c>
      <c r="AF634">
        <v>59.9</v>
      </c>
    </row>
    <row r="635" spans="29:32" x14ac:dyDescent="0.35">
      <c r="AC635" t="s">
        <v>648</v>
      </c>
      <c r="AD635" t="s">
        <v>6</v>
      </c>
      <c r="AE635">
        <v>8545</v>
      </c>
      <c r="AF635">
        <v>59.9</v>
      </c>
    </row>
    <row r="636" spans="29:32" x14ac:dyDescent="0.35">
      <c r="AC636" t="s">
        <v>649</v>
      </c>
      <c r="AD636" t="s">
        <v>6</v>
      </c>
      <c r="AE636">
        <v>6834</v>
      </c>
      <c r="AF636">
        <v>59.9</v>
      </c>
    </row>
    <row r="637" spans="29:32" x14ac:dyDescent="0.35">
      <c r="AC637" t="s">
        <v>650</v>
      </c>
      <c r="AD637" t="s">
        <v>6</v>
      </c>
      <c r="AE637">
        <v>8546</v>
      </c>
      <c r="AF637">
        <v>63.9</v>
      </c>
    </row>
    <row r="638" spans="29:32" x14ac:dyDescent="0.35">
      <c r="AC638" t="s">
        <v>651</v>
      </c>
      <c r="AD638" t="s">
        <v>6</v>
      </c>
      <c r="AE638">
        <v>6833</v>
      </c>
      <c r="AF638">
        <v>63.9</v>
      </c>
    </row>
    <row r="639" spans="29:32" x14ac:dyDescent="0.35">
      <c r="AC639" t="s">
        <v>652</v>
      </c>
      <c r="AD639" t="s">
        <v>6</v>
      </c>
      <c r="AE639">
        <v>8547</v>
      </c>
      <c r="AF639">
        <v>59.9</v>
      </c>
    </row>
    <row r="640" spans="29:32" x14ac:dyDescent="0.35">
      <c r="AC640" t="s">
        <v>653</v>
      </c>
      <c r="AD640" t="s">
        <v>6</v>
      </c>
      <c r="AE640">
        <v>6832</v>
      </c>
      <c r="AF640">
        <v>59.9</v>
      </c>
    </row>
    <row r="641" spans="29:32" x14ac:dyDescent="0.35">
      <c r="AC641" t="s">
        <v>654</v>
      </c>
      <c r="AD641" t="s">
        <v>7</v>
      </c>
      <c r="AE641">
        <v>279956</v>
      </c>
      <c r="AF641">
        <v>9.98</v>
      </c>
    </row>
    <row r="642" spans="29:32" x14ac:dyDescent="0.35">
      <c r="AC642" t="s">
        <v>655</v>
      </c>
      <c r="AD642" t="s">
        <v>7</v>
      </c>
      <c r="AE642">
        <v>8548</v>
      </c>
      <c r="AF642">
        <v>32.840000000000003</v>
      </c>
    </row>
    <row r="643" spans="29:32" x14ac:dyDescent="0.35">
      <c r="AC643" t="s">
        <v>656</v>
      </c>
      <c r="AD643" t="s">
        <v>6</v>
      </c>
      <c r="AE643">
        <v>8551</v>
      </c>
      <c r="AF643">
        <v>59.9</v>
      </c>
    </row>
    <row r="644" spans="29:32" x14ac:dyDescent="0.35">
      <c r="AC644" t="s">
        <v>657</v>
      </c>
      <c r="AD644" t="s">
        <v>6</v>
      </c>
      <c r="AE644">
        <v>3221</v>
      </c>
      <c r="AF644">
        <v>69.900000000000006</v>
      </c>
    </row>
    <row r="645" spans="29:32" x14ac:dyDescent="0.35">
      <c r="AC645" t="s">
        <v>658</v>
      </c>
      <c r="AD645" t="s">
        <v>6</v>
      </c>
      <c r="AE645">
        <v>8549</v>
      </c>
      <c r="AF645">
        <v>69.900000000000006</v>
      </c>
    </row>
    <row r="646" spans="29:32" x14ac:dyDescent="0.35">
      <c r="AC646" t="s">
        <v>659</v>
      </c>
      <c r="AD646" t="s">
        <v>6</v>
      </c>
      <c r="AE646">
        <v>3219</v>
      </c>
      <c r="AF646">
        <v>59.9</v>
      </c>
    </row>
    <row r="647" spans="29:32" x14ac:dyDescent="0.35">
      <c r="AC647" t="s">
        <v>660</v>
      </c>
      <c r="AD647" t="s">
        <v>6</v>
      </c>
      <c r="AE647">
        <v>8552</v>
      </c>
      <c r="AF647">
        <v>28.9</v>
      </c>
    </row>
    <row r="648" spans="29:32" x14ac:dyDescent="0.35">
      <c r="AC648" t="s">
        <v>661</v>
      </c>
      <c r="AD648" t="s">
        <v>6</v>
      </c>
      <c r="AE648">
        <v>6558</v>
      </c>
      <c r="AF648">
        <v>28.9</v>
      </c>
    </row>
    <row r="649" spans="29:32" x14ac:dyDescent="0.35">
      <c r="AC649" t="s">
        <v>662</v>
      </c>
      <c r="AD649" t="s">
        <v>6</v>
      </c>
      <c r="AE649">
        <v>1613</v>
      </c>
      <c r="AF649">
        <v>69.900000000000006</v>
      </c>
    </row>
    <row r="650" spans="29:32" x14ac:dyDescent="0.35">
      <c r="AC650" t="s">
        <v>663</v>
      </c>
      <c r="AD650" t="s">
        <v>7</v>
      </c>
      <c r="AE650">
        <v>279970</v>
      </c>
      <c r="AF650">
        <v>39.99</v>
      </c>
    </row>
    <row r="651" spans="29:32" x14ac:dyDescent="0.35">
      <c r="AC651" t="s">
        <v>664</v>
      </c>
      <c r="AD651" t="s">
        <v>7</v>
      </c>
      <c r="AE651">
        <v>8553</v>
      </c>
      <c r="AF651">
        <v>39.99</v>
      </c>
    </row>
    <row r="652" spans="29:32" x14ac:dyDescent="0.35">
      <c r="AC652" t="s">
        <v>665</v>
      </c>
      <c r="AD652" t="s">
        <v>6</v>
      </c>
      <c r="AE652">
        <v>8554</v>
      </c>
      <c r="AF652">
        <v>29.9</v>
      </c>
    </row>
    <row r="653" spans="29:32" x14ac:dyDescent="0.35">
      <c r="AC653" t="s">
        <v>666</v>
      </c>
      <c r="AD653" t="s">
        <v>6</v>
      </c>
      <c r="AE653">
        <v>4347</v>
      </c>
      <c r="AF653">
        <v>29.9</v>
      </c>
    </row>
    <row r="654" spans="29:32" x14ac:dyDescent="0.35">
      <c r="AC654" t="s">
        <v>667</v>
      </c>
      <c r="AD654" t="s">
        <v>6</v>
      </c>
      <c r="AE654">
        <v>8555</v>
      </c>
      <c r="AF654">
        <v>99.9</v>
      </c>
    </row>
    <row r="655" spans="29:32" x14ac:dyDescent="0.35">
      <c r="AC655" t="s">
        <v>668</v>
      </c>
      <c r="AD655" t="s">
        <v>6</v>
      </c>
      <c r="AE655">
        <v>6835</v>
      </c>
      <c r="AF655">
        <v>79.900000000000006</v>
      </c>
    </row>
    <row r="656" spans="29:32" x14ac:dyDescent="0.35">
      <c r="AC656" t="s">
        <v>669</v>
      </c>
      <c r="AD656" t="s">
        <v>6</v>
      </c>
      <c r="AE656">
        <v>8556</v>
      </c>
      <c r="AF656">
        <v>79.900000000000006</v>
      </c>
    </row>
    <row r="657" spans="29:32" x14ac:dyDescent="0.35">
      <c r="AC657" t="s">
        <v>670</v>
      </c>
      <c r="AD657" t="s">
        <v>6</v>
      </c>
      <c r="AE657">
        <v>6689</v>
      </c>
      <c r="AF657">
        <v>79.900000000000006</v>
      </c>
    </row>
    <row r="658" spans="29:32" x14ac:dyDescent="0.35">
      <c r="AC658" t="s">
        <v>671</v>
      </c>
      <c r="AD658" t="s">
        <v>6</v>
      </c>
      <c r="AE658">
        <v>94812</v>
      </c>
      <c r="AF658">
        <v>84.9</v>
      </c>
    </row>
    <row r="659" spans="29:32" x14ac:dyDescent="0.35">
      <c r="AC659" t="s">
        <v>672</v>
      </c>
      <c r="AD659" t="s">
        <v>6</v>
      </c>
      <c r="AE659">
        <v>8557</v>
      </c>
      <c r="AF659">
        <v>84.9</v>
      </c>
    </row>
    <row r="660" spans="29:32" x14ac:dyDescent="0.35">
      <c r="AC660" t="s">
        <v>673</v>
      </c>
      <c r="AD660" t="s">
        <v>6</v>
      </c>
      <c r="AE660">
        <v>6901</v>
      </c>
      <c r="AF660">
        <v>39.9</v>
      </c>
    </row>
    <row r="661" spans="29:32" x14ac:dyDescent="0.35">
      <c r="AC661" t="s">
        <v>674</v>
      </c>
      <c r="AD661" t="s">
        <v>6</v>
      </c>
      <c r="AE661">
        <v>8559</v>
      </c>
      <c r="AF661">
        <v>39.9</v>
      </c>
    </row>
    <row r="662" spans="29:32" x14ac:dyDescent="0.35">
      <c r="AC662" t="s">
        <v>675</v>
      </c>
      <c r="AD662" t="s">
        <v>6</v>
      </c>
      <c r="AE662">
        <v>8563</v>
      </c>
      <c r="AF662">
        <v>59.9</v>
      </c>
    </row>
    <row r="663" spans="29:32" x14ac:dyDescent="0.35">
      <c r="AC663" t="s">
        <v>676</v>
      </c>
      <c r="AD663" t="s">
        <v>6</v>
      </c>
      <c r="AE663">
        <v>93485</v>
      </c>
      <c r="AF663">
        <v>59.9</v>
      </c>
    </row>
    <row r="664" spans="29:32" x14ac:dyDescent="0.35">
      <c r="AC664" t="s">
        <v>677</v>
      </c>
      <c r="AD664" t="s">
        <v>6</v>
      </c>
      <c r="AE664">
        <v>8565</v>
      </c>
      <c r="AF664">
        <v>49</v>
      </c>
    </row>
    <row r="665" spans="29:32" x14ac:dyDescent="0.35">
      <c r="AC665" t="s">
        <v>678</v>
      </c>
      <c r="AD665" t="s">
        <v>6</v>
      </c>
      <c r="AE665">
        <v>101682</v>
      </c>
      <c r="AF665">
        <v>49</v>
      </c>
    </row>
    <row r="666" spans="29:32" x14ac:dyDescent="0.35">
      <c r="AC666" t="s">
        <v>679</v>
      </c>
      <c r="AD666" t="s">
        <v>6</v>
      </c>
      <c r="AE666">
        <v>93651</v>
      </c>
      <c r="AF666">
        <v>69.900000000000006</v>
      </c>
    </row>
    <row r="667" spans="29:32" x14ac:dyDescent="0.35">
      <c r="AC667" t="s">
        <v>680</v>
      </c>
      <c r="AD667" t="s">
        <v>6</v>
      </c>
      <c r="AE667">
        <v>8566</v>
      </c>
      <c r="AF667">
        <v>59.9</v>
      </c>
    </row>
    <row r="668" spans="29:32" x14ac:dyDescent="0.35">
      <c r="AC668" t="s">
        <v>681</v>
      </c>
      <c r="AD668" t="s">
        <v>6</v>
      </c>
      <c r="AE668">
        <v>94646</v>
      </c>
      <c r="AF668">
        <v>59.9</v>
      </c>
    </row>
    <row r="669" spans="29:32" x14ac:dyDescent="0.35">
      <c r="AC669" t="s">
        <v>682</v>
      </c>
      <c r="AD669" t="s">
        <v>6</v>
      </c>
      <c r="AE669">
        <v>8568</v>
      </c>
      <c r="AF669">
        <v>79.900000000000006</v>
      </c>
    </row>
    <row r="670" spans="29:32" x14ac:dyDescent="0.35">
      <c r="AC670" t="s">
        <v>683</v>
      </c>
      <c r="AD670" t="s">
        <v>6</v>
      </c>
      <c r="AE670">
        <v>97608</v>
      </c>
      <c r="AF670">
        <v>79.900000000000006</v>
      </c>
    </row>
    <row r="671" spans="29:32" x14ac:dyDescent="0.35">
      <c r="AC671" t="s">
        <v>684</v>
      </c>
      <c r="AD671" t="s">
        <v>6</v>
      </c>
      <c r="AE671">
        <v>8569</v>
      </c>
      <c r="AF671">
        <v>99.9</v>
      </c>
    </row>
    <row r="672" spans="29:32" x14ac:dyDescent="0.35">
      <c r="AC672" t="s">
        <v>685</v>
      </c>
      <c r="AD672" t="s">
        <v>6</v>
      </c>
      <c r="AE672">
        <v>99666</v>
      </c>
      <c r="AF672">
        <v>99.9</v>
      </c>
    </row>
    <row r="673" spans="29:32" x14ac:dyDescent="0.35">
      <c r="AC673" t="s">
        <v>859</v>
      </c>
      <c r="AD673" t="s">
        <v>6</v>
      </c>
      <c r="AE673">
        <v>8571</v>
      </c>
      <c r="AF673">
        <v>39.9</v>
      </c>
    </row>
    <row r="674" spans="29:32" x14ac:dyDescent="0.35">
      <c r="AC674" t="s">
        <v>686</v>
      </c>
      <c r="AD674" t="s">
        <v>6</v>
      </c>
      <c r="AE674">
        <v>101183</v>
      </c>
      <c r="AF674">
        <v>24.9</v>
      </c>
    </row>
    <row r="675" spans="29:32" x14ac:dyDescent="0.35">
      <c r="AC675" t="s">
        <v>687</v>
      </c>
      <c r="AD675" t="s">
        <v>6</v>
      </c>
      <c r="AE675">
        <v>8572</v>
      </c>
      <c r="AF675">
        <v>20.99</v>
      </c>
    </row>
    <row r="676" spans="29:32" x14ac:dyDescent="0.35">
      <c r="AC676" t="s">
        <v>688</v>
      </c>
      <c r="AD676" t="s">
        <v>7</v>
      </c>
      <c r="AE676">
        <v>8574</v>
      </c>
      <c r="AF676">
        <v>20.99</v>
      </c>
    </row>
    <row r="677" spans="29:32" x14ac:dyDescent="0.35">
      <c r="AC677" t="s">
        <v>689</v>
      </c>
      <c r="AD677" t="s">
        <v>6</v>
      </c>
      <c r="AE677">
        <v>5966</v>
      </c>
      <c r="AF677">
        <v>20.99</v>
      </c>
    </row>
    <row r="678" spans="29:32" x14ac:dyDescent="0.35">
      <c r="AC678" t="s">
        <v>690</v>
      </c>
      <c r="AD678" t="s">
        <v>7</v>
      </c>
      <c r="AE678">
        <v>4699</v>
      </c>
      <c r="AF678">
        <v>20.99</v>
      </c>
    </row>
    <row r="679" spans="29:32" x14ac:dyDescent="0.35">
      <c r="AC679" t="s">
        <v>691</v>
      </c>
      <c r="AD679" t="s">
        <v>6</v>
      </c>
      <c r="AE679">
        <v>8575</v>
      </c>
      <c r="AF679">
        <v>86.59</v>
      </c>
    </row>
    <row r="680" spans="29:32" x14ac:dyDescent="0.35">
      <c r="AC680" t="s">
        <v>692</v>
      </c>
      <c r="AD680" t="s">
        <v>6</v>
      </c>
      <c r="AE680">
        <v>5686</v>
      </c>
      <c r="AF680">
        <v>69.900000000000006</v>
      </c>
    </row>
    <row r="681" spans="29:32" x14ac:dyDescent="0.35">
      <c r="AC681" t="s">
        <v>693</v>
      </c>
      <c r="AD681" t="s">
        <v>6</v>
      </c>
      <c r="AE681">
        <v>8577</v>
      </c>
      <c r="AF681">
        <v>79.900000000000006</v>
      </c>
    </row>
    <row r="682" spans="29:32" x14ac:dyDescent="0.35">
      <c r="AC682" t="s">
        <v>694</v>
      </c>
      <c r="AD682" t="s">
        <v>6</v>
      </c>
      <c r="AE682">
        <v>94424</v>
      </c>
      <c r="AF682">
        <v>79.900000000000006</v>
      </c>
    </row>
    <row r="683" spans="29:32" x14ac:dyDescent="0.35">
      <c r="AC683" t="s">
        <v>695</v>
      </c>
      <c r="AD683" t="s">
        <v>7</v>
      </c>
      <c r="AE683">
        <v>96543</v>
      </c>
      <c r="AF683">
        <v>49.9</v>
      </c>
    </row>
    <row r="684" spans="29:32" x14ac:dyDescent="0.35">
      <c r="AC684" t="s">
        <v>696</v>
      </c>
      <c r="AD684" t="s">
        <v>6</v>
      </c>
      <c r="AE684">
        <v>8578</v>
      </c>
      <c r="AF684">
        <v>69.900000000000006</v>
      </c>
    </row>
    <row r="685" spans="29:32" x14ac:dyDescent="0.35">
      <c r="AC685" t="s">
        <v>697</v>
      </c>
      <c r="AD685" t="s">
        <v>6</v>
      </c>
      <c r="AE685">
        <v>5848</v>
      </c>
      <c r="AF685">
        <v>69.900000000000006</v>
      </c>
    </row>
    <row r="686" spans="29:32" x14ac:dyDescent="0.35">
      <c r="AC686" t="s">
        <v>698</v>
      </c>
      <c r="AD686" t="s">
        <v>6</v>
      </c>
      <c r="AE686">
        <v>8580</v>
      </c>
      <c r="AF686">
        <v>49.9</v>
      </c>
    </row>
    <row r="687" spans="29:32" x14ac:dyDescent="0.35">
      <c r="AC687" t="s">
        <v>699</v>
      </c>
      <c r="AD687" t="s">
        <v>6</v>
      </c>
      <c r="AE687">
        <v>2822</v>
      </c>
      <c r="AF687">
        <v>49.9</v>
      </c>
    </row>
    <row r="688" spans="29:32" x14ac:dyDescent="0.35">
      <c r="AC688" t="s">
        <v>700</v>
      </c>
      <c r="AD688" t="s">
        <v>6</v>
      </c>
      <c r="AE688">
        <v>8598</v>
      </c>
      <c r="AF688">
        <v>48.9</v>
      </c>
    </row>
    <row r="689" spans="29:32" x14ac:dyDescent="0.35">
      <c r="AC689" t="s">
        <v>701</v>
      </c>
      <c r="AD689" t="s">
        <v>6</v>
      </c>
      <c r="AE689">
        <v>93489</v>
      </c>
      <c r="AF689">
        <v>48.9</v>
      </c>
    </row>
    <row r="690" spans="29:32" x14ac:dyDescent="0.35">
      <c r="AC690" t="s">
        <v>702</v>
      </c>
      <c r="AD690" t="s">
        <v>6</v>
      </c>
      <c r="AE690">
        <v>8599</v>
      </c>
      <c r="AF690">
        <v>42.9</v>
      </c>
    </row>
    <row r="691" spans="29:32" x14ac:dyDescent="0.35">
      <c r="AC691" t="s">
        <v>703</v>
      </c>
      <c r="AD691" t="s">
        <v>6</v>
      </c>
      <c r="AE691">
        <v>1227</v>
      </c>
      <c r="AF691">
        <v>42.9</v>
      </c>
    </row>
    <row r="692" spans="29:32" x14ac:dyDescent="0.35">
      <c r="AC692" t="s">
        <v>704</v>
      </c>
      <c r="AD692" t="s">
        <v>6</v>
      </c>
      <c r="AE692">
        <v>8602</v>
      </c>
      <c r="AF692">
        <v>34.9</v>
      </c>
    </row>
    <row r="693" spans="29:32" x14ac:dyDescent="0.35">
      <c r="AC693" t="s">
        <v>705</v>
      </c>
      <c r="AD693" t="s">
        <v>6</v>
      </c>
      <c r="AE693">
        <v>94238</v>
      </c>
      <c r="AF693">
        <v>34.9</v>
      </c>
    </row>
    <row r="694" spans="29:32" x14ac:dyDescent="0.35">
      <c r="AC694" t="s">
        <v>706</v>
      </c>
      <c r="AD694" t="s">
        <v>6</v>
      </c>
      <c r="AE694">
        <v>8605</v>
      </c>
      <c r="AF694">
        <v>34.9</v>
      </c>
    </row>
    <row r="695" spans="29:32" x14ac:dyDescent="0.35">
      <c r="AC695" t="s">
        <v>707</v>
      </c>
      <c r="AD695" t="s">
        <v>6</v>
      </c>
      <c r="AE695">
        <v>3480</v>
      </c>
      <c r="AF695">
        <v>34.9</v>
      </c>
    </row>
    <row r="696" spans="29:32" x14ac:dyDescent="0.35">
      <c r="AC696" t="s">
        <v>708</v>
      </c>
      <c r="AD696" t="s">
        <v>6</v>
      </c>
      <c r="AE696">
        <v>8614</v>
      </c>
      <c r="AF696">
        <v>59.9</v>
      </c>
    </row>
    <row r="697" spans="29:32" x14ac:dyDescent="0.35">
      <c r="AC697" t="s">
        <v>709</v>
      </c>
      <c r="AD697" t="s">
        <v>6</v>
      </c>
      <c r="AE697">
        <v>95180</v>
      </c>
      <c r="AF697">
        <v>59.9</v>
      </c>
    </row>
    <row r="698" spans="29:32" x14ac:dyDescent="0.35">
      <c r="AC698" t="s">
        <v>710</v>
      </c>
      <c r="AD698" t="s">
        <v>6</v>
      </c>
      <c r="AE698">
        <v>8616</v>
      </c>
      <c r="AF698">
        <v>64.900000000000006</v>
      </c>
    </row>
    <row r="699" spans="29:32" x14ac:dyDescent="0.35">
      <c r="AC699" t="s">
        <v>711</v>
      </c>
      <c r="AD699" t="s">
        <v>6</v>
      </c>
      <c r="AE699">
        <v>102073</v>
      </c>
      <c r="AF699">
        <v>64.900000000000006</v>
      </c>
    </row>
    <row r="700" spans="29:32" x14ac:dyDescent="0.35">
      <c r="AC700" t="s">
        <v>712</v>
      </c>
      <c r="AD700" t="s">
        <v>6</v>
      </c>
      <c r="AE700">
        <v>8619</v>
      </c>
      <c r="AF700">
        <v>59.9</v>
      </c>
    </row>
    <row r="701" spans="29:32" x14ac:dyDescent="0.35">
      <c r="AC701" t="s">
        <v>713</v>
      </c>
      <c r="AD701" t="s">
        <v>6</v>
      </c>
      <c r="AE701">
        <v>94692</v>
      </c>
      <c r="AF701">
        <v>59.9</v>
      </c>
    </row>
    <row r="702" spans="29:32" x14ac:dyDescent="0.35">
      <c r="AC702" t="s">
        <v>714</v>
      </c>
      <c r="AD702" t="s">
        <v>6</v>
      </c>
      <c r="AE702">
        <v>8624</v>
      </c>
      <c r="AF702">
        <v>39.9</v>
      </c>
    </row>
    <row r="703" spans="29:32" x14ac:dyDescent="0.35">
      <c r="AC703" t="s">
        <v>715</v>
      </c>
      <c r="AD703" t="s">
        <v>6</v>
      </c>
      <c r="AE703">
        <v>3456</v>
      </c>
      <c r="AF703">
        <v>39.9</v>
      </c>
    </row>
    <row r="704" spans="29:32" x14ac:dyDescent="0.35">
      <c r="AC704" t="s">
        <v>716</v>
      </c>
      <c r="AD704" t="s">
        <v>6</v>
      </c>
      <c r="AE704">
        <v>8633</v>
      </c>
      <c r="AF704">
        <v>19.899999999999999</v>
      </c>
    </row>
    <row r="705" spans="29:32" x14ac:dyDescent="0.35">
      <c r="AC705" t="s">
        <v>717</v>
      </c>
      <c r="AD705" t="s">
        <v>6</v>
      </c>
      <c r="AE705">
        <v>98190</v>
      </c>
      <c r="AF705">
        <v>19.899999999999999</v>
      </c>
    </row>
    <row r="706" spans="29:32" x14ac:dyDescent="0.35">
      <c r="AC706" t="s">
        <v>718</v>
      </c>
      <c r="AD706" t="s">
        <v>6</v>
      </c>
      <c r="AE706">
        <v>8646</v>
      </c>
      <c r="AF706">
        <v>79.900000000000006</v>
      </c>
    </row>
    <row r="707" spans="29:32" x14ac:dyDescent="0.35">
      <c r="AC707" t="s">
        <v>719</v>
      </c>
      <c r="AD707" t="s">
        <v>6</v>
      </c>
      <c r="AE707">
        <v>93456</v>
      </c>
      <c r="AF707">
        <v>79.900000000000006</v>
      </c>
    </row>
    <row r="708" spans="29:32" x14ac:dyDescent="0.35">
      <c r="AC708" t="s">
        <v>720</v>
      </c>
      <c r="AD708" t="s">
        <v>7</v>
      </c>
      <c r="AE708">
        <v>4985</v>
      </c>
      <c r="AF708">
        <v>43.9</v>
      </c>
    </row>
    <row r="709" spans="29:32" x14ac:dyDescent="0.35">
      <c r="AC709" t="s">
        <v>721</v>
      </c>
      <c r="AD709" t="s">
        <v>7</v>
      </c>
      <c r="AE709">
        <v>8647</v>
      </c>
      <c r="AF709">
        <v>43.9</v>
      </c>
    </row>
    <row r="710" spans="29:32" x14ac:dyDescent="0.35">
      <c r="AC710" t="s">
        <v>722</v>
      </c>
      <c r="AD710" t="s">
        <v>6</v>
      </c>
      <c r="AE710">
        <v>8648</v>
      </c>
      <c r="AF710">
        <v>69.900000000000006</v>
      </c>
    </row>
    <row r="711" spans="29:32" x14ac:dyDescent="0.35">
      <c r="AC711" t="s">
        <v>723</v>
      </c>
      <c r="AD711" t="s">
        <v>6</v>
      </c>
      <c r="AE711">
        <v>93907</v>
      </c>
      <c r="AF711">
        <v>69.900000000000006</v>
      </c>
    </row>
    <row r="712" spans="29:32" x14ac:dyDescent="0.35">
      <c r="AC712" t="s">
        <v>724</v>
      </c>
      <c r="AD712" t="s">
        <v>6</v>
      </c>
      <c r="AE712">
        <v>8649</v>
      </c>
      <c r="AF712">
        <v>39.9</v>
      </c>
    </row>
    <row r="713" spans="29:32" x14ac:dyDescent="0.35">
      <c r="AC713" t="s">
        <v>725</v>
      </c>
      <c r="AD713" t="s">
        <v>6</v>
      </c>
      <c r="AE713">
        <v>1734</v>
      </c>
      <c r="AF713">
        <v>39.9</v>
      </c>
    </row>
    <row r="714" spans="29:32" x14ac:dyDescent="0.35">
      <c r="AC714" t="s">
        <v>726</v>
      </c>
      <c r="AD714" t="s">
        <v>6</v>
      </c>
      <c r="AE714">
        <v>8658</v>
      </c>
      <c r="AF714">
        <v>54.9</v>
      </c>
    </row>
    <row r="715" spans="29:32" x14ac:dyDescent="0.35">
      <c r="AC715" t="s">
        <v>727</v>
      </c>
      <c r="AD715" t="s">
        <v>6</v>
      </c>
      <c r="AE715">
        <v>1017</v>
      </c>
      <c r="AF715">
        <v>54.9</v>
      </c>
    </row>
    <row r="716" spans="29:32" x14ac:dyDescent="0.35">
      <c r="AC716" t="s">
        <v>728</v>
      </c>
      <c r="AD716" t="s">
        <v>6</v>
      </c>
      <c r="AE716">
        <v>3152</v>
      </c>
      <c r="AF716">
        <v>69.900000000000006</v>
      </c>
    </row>
    <row r="717" spans="29:32" x14ac:dyDescent="0.35">
      <c r="AC717" t="s">
        <v>729</v>
      </c>
      <c r="AD717" t="s">
        <v>6</v>
      </c>
      <c r="AE717">
        <v>8659</v>
      </c>
      <c r="AF717">
        <v>69.900000000000006</v>
      </c>
    </row>
    <row r="718" spans="29:32" x14ac:dyDescent="0.35">
      <c r="AC718" t="s">
        <v>730</v>
      </c>
      <c r="AD718" t="s">
        <v>6</v>
      </c>
      <c r="AE718">
        <v>8663</v>
      </c>
      <c r="AF718">
        <v>69.900000000000006</v>
      </c>
    </row>
    <row r="719" spans="29:32" x14ac:dyDescent="0.35">
      <c r="AC719" t="s">
        <v>731</v>
      </c>
      <c r="AD719" t="s">
        <v>6</v>
      </c>
      <c r="AE719">
        <v>1296</v>
      </c>
      <c r="AF719">
        <v>69.900000000000006</v>
      </c>
    </row>
    <row r="720" spans="29:32" x14ac:dyDescent="0.35">
      <c r="AC720" t="s">
        <v>732</v>
      </c>
      <c r="AD720" t="s">
        <v>6</v>
      </c>
      <c r="AE720">
        <v>8667</v>
      </c>
      <c r="AF720">
        <v>69.900000000000006</v>
      </c>
    </row>
    <row r="721" spans="29:32" x14ac:dyDescent="0.35">
      <c r="AC721" t="s">
        <v>733</v>
      </c>
      <c r="AD721" t="s">
        <v>6</v>
      </c>
      <c r="AE721">
        <v>93480</v>
      </c>
      <c r="AF721">
        <v>69.900000000000006</v>
      </c>
    </row>
    <row r="722" spans="29:32" x14ac:dyDescent="0.35">
      <c r="AC722" t="s">
        <v>734</v>
      </c>
      <c r="AD722" t="s">
        <v>7</v>
      </c>
      <c r="AE722">
        <v>9121</v>
      </c>
      <c r="AF722">
        <v>0</v>
      </c>
    </row>
    <row r="723" spans="29:32" x14ac:dyDescent="0.35">
      <c r="AC723" t="s">
        <v>735</v>
      </c>
      <c r="AD723" t="s">
        <v>6</v>
      </c>
      <c r="AE723">
        <v>8668</v>
      </c>
      <c r="AF723">
        <v>34.9</v>
      </c>
    </row>
    <row r="724" spans="29:32" x14ac:dyDescent="0.35">
      <c r="AC724" t="s">
        <v>736</v>
      </c>
      <c r="AD724" t="s">
        <v>6</v>
      </c>
      <c r="AE724">
        <v>8671</v>
      </c>
      <c r="AF724">
        <v>38.9</v>
      </c>
    </row>
    <row r="725" spans="29:32" x14ac:dyDescent="0.35">
      <c r="AC725" t="s">
        <v>737</v>
      </c>
      <c r="AD725" t="s">
        <v>7</v>
      </c>
      <c r="AE725">
        <v>8963</v>
      </c>
      <c r="AF725">
        <v>24.9</v>
      </c>
    </row>
    <row r="726" spans="29:32" x14ac:dyDescent="0.35">
      <c r="AC726" t="s">
        <v>738</v>
      </c>
      <c r="AD726" t="s">
        <v>6</v>
      </c>
      <c r="AE726">
        <v>8688</v>
      </c>
      <c r="AF726">
        <v>19.899999999999999</v>
      </c>
    </row>
    <row r="727" spans="29:32" x14ac:dyDescent="0.35">
      <c r="AC727" t="s">
        <v>739</v>
      </c>
      <c r="AD727" t="s">
        <v>6</v>
      </c>
      <c r="AE727">
        <v>8673</v>
      </c>
      <c r="AF727">
        <v>29.9</v>
      </c>
    </row>
    <row r="728" spans="29:32" x14ac:dyDescent="0.35">
      <c r="AC728" t="s">
        <v>740</v>
      </c>
      <c r="AD728" t="s">
        <v>6</v>
      </c>
      <c r="AE728">
        <v>3232</v>
      </c>
      <c r="AF728">
        <v>21.9</v>
      </c>
    </row>
    <row r="729" spans="29:32" x14ac:dyDescent="0.35">
      <c r="AC729" t="s">
        <v>741</v>
      </c>
      <c r="AD729" t="s">
        <v>6</v>
      </c>
      <c r="AE729">
        <v>8674</v>
      </c>
      <c r="AF729">
        <v>24.9</v>
      </c>
    </row>
    <row r="730" spans="29:32" x14ac:dyDescent="0.35">
      <c r="AC730" t="s">
        <v>742</v>
      </c>
      <c r="AD730" t="s">
        <v>6</v>
      </c>
      <c r="AE730">
        <v>8687</v>
      </c>
      <c r="AF730">
        <v>32.9</v>
      </c>
    </row>
    <row r="731" spans="29:32" x14ac:dyDescent="0.35">
      <c r="AC731" t="s">
        <v>743</v>
      </c>
      <c r="AD731" t="s">
        <v>6</v>
      </c>
      <c r="AE731">
        <v>8689</v>
      </c>
      <c r="AF731">
        <v>21.9</v>
      </c>
    </row>
    <row r="732" spans="29:32" x14ac:dyDescent="0.35">
      <c r="AC732" t="s">
        <v>744</v>
      </c>
      <c r="AD732" t="s">
        <v>6</v>
      </c>
      <c r="AE732">
        <v>8690</v>
      </c>
      <c r="AF732">
        <v>34.9</v>
      </c>
    </row>
    <row r="733" spans="29:32" x14ac:dyDescent="0.35">
      <c r="AC733" t="s">
        <v>745</v>
      </c>
      <c r="AD733" t="s">
        <v>6</v>
      </c>
      <c r="AE733">
        <v>8694</v>
      </c>
      <c r="AF733">
        <v>39.9</v>
      </c>
    </row>
    <row r="734" spans="29:32" x14ac:dyDescent="0.35">
      <c r="AC734" t="s">
        <v>746</v>
      </c>
      <c r="AD734" t="s">
        <v>6</v>
      </c>
      <c r="AE734">
        <v>8695</v>
      </c>
      <c r="AF734">
        <v>23.9</v>
      </c>
    </row>
    <row r="735" spans="29:32" x14ac:dyDescent="0.35">
      <c r="AC735" t="s">
        <v>747</v>
      </c>
      <c r="AD735" t="s">
        <v>6</v>
      </c>
      <c r="AE735">
        <v>5497</v>
      </c>
      <c r="AF735">
        <v>23.9</v>
      </c>
    </row>
    <row r="736" spans="29:32" x14ac:dyDescent="0.35">
      <c r="AC736" t="s">
        <v>748</v>
      </c>
      <c r="AD736" t="s">
        <v>6</v>
      </c>
      <c r="AE736">
        <v>8703</v>
      </c>
      <c r="AF736">
        <v>24.9</v>
      </c>
    </row>
    <row r="737" spans="29:32" x14ac:dyDescent="0.35">
      <c r="AC737" t="s">
        <v>749</v>
      </c>
      <c r="AD737" t="s">
        <v>6</v>
      </c>
      <c r="AE737">
        <v>8702</v>
      </c>
      <c r="AF737">
        <v>39.9</v>
      </c>
    </row>
    <row r="738" spans="29:32" x14ac:dyDescent="0.35">
      <c r="AC738" t="s">
        <v>750</v>
      </c>
      <c r="AD738" t="s">
        <v>6</v>
      </c>
      <c r="AE738">
        <v>105400</v>
      </c>
      <c r="AF738">
        <v>19.899999999999999</v>
      </c>
    </row>
    <row r="739" spans="29:32" x14ac:dyDescent="0.35">
      <c r="AC739" t="s">
        <v>751</v>
      </c>
      <c r="AD739" t="s">
        <v>6</v>
      </c>
      <c r="AE739">
        <v>8704</v>
      </c>
      <c r="AF739">
        <v>24.9</v>
      </c>
    </row>
    <row r="740" spans="29:32" x14ac:dyDescent="0.35">
      <c r="AC740" t="s">
        <v>752</v>
      </c>
      <c r="AD740" t="s">
        <v>6</v>
      </c>
      <c r="AE740">
        <v>94885</v>
      </c>
      <c r="AF740">
        <v>24.9</v>
      </c>
    </row>
    <row r="741" spans="29:32" x14ac:dyDescent="0.35">
      <c r="AC741" t="s">
        <v>753</v>
      </c>
      <c r="AD741" t="s">
        <v>6</v>
      </c>
      <c r="AE741">
        <v>8713</v>
      </c>
      <c r="AF741">
        <v>44.9</v>
      </c>
    </row>
    <row r="742" spans="29:32" x14ac:dyDescent="0.35">
      <c r="AC742" t="s">
        <v>754</v>
      </c>
      <c r="AD742" t="s">
        <v>6</v>
      </c>
      <c r="AE742">
        <v>8707</v>
      </c>
      <c r="AF742">
        <v>39.9</v>
      </c>
    </row>
    <row r="743" spans="29:32" x14ac:dyDescent="0.35">
      <c r="AC743" t="s">
        <v>755</v>
      </c>
      <c r="AD743" t="s">
        <v>6</v>
      </c>
      <c r="AE743">
        <v>8712</v>
      </c>
      <c r="AF743">
        <v>89.9</v>
      </c>
    </row>
    <row r="744" spans="29:32" x14ac:dyDescent="0.35">
      <c r="AC744" t="s">
        <v>756</v>
      </c>
      <c r="AD744" t="s">
        <v>6</v>
      </c>
      <c r="AE744">
        <v>8714</v>
      </c>
      <c r="AF744">
        <v>24.9</v>
      </c>
    </row>
    <row r="745" spans="29:32" x14ac:dyDescent="0.35">
      <c r="AC745" t="s">
        <v>757</v>
      </c>
      <c r="AD745" t="s">
        <v>6</v>
      </c>
      <c r="AE745">
        <v>105659</v>
      </c>
      <c r="AF745">
        <v>24.9</v>
      </c>
    </row>
    <row r="746" spans="29:32" x14ac:dyDescent="0.35">
      <c r="AC746" t="s">
        <v>758</v>
      </c>
      <c r="AD746" t="s">
        <v>6</v>
      </c>
      <c r="AE746">
        <v>8725</v>
      </c>
      <c r="AF746">
        <v>37.9</v>
      </c>
    </row>
    <row r="747" spans="29:32" x14ac:dyDescent="0.35">
      <c r="AC747" t="s">
        <v>759</v>
      </c>
      <c r="AD747" t="s">
        <v>6</v>
      </c>
      <c r="AE747">
        <v>8716</v>
      </c>
      <c r="AF747">
        <v>64.900000000000006</v>
      </c>
    </row>
    <row r="748" spans="29:32" x14ac:dyDescent="0.35">
      <c r="AC748" t="s">
        <v>760</v>
      </c>
      <c r="AD748" t="s">
        <v>6</v>
      </c>
      <c r="AE748">
        <v>1490</v>
      </c>
      <c r="AF748">
        <v>64.900000000000006</v>
      </c>
    </row>
    <row r="749" spans="29:32" x14ac:dyDescent="0.35">
      <c r="AC749" t="s">
        <v>761</v>
      </c>
      <c r="AD749" t="s">
        <v>6</v>
      </c>
      <c r="AE749">
        <v>8726</v>
      </c>
      <c r="AF749">
        <v>21.9</v>
      </c>
    </row>
    <row r="750" spans="29:32" x14ac:dyDescent="0.35">
      <c r="AC750" t="s">
        <v>762</v>
      </c>
      <c r="AD750" t="s">
        <v>6</v>
      </c>
      <c r="AE750">
        <v>4593</v>
      </c>
      <c r="AF750">
        <v>21.9</v>
      </c>
    </row>
    <row r="751" spans="29:32" x14ac:dyDescent="0.35">
      <c r="AC751" t="s">
        <v>763</v>
      </c>
      <c r="AD751" t="s">
        <v>6</v>
      </c>
      <c r="AE751">
        <v>8727</v>
      </c>
      <c r="AF751">
        <v>27.9</v>
      </c>
    </row>
    <row r="752" spans="29:32" x14ac:dyDescent="0.35">
      <c r="AC752" t="s">
        <v>764</v>
      </c>
      <c r="AD752" t="s">
        <v>6</v>
      </c>
      <c r="AE752">
        <v>8728</v>
      </c>
      <c r="AF752">
        <v>19.899999999999999</v>
      </c>
    </row>
    <row r="753" spans="29:32" x14ac:dyDescent="0.35">
      <c r="AC753" t="s">
        <v>765</v>
      </c>
      <c r="AD753" t="s">
        <v>6</v>
      </c>
      <c r="AE753">
        <v>8729</v>
      </c>
      <c r="AF753">
        <v>29.9</v>
      </c>
    </row>
    <row r="754" spans="29:32" x14ac:dyDescent="0.35">
      <c r="AC754" t="s">
        <v>766</v>
      </c>
      <c r="AD754" t="s">
        <v>7</v>
      </c>
      <c r="AE754">
        <v>8964</v>
      </c>
      <c r="AF754">
        <v>21.9</v>
      </c>
    </row>
    <row r="755" spans="29:32" x14ac:dyDescent="0.35">
      <c r="AC755" t="s">
        <v>767</v>
      </c>
      <c r="AD755" t="s">
        <v>7</v>
      </c>
      <c r="AE755">
        <v>8962</v>
      </c>
      <c r="AF755">
        <v>21.9</v>
      </c>
    </row>
    <row r="756" spans="29:32" x14ac:dyDescent="0.35">
      <c r="AC756" t="s">
        <v>768</v>
      </c>
      <c r="AD756" t="s">
        <v>6</v>
      </c>
      <c r="AE756">
        <v>8960</v>
      </c>
      <c r="AF756">
        <v>0</v>
      </c>
    </row>
    <row r="757" spans="29:32" x14ac:dyDescent="0.35">
      <c r="AC757" t="s">
        <v>769</v>
      </c>
      <c r="AD757" t="s">
        <v>6</v>
      </c>
      <c r="AE757">
        <v>8759</v>
      </c>
      <c r="AF757">
        <v>19.899999999999999</v>
      </c>
    </row>
    <row r="758" spans="29:32" x14ac:dyDescent="0.35">
      <c r="AC758" t="s">
        <v>770</v>
      </c>
      <c r="AD758" t="s">
        <v>6</v>
      </c>
      <c r="AE758">
        <v>8769</v>
      </c>
      <c r="AF758">
        <v>39.9</v>
      </c>
    </row>
    <row r="759" spans="29:32" x14ac:dyDescent="0.35">
      <c r="AC759" t="s">
        <v>771</v>
      </c>
      <c r="AD759" t="s">
        <v>7</v>
      </c>
      <c r="AE759">
        <v>9125</v>
      </c>
      <c r="AF759">
        <v>28.9</v>
      </c>
    </row>
    <row r="760" spans="29:32" x14ac:dyDescent="0.35">
      <c r="AC760" t="s">
        <v>772</v>
      </c>
      <c r="AD760" t="s">
        <v>7</v>
      </c>
      <c r="AE760">
        <v>9126</v>
      </c>
      <c r="AF760">
        <v>0</v>
      </c>
    </row>
    <row r="761" spans="29:32" x14ac:dyDescent="0.35">
      <c r="AC761" t="s">
        <v>773</v>
      </c>
      <c r="AD761" t="s">
        <v>7</v>
      </c>
      <c r="AE761">
        <v>9129</v>
      </c>
      <c r="AF761">
        <v>29.9</v>
      </c>
    </row>
    <row r="762" spans="29:32" x14ac:dyDescent="0.35">
      <c r="AC762" t="s">
        <v>774</v>
      </c>
      <c r="AD762" t="s">
        <v>6</v>
      </c>
      <c r="AE762">
        <v>8782</v>
      </c>
      <c r="AF762">
        <v>24.9</v>
      </c>
    </row>
    <row r="763" spans="29:32" x14ac:dyDescent="0.35">
      <c r="AC763" t="s">
        <v>775</v>
      </c>
      <c r="AD763" t="s">
        <v>6</v>
      </c>
      <c r="AE763">
        <v>8789</v>
      </c>
      <c r="AF763">
        <v>39.9</v>
      </c>
    </row>
    <row r="764" spans="29:32" x14ac:dyDescent="0.35">
      <c r="AC764" t="s">
        <v>776</v>
      </c>
      <c r="AD764" t="s">
        <v>7</v>
      </c>
      <c r="AE764">
        <v>9120</v>
      </c>
      <c r="AF764">
        <v>21.9</v>
      </c>
    </row>
    <row r="765" spans="29:32" x14ac:dyDescent="0.35">
      <c r="AC765" t="s">
        <v>777</v>
      </c>
      <c r="AD765" t="s">
        <v>6</v>
      </c>
      <c r="AE765">
        <v>8790</v>
      </c>
      <c r="AF765">
        <v>59.9</v>
      </c>
    </row>
    <row r="766" spans="29:32" x14ac:dyDescent="0.35">
      <c r="AC766" t="s">
        <v>778</v>
      </c>
      <c r="AD766" t="s">
        <v>6</v>
      </c>
      <c r="AE766">
        <v>8791</v>
      </c>
      <c r="AF766">
        <v>29.9</v>
      </c>
    </row>
    <row r="767" spans="29:32" x14ac:dyDescent="0.35">
      <c r="AC767" t="s">
        <v>779</v>
      </c>
      <c r="AD767" t="s">
        <v>6</v>
      </c>
      <c r="AE767">
        <v>102528</v>
      </c>
      <c r="AF767">
        <v>29.9</v>
      </c>
    </row>
    <row r="768" spans="29:32" x14ac:dyDescent="0.35">
      <c r="AC768" t="s">
        <v>780</v>
      </c>
      <c r="AD768" t="s">
        <v>6</v>
      </c>
      <c r="AE768">
        <v>8801</v>
      </c>
      <c r="AF768">
        <v>39.9</v>
      </c>
    </row>
    <row r="769" spans="29:32" x14ac:dyDescent="0.35">
      <c r="AC769" t="s">
        <v>781</v>
      </c>
      <c r="AD769" t="s">
        <v>6</v>
      </c>
      <c r="AE769">
        <v>111271</v>
      </c>
      <c r="AF769">
        <v>39.9</v>
      </c>
    </row>
    <row r="770" spans="29:32" x14ac:dyDescent="0.35">
      <c r="AC770" t="s">
        <v>782</v>
      </c>
      <c r="AD770" t="s">
        <v>6</v>
      </c>
      <c r="AE770">
        <v>8804</v>
      </c>
      <c r="AF770">
        <v>49.9</v>
      </c>
    </row>
    <row r="771" spans="29:32" x14ac:dyDescent="0.35">
      <c r="AC771" t="s">
        <v>783</v>
      </c>
      <c r="AD771" t="s">
        <v>6</v>
      </c>
      <c r="AE771">
        <v>8821</v>
      </c>
      <c r="AF771">
        <v>49.9</v>
      </c>
    </row>
    <row r="772" spans="29:32" x14ac:dyDescent="0.35">
      <c r="AC772" t="s">
        <v>784</v>
      </c>
      <c r="AD772" t="s">
        <v>6</v>
      </c>
      <c r="AE772">
        <v>93965</v>
      </c>
      <c r="AF772">
        <v>49.9</v>
      </c>
    </row>
    <row r="773" spans="29:32" x14ac:dyDescent="0.35">
      <c r="AC773" t="s">
        <v>785</v>
      </c>
      <c r="AD773" t="s">
        <v>6</v>
      </c>
      <c r="AE773">
        <v>8824</v>
      </c>
      <c r="AF773">
        <v>69.900000000000006</v>
      </c>
    </row>
    <row r="774" spans="29:32" x14ac:dyDescent="0.35">
      <c r="AC774" t="s">
        <v>786</v>
      </c>
      <c r="AD774" t="s">
        <v>6</v>
      </c>
      <c r="AE774">
        <v>6435</v>
      </c>
      <c r="AF774">
        <v>69.900000000000006</v>
      </c>
    </row>
    <row r="775" spans="29:32" x14ac:dyDescent="0.35">
      <c r="AC775" t="s">
        <v>787</v>
      </c>
      <c r="AD775" t="s">
        <v>6</v>
      </c>
      <c r="AE775">
        <v>8829</v>
      </c>
      <c r="AF775">
        <v>82.35</v>
      </c>
    </row>
    <row r="776" spans="29:32" x14ac:dyDescent="0.35">
      <c r="AC776" t="s">
        <v>788</v>
      </c>
      <c r="AD776" t="s">
        <v>6</v>
      </c>
      <c r="AE776">
        <v>6437</v>
      </c>
      <c r="AF776">
        <v>69.900000000000006</v>
      </c>
    </row>
    <row r="777" spans="29:32" x14ac:dyDescent="0.35">
      <c r="AC777" t="s">
        <v>789</v>
      </c>
      <c r="AD777" t="s">
        <v>6</v>
      </c>
      <c r="AE777">
        <v>8834</v>
      </c>
      <c r="AF777">
        <v>63.9</v>
      </c>
    </row>
    <row r="778" spans="29:32" x14ac:dyDescent="0.35">
      <c r="AC778" t="s">
        <v>790</v>
      </c>
      <c r="AD778" t="s">
        <v>6</v>
      </c>
      <c r="AE778">
        <v>8837</v>
      </c>
      <c r="AF778">
        <v>69.900000000000006</v>
      </c>
    </row>
    <row r="779" spans="29:32" x14ac:dyDescent="0.35">
      <c r="AC779" t="s">
        <v>791</v>
      </c>
      <c r="AD779" t="s">
        <v>7</v>
      </c>
      <c r="AE779">
        <v>9123</v>
      </c>
      <c r="AF779">
        <v>0</v>
      </c>
    </row>
    <row r="780" spans="29:32" x14ac:dyDescent="0.35">
      <c r="AC780" t="s">
        <v>792</v>
      </c>
      <c r="AD780" t="s">
        <v>7</v>
      </c>
      <c r="AE780">
        <v>9122</v>
      </c>
      <c r="AF780">
        <v>0</v>
      </c>
    </row>
    <row r="781" spans="29:32" x14ac:dyDescent="0.35">
      <c r="AC781" t="s">
        <v>793</v>
      </c>
      <c r="AD781" t="s">
        <v>6</v>
      </c>
      <c r="AE781">
        <v>8839</v>
      </c>
      <c r="AF781">
        <v>24.9</v>
      </c>
    </row>
    <row r="782" spans="29:32" x14ac:dyDescent="0.35">
      <c r="AC782" t="s">
        <v>794</v>
      </c>
      <c r="AD782" t="s">
        <v>7</v>
      </c>
      <c r="AE782">
        <v>8846</v>
      </c>
      <c r="AF782">
        <v>69.900000000000006</v>
      </c>
    </row>
    <row r="783" spans="29:32" x14ac:dyDescent="0.35">
      <c r="AC783" t="s">
        <v>795</v>
      </c>
      <c r="AD783" t="s">
        <v>7</v>
      </c>
      <c r="AE783">
        <v>360494</v>
      </c>
      <c r="AF783">
        <v>69.900000000000006</v>
      </c>
    </row>
    <row r="784" spans="29:32" x14ac:dyDescent="0.35">
      <c r="AC784" t="s">
        <v>796</v>
      </c>
      <c r="AD784" t="s">
        <v>6</v>
      </c>
      <c r="AE784">
        <v>8847</v>
      </c>
      <c r="AF784">
        <v>69.900000000000006</v>
      </c>
    </row>
    <row r="785" spans="29:32" x14ac:dyDescent="0.35">
      <c r="AC785" t="s">
        <v>797</v>
      </c>
      <c r="AD785" t="s">
        <v>6</v>
      </c>
      <c r="AE785">
        <v>8854</v>
      </c>
      <c r="AF785">
        <v>99.9</v>
      </c>
    </row>
    <row r="786" spans="29:32" x14ac:dyDescent="0.35">
      <c r="AC786" t="s">
        <v>798</v>
      </c>
      <c r="AD786" t="s">
        <v>6</v>
      </c>
      <c r="AE786">
        <v>6768</v>
      </c>
      <c r="AF786">
        <v>99.9</v>
      </c>
    </row>
    <row r="787" spans="29:32" x14ac:dyDescent="0.35">
      <c r="AC787" t="s">
        <v>799</v>
      </c>
      <c r="AD787" t="s">
        <v>6</v>
      </c>
      <c r="AE787">
        <v>8855</v>
      </c>
      <c r="AF787">
        <v>109.9</v>
      </c>
    </row>
    <row r="788" spans="29:32" x14ac:dyDescent="0.35">
      <c r="AC788" t="s">
        <v>800</v>
      </c>
      <c r="AD788" t="s">
        <v>6</v>
      </c>
      <c r="AE788">
        <v>2829</v>
      </c>
      <c r="AF788">
        <v>109.9</v>
      </c>
    </row>
    <row r="789" spans="29:32" x14ac:dyDescent="0.35">
      <c r="AC789" t="s">
        <v>801</v>
      </c>
      <c r="AD789" t="s">
        <v>6</v>
      </c>
      <c r="AE789">
        <v>8862</v>
      </c>
      <c r="AF789">
        <v>59.9</v>
      </c>
    </row>
    <row r="790" spans="29:32" x14ac:dyDescent="0.35">
      <c r="AC790" t="s">
        <v>802</v>
      </c>
      <c r="AD790" t="s">
        <v>6</v>
      </c>
      <c r="AE790">
        <v>8863</v>
      </c>
      <c r="AF790">
        <v>69.900000000000006</v>
      </c>
    </row>
    <row r="791" spans="29:32" x14ac:dyDescent="0.35">
      <c r="AC791" t="s">
        <v>803</v>
      </c>
      <c r="AD791" t="s">
        <v>6</v>
      </c>
      <c r="AE791">
        <v>8872</v>
      </c>
      <c r="AF791">
        <v>63.9</v>
      </c>
    </row>
    <row r="792" spans="29:32" x14ac:dyDescent="0.35">
      <c r="AC792" t="s">
        <v>804</v>
      </c>
      <c r="AD792" t="s">
        <v>6</v>
      </c>
      <c r="AE792">
        <v>8523</v>
      </c>
      <c r="AF792">
        <v>54.9</v>
      </c>
    </row>
    <row r="793" spans="29:32" x14ac:dyDescent="0.35">
      <c r="AC793" t="s">
        <v>805</v>
      </c>
      <c r="AD793" t="s">
        <v>6</v>
      </c>
      <c r="AE793">
        <v>8874</v>
      </c>
      <c r="AF793">
        <v>37.9</v>
      </c>
    </row>
    <row r="794" spans="29:32" x14ac:dyDescent="0.35">
      <c r="AC794" t="s">
        <v>806</v>
      </c>
      <c r="AD794" t="s">
        <v>6</v>
      </c>
      <c r="AE794">
        <v>96167</v>
      </c>
      <c r="AF794">
        <v>34.9</v>
      </c>
    </row>
    <row r="795" spans="29:32" x14ac:dyDescent="0.35">
      <c r="AC795" t="s">
        <v>807</v>
      </c>
      <c r="AD795" t="s">
        <v>6</v>
      </c>
      <c r="AE795">
        <v>8895</v>
      </c>
      <c r="AF795">
        <v>49.9</v>
      </c>
    </row>
    <row r="796" spans="29:32" x14ac:dyDescent="0.35">
      <c r="AC796" t="s">
        <v>808</v>
      </c>
      <c r="AD796" t="s">
        <v>6</v>
      </c>
      <c r="AE796">
        <v>8900</v>
      </c>
      <c r="AF796">
        <v>44.9</v>
      </c>
    </row>
    <row r="797" spans="29:32" x14ac:dyDescent="0.35">
      <c r="AC797" t="s">
        <v>809</v>
      </c>
      <c r="AD797" t="s">
        <v>6</v>
      </c>
      <c r="AE797">
        <v>8898</v>
      </c>
      <c r="AF797">
        <v>39.9</v>
      </c>
    </row>
    <row r="798" spans="29:32" x14ac:dyDescent="0.35">
      <c r="AC798" t="s">
        <v>810</v>
      </c>
      <c r="AD798" t="s">
        <v>6</v>
      </c>
      <c r="AE798">
        <v>1669</v>
      </c>
      <c r="AF798">
        <v>39.9</v>
      </c>
    </row>
    <row r="799" spans="29:32" x14ac:dyDescent="0.35">
      <c r="AC799" t="s">
        <v>811</v>
      </c>
      <c r="AD799" t="s">
        <v>6</v>
      </c>
      <c r="AE799">
        <v>8542</v>
      </c>
      <c r="AF799">
        <v>63.9</v>
      </c>
    </row>
    <row r="800" spans="29:32" x14ac:dyDescent="0.35">
      <c r="AC800" t="s">
        <v>812</v>
      </c>
      <c r="AD800" t="s">
        <v>6</v>
      </c>
      <c r="AE800">
        <v>8543</v>
      </c>
      <c r="AF800">
        <v>59.9</v>
      </c>
    </row>
    <row r="801" spans="29:32" x14ac:dyDescent="0.35">
      <c r="AC801" t="s">
        <v>813</v>
      </c>
      <c r="AD801" t="s">
        <v>6</v>
      </c>
      <c r="AE801">
        <v>6872</v>
      </c>
      <c r="AF801">
        <v>46.9</v>
      </c>
    </row>
    <row r="802" spans="29:32" x14ac:dyDescent="0.35">
      <c r="AC802" t="s">
        <v>814</v>
      </c>
      <c r="AD802" t="s">
        <v>7</v>
      </c>
      <c r="AE802">
        <v>6925</v>
      </c>
      <c r="AF802">
        <v>39.9</v>
      </c>
    </row>
    <row r="803" spans="29:32" x14ac:dyDescent="0.35">
      <c r="AC803" t="s">
        <v>815</v>
      </c>
      <c r="AD803" t="s">
        <v>6</v>
      </c>
      <c r="AE803">
        <v>5988</v>
      </c>
      <c r="AF803">
        <v>59.9</v>
      </c>
    </row>
    <row r="804" spans="29:32" x14ac:dyDescent="0.35">
      <c r="AC804" t="s">
        <v>816</v>
      </c>
      <c r="AD804" t="s">
        <v>6</v>
      </c>
      <c r="AE804">
        <v>5932</v>
      </c>
      <c r="AF804">
        <v>39.9</v>
      </c>
    </row>
    <row r="805" spans="29:32" x14ac:dyDescent="0.35">
      <c r="AC805" t="s">
        <v>817</v>
      </c>
      <c r="AD805" t="s">
        <v>6</v>
      </c>
      <c r="AE805">
        <v>5937</v>
      </c>
      <c r="AF805">
        <v>32.9</v>
      </c>
    </row>
    <row r="806" spans="29:32" x14ac:dyDescent="0.35">
      <c r="AC806" t="s">
        <v>818</v>
      </c>
      <c r="AD806" t="s">
        <v>6</v>
      </c>
      <c r="AE806">
        <v>5933</v>
      </c>
      <c r="AF806">
        <v>34.9</v>
      </c>
    </row>
    <row r="807" spans="29:32" x14ac:dyDescent="0.35">
      <c r="AC807" t="s">
        <v>819</v>
      </c>
      <c r="AD807" t="s">
        <v>6</v>
      </c>
      <c r="AE807">
        <v>93444</v>
      </c>
      <c r="AF807">
        <v>69.900000000000006</v>
      </c>
    </row>
    <row r="808" spans="29:32" x14ac:dyDescent="0.35">
      <c r="AC808" t="s">
        <v>820</v>
      </c>
      <c r="AD808" t="s">
        <v>6</v>
      </c>
      <c r="AE808">
        <v>5768</v>
      </c>
      <c r="AF808">
        <v>64.900000000000006</v>
      </c>
    </row>
    <row r="809" spans="29:32" x14ac:dyDescent="0.35">
      <c r="AC809" t="s">
        <v>821</v>
      </c>
      <c r="AD809" t="s">
        <v>6</v>
      </c>
      <c r="AE809">
        <v>6910</v>
      </c>
      <c r="AF809">
        <v>49.9</v>
      </c>
    </row>
    <row r="810" spans="29:32" x14ac:dyDescent="0.35">
      <c r="AC810" t="s">
        <v>822</v>
      </c>
      <c r="AD810" t="s">
        <v>6</v>
      </c>
      <c r="AE810">
        <v>5935</v>
      </c>
      <c r="AF810">
        <v>54.9</v>
      </c>
    </row>
    <row r="811" spans="29:32" x14ac:dyDescent="0.35">
      <c r="AC811" t="s">
        <v>823</v>
      </c>
      <c r="AD811" t="s">
        <v>6</v>
      </c>
      <c r="AE811">
        <v>1859</v>
      </c>
      <c r="AF811">
        <v>79.900000000000006</v>
      </c>
    </row>
    <row r="812" spans="29:32" x14ac:dyDescent="0.35">
      <c r="AC812" t="s">
        <v>824</v>
      </c>
      <c r="AD812" t="s">
        <v>6</v>
      </c>
      <c r="AE812">
        <v>6875</v>
      </c>
      <c r="AF812">
        <v>49.9</v>
      </c>
    </row>
    <row r="813" spans="29:32" x14ac:dyDescent="0.35">
      <c r="AC813" t="s">
        <v>825</v>
      </c>
      <c r="AD813" t="s">
        <v>6</v>
      </c>
      <c r="AE813">
        <v>6906</v>
      </c>
      <c r="AF813">
        <v>39.9</v>
      </c>
    </row>
    <row r="814" spans="29:32" x14ac:dyDescent="0.35">
      <c r="AC814" t="s">
        <v>826</v>
      </c>
      <c r="AD814" t="s">
        <v>6</v>
      </c>
      <c r="AE814">
        <v>6896</v>
      </c>
      <c r="AF814">
        <v>32.9</v>
      </c>
    </row>
    <row r="815" spans="29:32" x14ac:dyDescent="0.35">
      <c r="AC815" t="s">
        <v>827</v>
      </c>
      <c r="AD815" t="s">
        <v>7</v>
      </c>
      <c r="AE815">
        <v>6904</v>
      </c>
      <c r="AF815">
        <v>18.899999999999999</v>
      </c>
    </row>
    <row r="816" spans="29:32" x14ac:dyDescent="0.35">
      <c r="AC816" t="s">
        <v>828</v>
      </c>
      <c r="AD816" t="s">
        <v>6</v>
      </c>
      <c r="AE816">
        <v>6873</v>
      </c>
      <c r="AF816">
        <v>54.9</v>
      </c>
    </row>
    <row r="817" spans="29:32" x14ac:dyDescent="0.35">
      <c r="AC817" t="s">
        <v>829</v>
      </c>
      <c r="AD817" t="s">
        <v>6</v>
      </c>
      <c r="AE817">
        <v>5974</v>
      </c>
      <c r="AF817">
        <v>68.900000000000006</v>
      </c>
    </row>
    <row r="818" spans="29:32" x14ac:dyDescent="0.35">
      <c r="AC818" t="s">
        <v>830</v>
      </c>
      <c r="AD818" t="s">
        <v>6</v>
      </c>
      <c r="AE818">
        <v>1857</v>
      </c>
      <c r="AF818">
        <v>94.9</v>
      </c>
    </row>
    <row r="819" spans="29:32" x14ac:dyDescent="0.35">
      <c r="AC819" t="s">
        <v>831</v>
      </c>
      <c r="AD819" t="s">
        <v>6</v>
      </c>
      <c r="AE819">
        <v>6077</v>
      </c>
      <c r="AF819">
        <v>44.9</v>
      </c>
    </row>
    <row r="820" spans="29:32" x14ac:dyDescent="0.35">
      <c r="AC820" t="s">
        <v>832</v>
      </c>
      <c r="AD820" t="s">
        <v>6</v>
      </c>
      <c r="AE820">
        <v>5975</v>
      </c>
      <c r="AF820">
        <v>109.9</v>
      </c>
    </row>
    <row r="821" spans="29:32" x14ac:dyDescent="0.35">
      <c r="AC821" t="s">
        <v>833</v>
      </c>
      <c r="AD821" t="s">
        <v>6</v>
      </c>
      <c r="AE821">
        <v>2764</v>
      </c>
      <c r="AF821">
        <v>49.9</v>
      </c>
    </row>
    <row r="822" spans="29:32" x14ac:dyDescent="0.35">
      <c r="AC822" t="s">
        <v>834</v>
      </c>
      <c r="AD822" t="s">
        <v>6</v>
      </c>
      <c r="AE822">
        <v>6879</v>
      </c>
      <c r="AF822">
        <v>69.900000000000006</v>
      </c>
    </row>
    <row r="823" spans="29:32" x14ac:dyDescent="0.35">
      <c r="AC823" t="s">
        <v>835</v>
      </c>
      <c r="AD823" t="s">
        <v>6</v>
      </c>
      <c r="AE823">
        <v>5908</v>
      </c>
      <c r="AF823">
        <v>49.9</v>
      </c>
    </row>
    <row r="824" spans="29:32" x14ac:dyDescent="0.35">
      <c r="AC824" t="s">
        <v>836</v>
      </c>
      <c r="AD824" t="s">
        <v>6</v>
      </c>
      <c r="AE824">
        <v>6878</v>
      </c>
      <c r="AF824">
        <v>63.9</v>
      </c>
    </row>
    <row r="825" spans="29:32" x14ac:dyDescent="0.35">
      <c r="AC825" t="s">
        <v>837</v>
      </c>
      <c r="AD825" t="s">
        <v>6</v>
      </c>
      <c r="AE825">
        <v>2771</v>
      </c>
      <c r="AF825">
        <v>63.9</v>
      </c>
    </row>
    <row r="826" spans="29:32" x14ac:dyDescent="0.35">
      <c r="AC826" t="s">
        <v>838</v>
      </c>
      <c r="AD826" t="s">
        <v>6</v>
      </c>
      <c r="AE826">
        <v>6874</v>
      </c>
      <c r="AF826">
        <v>32.9</v>
      </c>
    </row>
    <row r="827" spans="29:32" x14ac:dyDescent="0.35">
      <c r="AC827" t="s">
        <v>839</v>
      </c>
      <c r="AD827" t="s">
        <v>6</v>
      </c>
      <c r="AE827">
        <v>6898</v>
      </c>
      <c r="AF827">
        <v>39.9</v>
      </c>
    </row>
    <row r="828" spans="29:32" x14ac:dyDescent="0.35">
      <c r="AC828" t="s">
        <v>840</v>
      </c>
      <c r="AD828" t="s">
        <v>6</v>
      </c>
      <c r="AE828">
        <v>3129</v>
      </c>
      <c r="AF828">
        <v>54.9</v>
      </c>
    </row>
    <row r="829" spans="29:32" x14ac:dyDescent="0.35">
      <c r="AC829" t="s">
        <v>841</v>
      </c>
      <c r="AD829" t="s">
        <v>7</v>
      </c>
      <c r="AE829">
        <v>6893</v>
      </c>
      <c r="AF829">
        <v>19.899999999999999</v>
      </c>
    </row>
    <row r="830" spans="29:32" x14ac:dyDescent="0.35">
      <c r="AC830" t="s">
        <v>842</v>
      </c>
      <c r="AD830" t="s">
        <v>7</v>
      </c>
      <c r="AE830">
        <v>5395</v>
      </c>
      <c r="AF830">
        <v>24.9</v>
      </c>
    </row>
    <row r="831" spans="29:32" x14ac:dyDescent="0.35">
      <c r="AC831" t="s">
        <v>843</v>
      </c>
      <c r="AD831" t="s">
        <v>7</v>
      </c>
      <c r="AE831">
        <v>6894</v>
      </c>
      <c r="AF831">
        <v>24.9</v>
      </c>
    </row>
    <row r="832" spans="29:32" x14ac:dyDescent="0.35">
      <c r="AC832" t="s">
        <v>844</v>
      </c>
      <c r="AD832" t="s">
        <v>7</v>
      </c>
      <c r="AE832">
        <v>6876</v>
      </c>
      <c r="AF832">
        <v>21.9</v>
      </c>
    </row>
    <row r="833" spans="29:32" x14ac:dyDescent="0.35">
      <c r="AC833" t="s">
        <v>845</v>
      </c>
      <c r="AD833" t="s">
        <v>6</v>
      </c>
      <c r="AE833">
        <v>5782</v>
      </c>
      <c r="AF833">
        <v>64.900000000000006</v>
      </c>
    </row>
    <row r="834" spans="29:32" x14ac:dyDescent="0.35">
      <c r="AC834" t="s">
        <v>846</v>
      </c>
      <c r="AD834" t="s">
        <v>6</v>
      </c>
      <c r="AE834">
        <v>5775</v>
      </c>
      <c r="AF834">
        <v>64.900000000000006</v>
      </c>
    </row>
    <row r="835" spans="29:32" x14ac:dyDescent="0.35">
      <c r="AC835" t="s">
        <v>847</v>
      </c>
      <c r="AD835" t="s">
        <v>6</v>
      </c>
      <c r="AE835">
        <v>1861</v>
      </c>
      <c r="AF835">
        <v>71.900000000000006</v>
      </c>
    </row>
    <row r="836" spans="29:32" x14ac:dyDescent="0.35">
      <c r="AC836" t="s">
        <v>848</v>
      </c>
      <c r="AD836" t="s">
        <v>6</v>
      </c>
      <c r="AE836">
        <v>8904</v>
      </c>
      <c r="AF836">
        <v>29.9</v>
      </c>
    </row>
    <row r="837" spans="29:32" x14ac:dyDescent="0.35">
      <c r="AC837" t="s">
        <v>849</v>
      </c>
      <c r="AD837" t="s">
        <v>7</v>
      </c>
      <c r="AE837">
        <v>8901</v>
      </c>
      <c r="AF837">
        <v>10.9</v>
      </c>
    </row>
    <row r="838" spans="29:32" x14ac:dyDescent="0.35">
      <c r="AC838" t="s">
        <v>850</v>
      </c>
      <c r="AD838" t="s">
        <v>7</v>
      </c>
      <c r="AE838">
        <v>360555</v>
      </c>
      <c r="AF838">
        <v>5.9</v>
      </c>
    </row>
    <row r="839" spans="29:32" x14ac:dyDescent="0.35">
      <c r="AC839" t="s">
        <v>851</v>
      </c>
      <c r="AD839" t="s">
        <v>6</v>
      </c>
      <c r="AE839">
        <v>8905</v>
      </c>
      <c r="AF839">
        <v>18.899999999999999</v>
      </c>
    </row>
    <row r="840" spans="29:32" x14ac:dyDescent="0.35">
      <c r="AC840" t="s">
        <v>852</v>
      </c>
      <c r="AD840" t="s">
        <v>6</v>
      </c>
      <c r="AE840">
        <v>8907</v>
      </c>
      <c r="AF840">
        <v>24.99</v>
      </c>
    </row>
    <row r="841" spans="29:32" x14ac:dyDescent="0.35">
      <c r="AC841" t="s">
        <v>853</v>
      </c>
      <c r="AD841" t="s">
        <v>6</v>
      </c>
      <c r="AE841">
        <v>8908</v>
      </c>
      <c r="AF841">
        <v>29.9</v>
      </c>
    </row>
    <row r="842" spans="29:32" x14ac:dyDescent="0.35">
      <c r="AC842" t="s">
        <v>854</v>
      </c>
      <c r="AD842" t="s">
        <v>6</v>
      </c>
      <c r="AE842">
        <v>7065</v>
      </c>
      <c r="AF842">
        <v>29.9</v>
      </c>
    </row>
    <row r="843" spans="29:32" x14ac:dyDescent="0.35">
      <c r="AC843" t="s">
        <v>855</v>
      </c>
      <c r="AD843" t="s">
        <v>6</v>
      </c>
      <c r="AE843">
        <v>7075</v>
      </c>
      <c r="AF843">
        <v>79.900000000000006</v>
      </c>
    </row>
    <row r="844" spans="29:32" x14ac:dyDescent="0.35">
      <c r="AC844" t="s">
        <v>827</v>
      </c>
      <c r="AD844" t="s">
        <v>7</v>
      </c>
      <c r="AE844">
        <v>6904</v>
      </c>
      <c r="AF844">
        <v>18.899999999999999</v>
      </c>
    </row>
    <row r="845" spans="29:32" x14ac:dyDescent="0.35">
      <c r="AC845" t="s">
        <v>828</v>
      </c>
      <c r="AD845" t="s">
        <v>6</v>
      </c>
      <c r="AE845">
        <v>6873</v>
      </c>
      <c r="AF845">
        <v>54.9</v>
      </c>
    </row>
    <row r="846" spans="29:32" x14ac:dyDescent="0.35">
      <c r="AC846" t="s">
        <v>829</v>
      </c>
      <c r="AD846" t="s">
        <v>6</v>
      </c>
      <c r="AE846">
        <v>5974</v>
      </c>
      <c r="AF846">
        <v>68.900000000000006</v>
      </c>
    </row>
    <row r="847" spans="29:32" x14ac:dyDescent="0.35">
      <c r="AC847" t="s">
        <v>830</v>
      </c>
      <c r="AD847" t="s">
        <v>6</v>
      </c>
      <c r="AE847">
        <v>1857</v>
      </c>
      <c r="AF847">
        <v>59.9</v>
      </c>
    </row>
    <row r="848" spans="29:32" x14ac:dyDescent="0.35">
      <c r="AC848" t="s">
        <v>831</v>
      </c>
      <c r="AD848" t="s">
        <v>6</v>
      </c>
      <c r="AE848">
        <v>6077</v>
      </c>
      <c r="AF848">
        <v>44.9</v>
      </c>
    </row>
    <row r="849" spans="29:32" x14ac:dyDescent="0.35">
      <c r="AC849" t="s">
        <v>832</v>
      </c>
      <c r="AD849" t="s">
        <v>6</v>
      </c>
      <c r="AE849">
        <v>5975</v>
      </c>
      <c r="AF849">
        <v>109.9</v>
      </c>
    </row>
    <row r="850" spans="29:32" x14ac:dyDescent="0.35">
      <c r="AC850" t="s">
        <v>833</v>
      </c>
      <c r="AD850" t="s">
        <v>6</v>
      </c>
      <c r="AE850">
        <v>2764</v>
      </c>
      <c r="AF850">
        <v>49.9</v>
      </c>
    </row>
    <row r="851" spans="29:32" x14ac:dyDescent="0.35">
      <c r="AC851" t="s">
        <v>834</v>
      </c>
      <c r="AD851" t="s">
        <v>6</v>
      </c>
      <c r="AE851">
        <v>6879</v>
      </c>
      <c r="AF851">
        <v>69.900000000000006</v>
      </c>
    </row>
    <row r="852" spans="29:32" x14ac:dyDescent="0.35">
      <c r="AC852" t="s">
        <v>835</v>
      </c>
      <c r="AD852" t="s">
        <v>6</v>
      </c>
      <c r="AE852">
        <v>5908</v>
      </c>
      <c r="AF852">
        <v>49.9</v>
      </c>
    </row>
    <row r="853" spans="29:32" x14ac:dyDescent="0.35">
      <c r="AC853" t="s">
        <v>836</v>
      </c>
      <c r="AD853" t="s">
        <v>6</v>
      </c>
      <c r="AE853">
        <v>6878</v>
      </c>
      <c r="AF853">
        <v>63.9</v>
      </c>
    </row>
    <row r="854" spans="29:32" x14ac:dyDescent="0.35">
      <c r="AC854" t="s">
        <v>837</v>
      </c>
      <c r="AD854" t="s">
        <v>6</v>
      </c>
      <c r="AE854">
        <v>2771</v>
      </c>
      <c r="AF854">
        <v>63.9</v>
      </c>
    </row>
    <row r="855" spans="29:32" x14ac:dyDescent="0.35">
      <c r="AC855" t="s">
        <v>838</v>
      </c>
      <c r="AD855" t="s">
        <v>6</v>
      </c>
      <c r="AE855">
        <v>6874</v>
      </c>
      <c r="AF855">
        <v>32.9</v>
      </c>
    </row>
    <row r="856" spans="29:32" x14ac:dyDescent="0.35">
      <c r="AC856" t="s">
        <v>839</v>
      </c>
      <c r="AD856" t="s">
        <v>6</v>
      </c>
      <c r="AE856">
        <v>6898</v>
      </c>
      <c r="AF856">
        <v>39.9</v>
      </c>
    </row>
    <row r="857" spans="29:32" x14ac:dyDescent="0.35">
      <c r="AC857" t="s">
        <v>840</v>
      </c>
      <c r="AD857" t="s">
        <v>6</v>
      </c>
      <c r="AE857">
        <v>3129</v>
      </c>
      <c r="AF857">
        <v>54.9</v>
      </c>
    </row>
    <row r="858" spans="29:32" x14ac:dyDescent="0.35">
      <c r="AC858" t="s">
        <v>841</v>
      </c>
      <c r="AD858" t="s">
        <v>7</v>
      </c>
      <c r="AE858">
        <v>6893</v>
      </c>
      <c r="AF858">
        <v>19.899999999999999</v>
      </c>
    </row>
    <row r="859" spans="29:32" x14ac:dyDescent="0.35">
      <c r="AC859" t="s">
        <v>842</v>
      </c>
      <c r="AD859" t="s">
        <v>7</v>
      </c>
      <c r="AE859">
        <v>5395</v>
      </c>
      <c r="AF859">
        <v>24.9</v>
      </c>
    </row>
    <row r="860" spans="29:32" x14ac:dyDescent="0.35">
      <c r="AC860" t="s">
        <v>843</v>
      </c>
      <c r="AD860" t="s">
        <v>7</v>
      </c>
      <c r="AE860">
        <v>6894</v>
      </c>
      <c r="AF860">
        <v>23.9</v>
      </c>
    </row>
    <row r="861" spans="29:32" x14ac:dyDescent="0.35">
      <c r="AC861" t="s">
        <v>844</v>
      </c>
      <c r="AD861" t="s">
        <v>7</v>
      </c>
      <c r="AE861">
        <v>6876</v>
      </c>
      <c r="AF861">
        <v>21.9</v>
      </c>
    </row>
    <row r="862" spans="29:32" x14ac:dyDescent="0.35">
      <c r="AC862" t="s">
        <v>845</v>
      </c>
      <c r="AD862" t="s">
        <v>6</v>
      </c>
      <c r="AE862">
        <v>5782</v>
      </c>
      <c r="AF862">
        <v>64.900000000000006</v>
      </c>
    </row>
    <row r="863" spans="29:32" x14ac:dyDescent="0.35">
      <c r="AC863" t="s">
        <v>846</v>
      </c>
      <c r="AD863" t="s">
        <v>6</v>
      </c>
      <c r="AE863">
        <v>5775</v>
      </c>
      <c r="AF863">
        <v>64.900000000000006</v>
      </c>
    </row>
    <row r="864" spans="29:32" x14ac:dyDescent="0.35">
      <c r="AC864" t="s">
        <v>847</v>
      </c>
      <c r="AD864" t="s">
        <v>6</v>
      </c>
      <c r="AE864">
        <v>1861</v>
      </c>
      <c r="AF864">
        <v>71.900000000000006</v>
      </c>
    </row>
    <row r="865" spans="29:44" x14ac:dyDescent="0.35">
      <c r="AC865" t="s">
        <v>848</v>
      </c>
      <c r="AD865" t="s">
        <v>6</v>
      </c>
      <c r="AE865">
        <v>8904</v>
      </c>
      <c r="AF865">
        <v>29.9</v>
      </c>
    </row>
    <row r="866" spans="29:44" x14ac:dyDescent="0.35">
      <c r="AC866" t="s">
        <v>849</v>
      </c>
      <c r="AD866" t="s">
        <v>7</v>
      </c>
      <c r="AE866">
        <v>8901</v>
      </c>
      <c r="AF866">
        <v>10.9</v>
      </c>
    </row>
    <row r="867" spans="29:44" x14ac:dyDescent="0.35">
      <c r="AC867" t="s">
        <v>850</v>
      </c>
      <c r="AD867" t="s">
        <v>7</v>
      </c>
      <c r="AE867">
        <v>360555</v>
      </c>
      <c r="AF867">
        <v>5.9</v>
      </c>
    </row>
    <row r="868" spans="29:44" x14ac:dyDescent="0.35">
      <c r="AC868" t="s">
        <v>851</v>
      </c>
      <c r="AD868" t="s">
        <v>6</v>
      </c>
      <c r="AE868">
        <v>8905</v>
      </c>
      <c r="AF868">
        <v>18.899999999999999</v>
      </c>
    </row>
    <row r="869" spans="29:44" x14ac:dyDescent="0.35">
      <c r="AC869" t="s">
        <v>852</v>
      </c>
      <c r="AD869" t="s">
        <v>6</v>
      </c>
      <c r="AE869">
        <v>8907</v>
      </c>
      <c r="AF869">
        <v>24.99</v>
      </c>
    </row>
    <row r="870" spans="29:44" x14ac:dyDescent="0.35">
      <c r="AC870" t="s">
        <v>853</v>
      </c>
      <c r="AD870" t="s">
        <v>6</v>
      </c>
      <c r="AE870">
        <v>8908</v>
      </c>
      <c r="AF870">
        <v>29.9</v>
      </c>
    </row>
    <row r="871" spans="29:44" x14ac:dyDescent="0.35">
      <c r="AC871" t="s">
        <v>854</v>
      </c>
      <c r="AD871" t="s">
        <v>6</v>
      </c>
      <c r="AE871">
        <v>7065</v>
      </c>
      <c r="AF871">
        <v>29.9</v>
      </c>
    </row>
    <row r="872" spans="29:44" x14ac:dyDescent="0.35">
      <c r="AC872" t="s">
        <v>855</v>
      </c>
      <c r="AD872" t="s">
        <v>6</v>
      </c>
      <c r="AE872">
        <v>7075</v>
      </c>
      <c r="AF872">
        <v>79.900000000000006</v>
      </c>
    </row>
    <row r="873" spans="29:44" x14ac:dyDescent="0.35">
      <c r="AC873" t="s">
        <v>860</v>
      </c>
      <c r="AD873" t="s">
        <v>7</v>
      </c>
      <c r="AE873">
        <v>8966</v>
      </c>
      <c r="AF873">
        <v>23.9</v>
      </c>
    </row>
    <row r="874" spans="29:44" x14ac:dyDescent="0.35">
      <c r="AC874" s="134" t="s">
        <v>861</v>
      </c>
      <c r="AD874" s="134" t="s">
        <v>7</v>
      </c>
      <c r="AE874" s="134">
        <v>7768</v>
      </c>
      <c r="AF874" s="134">
        <v>24.9</v>
      </c>
    </row>
    <row r="875" spans="29:44" x14ac:dyDescent="0.35">
      <c r="AC875" s="134" t="s">
        <v>862</v>
      </c>
      <c r="AD875" s="134" t="s">
        <v>7</v>
      </c>
      <c r="AE875" s="134">
        <v>7673</v>
      </c>
      <c r="AF875" s="134">
        <v>25.9</v>
      </c>
    </row>
    <row r="876" spans="29:44" x14ac:dyDescent="0.35">
      <c r="AC876" s="134" t="s">
        <v>863</v>
      </c>
      <c r="AD876" s="134" t="s">
        <v>7</v>
      </c>
      <c r="AE876" s="134">
        <v>9289</v>
      </c>
      <c r="AF876" s="134">
        <v>24.9</v>
      </c>
      <c r="AG876" s="134"/>
      <c r="AH876" s="134"/>
      <c r="AI876" s="134"/>
      <c r="AJ876" s="134"/>
      <c r="AK876" s="134"/>
      <c r="AL876" s="134"/>
      <c r="AM876" s="134"/>
      <c r="AN876" s="134"/>
      <c r="AO876" s="134"/>
      <c r="AP876" s="134"/>
      <c r="AQ876" s="134"/>
      <c r="AR876" s="134"/>
    </row>
    <row r="877" spans="29:44" x14ac:dyDescent="0.35">
      <c r="AC877" t="s">
        <v>53</v>
      </c>
      <c r="AD877" t="s">
        <v>7</v>
      </c>
      <c r="AE877">
        <v>7625</v>
      </c>
      <c r="AF877">
        <v>24.9</v>
      </c>
    </row>
    <row r="878" spans="29:44" x14ac:dyDescent="0.35">
      <c r="AC878" s="134" t="s">
        <v>864</v>
      </c>
      <c r="AD878" s="134" t="s">
        <v>7</v>
      </c>
      <c r="AE878" s="134">
        <v>9362</v>
      </c>
      <c r="AF878" s="134">
        <v>23.9</v>
      </c>
      <c r="AG878" s="134"/>
      <c r="AH878" s="134"/>
      <c r="AI878" s="134"/>
      <c r="AJ878" s="134"/>
      <c r="AK878" s="134"/>
      <c r="AL878" s="134"/>
      <c r="AM878" s="134"/>
      <c r="AN878" s="134"/>
      <c r="AO878" s="134"/>
      <c r="AP878" s="134"/>
      <c r="AQ878" s="134"/>
      <c r="AR878" s="134"/>
    </row>
  </sheetData>
  <mergeCells count="7">
    <mergeCell ref="Y1:AA1"/>
    <mergeCell ref="A1:C1"/>
    <mergeCell ref="E1:G1"/>
    <mergeCell ref="I1:K1"/>
    <mergeCell ref="M1:O1"/>
    <mergeCell ref="U1:W1"/>
    <mergeCell ref="Q1:S1"/>
  </mergeCells>
  <phoneticPr fontId="2" type="noConversion"/>
  <pageMargins left="0.7" right="0.7" top="0.75" bottom="0.75" header="0.3" footer="0.3"/>
  <pageSetup paperSize="9" scale="10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ESCALA DE 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Descontao</dc:creator>
  <cp:lastModifiedBy>Virgilio Oliveira Filho</cp:lastModifiedBy>
  <cp:lastPrinted>2026-01-05T12:59:29Z</cp:lastPrinted>
  <dcterms:created xsi:type="dcterms:W3CDTF">2015-06-05T18:17:20Z</dcterms:created>
  <dcterms:modified xsi:type="dcterms:W3CDTF">2026-01-27T19:44:42Z</dcterms:modified>
</cp:coreProperties>
</file>