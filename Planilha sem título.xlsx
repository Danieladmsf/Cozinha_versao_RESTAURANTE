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DE PRODUÇÃO" sheetId="1" r:id="rId5"/>
  </sheets>
  <definedNames/>
  <calcPr/>
</workbook>
</file>

<file path=xl/sharedStrings.xml><?xml version="1.0" encoding="utf-8"?>
<sst xmlns="http://schemas.openxmlformats.org/spreadsheetml/2006/main" count="1816" uniqueCount="865">
  <si>
    <t>Produto</t>
  </si>
  <si>
    <t>Embalagem</t>
  </si>
  <si>
    <t>Código de Barras</t>
  </si>
  <si>
    <t>Preço Venda</t>
  </si>
  <si>
    <t>COD</t>
  </si>
  <si>
    <t>PRODUTO</t>
  </si>
  <si>
    <t>PESO  P/PCT</t>
  </si>
  <si>
    <t>093583 - ASS.FRANGO BENDITO INTEIRO</t>
  </si>
  <si>
    <t>UN/0001</t>
  </si>
  <si>
    <t>002893 - ASS.FRANGO METADE BENDITO UNIDADE</t>
  </si>
  <si>
    <t>002353 - COGUMELO FATIADO KG</t>
  </si>
  <si>
    <t>KG/0001</t>
  </si>
  <si>
    <t xml:space="preserve">005877 - COGUMELO INTEIRO KG </t>
  </si>
  <si>
    <t>002028 - ERVILHA CONGELADA KG</t>
  </si>
  <si>
    <t>035607 - ERVILHA LATA 1,7KG</t>
  </si>
  <si>
    <t>007337 -  F. PROPRIA ISCA DE FRANGO A MILANESA  KG</t>
  </si>
  <si>
    <t>006911 - GORDURA VEGETAL PARA FRITADEIRA KG</t>
  </si>
  <si>
    <t>006270 - HMP SAL KG</t>
  </si>
  <si>
    <t>KG/0012</t>
  </si>
  <si>
    <t>006272 - HMP SALSA  KG</t>
  </si>
  <si>
    <t>006268 - HMP VINAGRE KG</t>
  </si>
  <si>
    <t>007581 - MEDALHAO QUIABO COM BACON BENDITO KG</t>
  </si>
  <si>
    <t>003361 - MILHO VERDE EM CONSERVA LATA 1,7KG (COLOCAR PRECO KG)</t>
  </si>
  <si>
    <t>007570 - MOLHO PESTO BENDITO KG</t>
  </si>
  <si>
    <t>009177 - MP ALGA P/SUSHI KG</t>
  </si>
  <si>
    <t>009167 - MP ARROZ JAPONES KG</t>
  </si>
  <si>
    <t>009196 - MP FARINHA PANKO KG</t>
  </si>
  <si>
    <t>009197 - MP MOLHO AGRIDOCE KG</t>
  </si>
  <si>
    <t>009199 - MP MOLHO SHOYU KG</t>
  </si>
  <si>
    <t>009178 - MP MOLHO TARE KG</t>
  </si>
  <si>
    <t>002753 - OLEO COMP.SOJA/AZEITE GALAO (COLOCAR PRECO POR LITRO)</t>
  </si>
  <si>
    <t>KG/0005</t>
  </si>
  <si>
    <t>006671 - OLEO DE ALGODAO GALAO (PRECO POR LITRO)</t>
  </si>
  <si>
    <t>035544 - OLEO SOJA GALAO (COLOCAR PRECO POR LITRO)</t>
  </si>
  <si>
    <t>001895 - OLEO SOJA  LT (GALAO)</t>
  </si>
  <si>
    <t>102365 - PADARIA TABUA DE FRIOS  KG</t>
  </si>
  <si>
    <t>002173 - PALMITO PUPUNHA PICADO KG</t>
  </si>
  <si>
    <t xml:space="preserve">007573 - PATE DE ATUM BENDITO KG </t>
  </si>
  <si>
    <t xml:space="preserve">007574 - PATE DE AZEITONA PRETA BENDITO KG </t>
  </si>
  <si>
    <t>007575 - PATE DE AZEITONA VERDE BENDITO KG</t>
  </si>
  <si>
    <t xml:space="preserve">007576 - PATE DE GORGONZOLA BENDITO KG </t>
  </si>
  <si>
    <t xml:space="preserve">008079 - PATE DE NOZES BENDITO KG </t>
  </si>
  <si>
    <t>007580 - PATE DE TOMATE SECO BENDITO KG</t>
  </si>
  <si>
    <t>007582 - PRATO EXECUTIVO FIT BENDITO UND</t>
  </si>
  <si>
    <t>007930 - REF COPA LOMBO ACEBOLADA BENDITO</t>
  </si>
  <si>
    <t xml:space="preserve">008948 - REF COPA LOMBO SUINA MILANESA BENDITO </t>
  </si>
  <si>
    <t>007590 - REFEICAO ALMONDEGA BENDITO UN</t>
  </si>
  <si>
    <t>MASSAS/PATES/MOLHOS/ETC</t>
  </si>
  <si>
    <t>007602 - REFEICAO ARROZ E FILE FRANGO MILANESA BENDITO UN</t>
  </si>
  <si>
    <t>007606 - REFEICAO BIFE ACEBOLADO BENDITO UN</t>
  </si>
  <si>
    <t>007608 - REFEICAO BIFE A PARMEGIANA BENDITO UN</t>
  </si>
  <si>
    <t>007607 - REFEICAO BIFE A ROLE BENDITO UN</t>
  </si>
  <si>
    <t>007609 - REFEICAO CARNE ASSADA BENDITO UN</t>
  </si>
  <si>
    <t>007610 - REFEICAO CARNE BOV+LINGUICA UND - REDONDA BENDITO</t>
  </si>
  <si>
    <t>007621 - REFEICAO CARNE MOIDA C/LEGUMES BENDITO UN</t>
  </si>
  <si>
    <t>007625 - REFEICAO CARNE PANELA BENDITO UN</t>
  </si>
  <si>
    <t>035999 - REFEICAO CARNE PANELA BENDITO UN</t>
  </si>
  <si>
    <t>007623 - REFEICAO CARNE PANELA REDONDA BENDITO</t>
  </si>
  <si>
    <t>035998 - REFEICAO CARNE PANELA REDONDA BENDITO</t>
  </si>
  <si>
    <t>007628 - REFEICAO COPA LOMBO ASSADO E LINGUICA REDONDA BENDITO</t>
  </si>
  <si>
    <t>007646 - REFEICAO COSTELA C.MANDIOCA UND - REDONDA BENDITO</t>
  </si>
  <si>
    <t>007647 - REFEICAO COSTELINHA PORCO ASSADA BENDITO UN</t>
  </si>
  <si>
    <t>007652 - REFEICAO COXA SOBRECOXA ASSADA BENDITO UN</t>
  </si>
  <si>
    <t>007653 - REFEICAO CUPIM M.MADEIRA BENDITO UN</t>
  </si>
  <si>
    <t>007660 - REFEICAO FEIJOADA BENDITO UN</t>
  </si>
  <si>
    <t>007661 - REFEICAO FILE FRANGO A MILANESA BENDITO</t>
  </si>
  <si>
    <t>007663 - REFEICAO FILE FRANGO A PIZZAOLA BENDITO UN</t>
  </si>
  <si>
    <t>007778 - REFEICAO LINGUICA ASSADA BENDITO UN</t>
  </si>
  <si>
    <t>007789 - REFEICAO LOMBO ASSADO BENDITO UN</t>
  </si>
  <si>
    <t>007796 - REFEICAO MEDALHAO FRANGO BENDITO UN</t>
  </si>
  <si>
    <t>007814 - REFEICAO MEDALHAO SUINO - REDONDA BENDITO</t>
  </si>
  <si>
    <t>007840 - REFEICAO PERNIL + LINGUICA UN - REDONDA BENDITO</t>
  </si>
  <si>
    <t>007845 - REFEICAO PERNIL MOLHO FERRUGEM BENDITO UN</t>
  </si>
  <si>
    <t>007860 - REFEICAO PERNIL PANELA BENDITO UN</t>
  </si>
  <si>
    <t>007863 - REFEICAO PICANHA BENDITO UN</t>
  </si>
  <si>
    <t>007867 - REFEICAO PONTA PEITO MOLHO MADEIRA BENDITO UN</t>
  </si>
  <si>
    <t>007874 - REFEICAO STROGONOFF CARNE BENDITO UN</t>
  </si>
  <si>
    <t>007875 - REFEICAO STROGONOFF FRANGO BENDITO UN</t>
  </si>
  <si>
    <t>007876 - REFEICAO TILAPIA EMPANADA BENDITO UN</t>
  </si>
  <si>
    <t>036010 - REFEICAO TILAPIA EMPANADA BENDITO UN</t>
  </si>
  <si>
    <t>007877 - REFEICAO TIRINHA CARNE CHINESA BENDITO UN</t>
  </si>
  <si>
    <t>007884 - REFEICAO VIRADO A PAULISTA BENDITO UN</t>
  </si>
  <si>
    <t>007943 - REF.LINGUICA.C/CATUPIRY+OVO FRITO+LEG+FAROFA BENDITO</t>
  </si>
  <si>
    <t xml:space="preserve">007887 - REF REDONDA BIFE ACEBOLADO +OVO+ BATATA BENDITO UND </t>
  </si>
  <si>
    <t>007901 - REF REDONDA BISTECA SUINA MILANESA BENDITO</t>
  </si>
  <si>
    <t>007907 - REF REDONDA CHURRASCO MAMINHA+LING+TULIPA+FAROFA BENDITO</t>
  </si>
  <si>
    <t>007923 - REF REDONDA COXINHA C/LINGUICINHA ASSADA BENDITO</t>
  </si>
  <si>
    <t>007925 - REF REDONDA COXINHA C/LINGUICINHA ASSADA BENDITO</t>
  </si>
  <si>
    <t>007927 - REF REDONDA FILE DE SOBRECOXA + LINGUICA ASSADA BENDITO</t>
  </si>
  <si>
    <t>005748 - RMP ABACATE KG</t>
  </si>
  <si>
    <t>003141 - RMP ABACAXI EM CALDA KG</t>
  </si>
  <si>
    <t>003128 - RMP ABACAXI KG</t>
  </si>
  <si>
    <t>002527 - RMP ABOBORA ITALIA KG</t>
  </si>
  <si>
    <t>002526 - RMP ABOBRINHA CAIPIRA  KG</t>
  </si>
  <si>
    <t>005394 - RMP ABOBRINHA ITALIA  KG</t>
  </si>
  <si>
    <t>003090 - RMP ABOBRINHA PAULISTA KG</t>
  </si>
  <si>
    <t xml:space="preserve">003133 - RMP ACAFRAO KG </t>
  </si>
  <si>
    <t>004275 - RMP ACELGA KG</t>
  </si>
  <si>
    <t>002590 - RMP ACUCAR CRISTAL KG</t>
  </si>
  <si>
    <t>002748 - RMP ACUCAR DEMERARA KG</t>
  </si>
  <si>
    <t>005023 - RMP ACUCAR MASCAVO KG</t>
  </si>
  <si>
    <t>002135 - RMP ALECRIM KG</t>
  </si>
  <si>
    <t>002458 - RMP ALFACE KG</t>
  </si>
  <si>
    <t>002220 - RMP ALHO A GRANEL KG</t>
  </si>
  <si>
    <t>005981 - RMP ALHO DESIDRATADO KG</t>
  </si>
  <si>
    <t>002548 - RMP ALHO PORO KG</t>
  </si>
  <si>
    <t>002080 - RMP ALHO TRITURADO KG</t>
  </si>
  <si>
    <t>003127 - RMP AMEIXA S/CAROCO KG</t>
  </si>
  <si>
    <t>002602 - RMP AMENDOIM SALGADO KG</t>
  </si>
  <si>
    <t>002481 - RMP AMIDO DE MILHO KG</t>
  </si>
  <si>
    <t>KG/0040</t>
  </si>
  <si>
    <t>005089 - RMP APRESUNTADO KG</t>
  </si>
  <si>
    <t>002036 - RMP ARROZ  INTEGRAL KG</t>
  </si>
  <si>
    <t>002104 - RMP ARROZ  KG</t>
  </si>
  <si>
    <t>005146 - RMP ARROZ  PARBORIZADO  KG</t>
  </si>
  <si>
    <t>002738 - RMP ATUM KG</t>
  </si>
  <si>
    <t>005990 - RMP AVEIA  KG</t>
  </si>
  <si>
    <t>002647 - RMP AVES CARNE ASSAR ROTISSERIE KG</t>
  </si>
  <si>
    <t>002520 - RMP AVES FRANGO P/ASSAR KG</t>
  </si>
  <si>
    <t>023524 - RMP AVES FRANGO P/ASSAR UN</t>
  </si>
  <si>
    <t>001974 - RMP AZEITE OLIVA EXTRA VIRGEM KG</t>
  </si>
  <si>
    <t>002361 - RMP AZEITONA KG</t>
  </si>
  <si>
    <t>005088 - RMP AZEITONA SEM CAROCO  KG</t>
  </si>
  <si>
    <t>005090 - RMP AZEITONA VERDE RECHEADA KG</t>
  </si>
  <si>
    <t>002319 - RMP BACALHAU  KG</t>
  </si>
  <si>
    <t>002439 - RMP BANANA FRITAR KG</t>
  </si>
  <si>
    <t>002801 - RMP BANANA NANICA KG</t>
  </si>
  <si>
    <t>005913 - RMP BANANA PRATA KG</t>
  </si>
  <si>
    <t>004414 - RMP BATATA DOCE BRANCA KG</t>
  </si>
  <si>
    <t>002550 - RMP BATATA DOCE ROXA KG</t>
  </si>
  <si>
    <t>002221 - RMP BATATA KG</t>
  </si>
  <si>
    <t>002033 - RMP BATATA PALHA KG</t>
  </si>
  <si>
    <t>003436 - RMP BATATA PALITO KG</t>
  </si>
  <si>
    <t>002342 - RMP BATATA PIRULITO KG</t>
  </si>
  <si>
    <t>002515 - RMP BERINJELA KG</t>
  </si>
  <si>
    <t>002343 - RMP BETERRABA KG</t>
  </si>
  <si>
    <t>002484 - RMP BOV CARNE MOIDA KG</t>
  </si>
  <si>
    <t>002519 - RMP BOV CARNE P/ ASSAR ROTISSERIE  KG</t>
  </si>
  <si>
    <t>005329 - RMP BOV CUPIM KG</t>
  </si>
  <si>
    <t>005330 - RMP BOV FRALDINHA KG</t>
  </si>
  <si>
    <t>006473 - RMP BOV LAGARTO KG</t>
  </si>
  <si>
    <t>002405 - RMP BOV MACA DA PALETA KG</t>
  </si>
  <si>
    <t>005943 - RMP BOV MAMINHA  KG</t>
  </si>
  <si>
    <t>002216 - RMP BOV NOA  PONTA DE CONTRA FILE PECA KG</t>
  </si>
  <si>
    <t>002412 - RMP BOV PALETA S/ OSSO KG</t>
  </si>
  <si>
    <t>006468 - RMP BOV PATINHO   KG</t>
  </si>
  <si>
    <t>002419 - RMP BOV PONTA AGULHA KG</t>
  </si>
  <si>
    <t>002406 - RMP BOV PONTA DE ALCATRA KG</t>
  </si>
  <si>
    <t>002407 - RMP BOV P.PEITO MATURATTA KG</t>
  </si>
  <si>
    <t>002196 - RMP BROCOLIS  KG</t>
  </si>
  <si>
    <t>005269 - RMP BUCHO KG</t>
  </si>
  <si>
    <t>002687 - RMP CABOTIA KG</t>
  </si>
  <si>
    <t>006780 - RMP CACHACA KG</t>
  </si>
  <si>
    <t>003747 - RMP CALDO  CARNE KG</t>
  </si>
  <si>
    <t>005258 - RMP CALDO COSTELA KG</t>
  </si>
  <si>
    <t>002300 - RMP CALDO GALINHA KG</t>
  </si>
  <si>
    <t>004576 - RMP CANELA EM PO KG</t>
  </si>
  <si>
    <t>003153 - RMP CANELONE PRESUNTO/QUEIJO KG</t>
  </si>
  <si>
    <t xml:space="preserve">003140 - RMP CANELONE QUATRO QUEIJOS KG </t>
  </si>
  <si>
    <t>005265 - RMP CAPELETTI KG</t>
  </si>
  <si>
    <t>002480 - RMP CARNE BOV MARMITEX KG</t>
  </si>
  <si>
    <t>006081 - RMP CARNE DE FRANGO  MARMITEX KG</t>
  </si>
  <si>
    <t>006082 - RMP CARNE DE PORCO  MARMITEX KG</t>
  </si>
  <si>
    <t>002017 - RMP CARNE SECA KG</t>
  </si>
  <si>
    <t>KG/0060</t>
  </si>
  <si>
    <t>003125 - RMP CASTANHA DE CAJU  KG</t>
  </si>
  <si>
    <t>003130 - RMP CASTANHA DO PARA SEM CASCA KG</t>
  </si>
  <si>
    <t>002616 - RMP CATCHUP KG</t>
  </si>
  <si>
    <t>002222 - RMP CEBOLA KG</t>
  </si>
  <si>
    <t>005434 - RMP CEBOLA PIRULITO KG</t>
  </si>
  <si>
    <t>002601 - RMP CEBOLA ROXA KG</t>
  </si>
  <si>
    <t>002339 - RMP CENOURA KG</t>
  </si>
  <si>
    <t>003143 - RMP CEREJA C/TALO  KG</t>
  </si>
  <si>
    <t>003120 - RMP CEREJA KG</t>
  </si>
  <si>
    <t>003404 - RMP CERVEJA MALZEBIR KG</t>
  </si>
  <si>
    <t>KG/0027</t>
  </si>
  <si>
    <t>002205 - RMP CHEIRO VERDE KG</t>
  </si>
  <si>
    <t>003654 - RMP CHIMICHURI KG SEM PIMENTA</t>
  </si>
  <si>
    <t>005392 - RMP CHIMICHURRI KG</t>
  </si>
  <si>
    <t>002580 - RMP CHUCHU KG</t>
  </si>
  <si>
    <t>005719 - RMP COALHO LIQUIDO KG</t>
  </si>
  <si>
    <t>005408 - RMP COENTRO KG</t>
  </si>
  <si>
    <t>003470 - RMP COLORAU KG</t>
  </si>
  <si>
    <t xml:space="preserve">005011 - RMP CONCHIGLIONE KG </t>
  </si>
  <si>
    <t>006466 - RMP COPA LOMBO  KG</t>
  </si>
  <si>
    <t>002195 - RMP COUVE FLOR KG</t>
  </si>
  <si>
    <t>002938 - RMP COUVE KG</t>
  </si>
  <si>
    <t>006465 - RMP COXINHA DA ASA KG</t>
  </si>
  <si>
    <t>002597 - RMP CRAVO DA INDIA KG</t>
  </si>
  <si>
    <t>002465 - RMP CREME CEBOLA KG</t>
  </si>
  <si>
    <t>002124 - RMP CREME DE LEITE KG</t>
  </si>
  <si>
    <t>006244 - RMP CREME MILHO  KG</t>
  </si>
  <si>
    <t>006685 - RMP ERVILHA PRONTO KG</t>
  </si>
  <si>
    <t>023371 - RMP ESPETO PARA CHURRASCO UN</t>
  </si>
  <si>
    <t>002979 - RMP ESPINAFRE KG</t>
  </si>
  <si>
    <t>002125 - RMP EXTRATO TOMATE KG</t>
  </si>
  <si>
    <t>004289 - RMP FARINHA DE MILHO KG</t>
  </si>
  <si>
    <t>003730 - RMP FARINHA MANDIOCA BRANCA KG</t>
  </si>
  <si>
    <t>002518 - RMP FARINHA MANDIOCA TORRADA KG</t>
  </si>
  <si>
    <t>003578 - RMP FARINHA MILANESA KG</t>
  </si>
  <si>
    <t>KG/0010</t>
  </si>
  <si>
    <t>002098 - RMP FARINHA TRIGO KG</t>
  </si>
  <si>
    <t>002099 - RMP FAROFA KG</t>
  </si>
  <si>
    <t>002564 - RMP FEIJAO BRANCO KG</t>
  </si>
  <si>
    <t>002024 - RMP FEIJAO KG</t>
  </si>
  <si>
    <t>002020 - RMP FEIJAO PRETO KG</t>
  </si>
  <si>
    <t>004575 - RMP FERMENTO KG</t>
  </si>
  <si>
    <t>003145 - RMP FIGO EM CALDA  KG</t>
  </si>
  <si>
    <t>002499 - RMP FILE COXA SOBRECOXA C/ PELE SEM OSSO KG</t>
  </si>
  <si>
    <t>005328 - RMP FILE DE COXA/SOBRECOXA TEMP KG</t>
  </si>
  <si>
    <t>002250 - RMP FILE FRANGO KG</t>
  </si>
  <si>
    <t>002420 - RMP FRANGO PASSARINHO KG</t>
  </si>
  <si>
    <t>001897 - RMP FUBA KG</t>
  </si>
  <si>
    <t>005054 - RMP GENGIBRE KG</t>
  </si>
  <si>
    <t>004353 - RMP GERGELIM KG</t>
  </si>
  <si>
    <t xml:space="preserve">003138 - RMP GLICOSE YOKI MEL KG </t>
  </si>
  <si>
    <t>002301 - RMP GRAO BICO KG</t>
  </si>
  <si>
    <t xml:space="preserve">005888 - RMP HAMBURGER KG </t>
  </si>
  <si>
    <t>002614 - RMP HORTELA KG</t>
  </si>
  <si>
    <t>006034 - RMP INHAME  KG</t>
  </si>
  <si>
    <t>002505 - RMP JILO KG</t>
  </si>
  <si>
    <t>005209 - RMP KIBE PARA ASSAR  KG</t>
  </si>
  <si>
    <t>002493 - RMP LARANJA KG</t>
  </si>
  <si>
    <t>003331 - RMP LEGUMES KG</t>
  </si>
  <si>
    <t>002565 - RMP LEITE COCO KG</t>
  </si>
  <si>
    <t>KG/0024</t>
  </si>
  <si>
    <t>002136 - RMP LEITE KG</t>
  </si>
  <si>
    <t>005393 - RMP LEMON PEPPER  KG</t>
  </si>
  <si>
    <t>003265 - RMP LENTILHA  KG</t>
  </si>
  <si>
    <t>002454 - RMP LIMAO KG</t>
  </si>
  <si>
    <t>002019 - RMP LINGUICA CALABRESA KG</t>
  </si>
  <si>
    <t>006431 - RMP LINGUICA FRANGO KG</t>
  </si>
  <si>
    <t>005230 - RMP LINGUICA  KG</t>
  </si>
  <si>
    <t>002018 - RMP LINGUICA PAIO KG</t>
  </si>
  <si>
    <t>003162 - RMP LINGUICA TOSCANA KG</t>
  </si>
  <si>
    <t>002021 - RMP LOURO EM FOLHA KG</t>
  </si>
  <si>
    <t>002533 - RMP MACA KG</t>
  </si>
  <si>
    <t>003853 - RMP MACARRAO AVE MARIA  KG</t>
  </si>
  <si>
    <t>002817 - RMP MACARRAO BAVETI KG</t>
  </si>
  <si>
    <t>002901 - RMP MACARRAO CABELOS ANJOS KG</t>
  </si>
  <si>
    <t>002316 - RMP MACARRAO ESPAGUETE KG</t>
  </si>
  <si>
    <t>002095 - RMP MACARRAO ESPAGUETINHO KG</t>
  </si>
  <si>
    <t>003746 - RMP MACARRAO FETTUCCINE KG</t>
  </si>
  <si>
    <t>002094 - RMP MACARRAO FURADINHO  KG</t>
  </si>
  <si>
    <t>005843 - RMP MACARRAO GRAVATA KG</t>
  </si>
  <si>
    <t>002127 - RMP MACARRAO INTEGRAL ESPAGUETE KG</t>
  </si>
  <si>
    <t>006809 - RMP MACARRAO LINGUINE  KG</t>
  </si>
  <si>
    <t>002695 - RMP MACARRAO NINHO KG</t>
  </si>
  <si>
    <t>KG/0020</t>
  </si>
  <si>
    <t>002317 - RMP MACARRAO ORIENTAL BIFUM KG</t>
  </si>
  <si>
    <t>003054 - RMP MACARRAO PADRE NOSSO</t>
  </si>
  <si>
    <t>002128 - RMP MACARRAO PARAFUSO KG</t>
  </si>
  <si>
    <t>002129 - RMP MACARRAO PENE KG</t>
  </si>
  <si>
    <t>002673 - RMP MACARRAO TALHARIM KG</t>
  </si>
  <si>
    <t>003339 - RMP MACARRAO TORTIGLIONI KG</t>
  </si>
  <si>
    <t>002076 - RMP MACARRAO YAKISSOBA KG</t>
  </si>
  <si>
    <t>002507 - RMP MAC.TRICOLORI GRAVATA KG</t>
  </si>
  <si>
    <t>002122 - RMP MAIONESE KG</t>
  </si>
  <si>
    <t>KG/0006</t>
  </si>
  <si>
    <t>002344 - RMP MANDIOQUINHA KG</t>
  </si>
  <si>
    <t>002568 - RMP MANJERICAO KG</t>
  </si>
  <si>
    <t>002627 - RMP MARACUJA KG</t>
  </si>
  <si>
    <t>002123 - RMP MARGARINA KG</t>
  </si>
  <si>
    <t>006488 - RMP MASSA PANQUECA KG</t>
  </si>
  <si>
    <t>033555 - RMP MASSA PANQUECA PRONTA</t>
  </si>
  <si>
    <t>002163 - RMP MASSA PARA LASANHA KG</t>
  </si>
  <si>
    <t>KG/0048</t>
  </si>
  <si>
    <t>002023 - RMP MILHO VERDE PRONTO KG</t>
  </si>
  <si>
    <t>021846 - RMP MILHO VERDE UND</t>
  </si>
  <si>
    <t>002699 - RMP MOLHO BARBECUE KG</t>
  </si>
  <si>
    <t>006456 - RMP MOLHO BOLONHESA KG</t>
  </si>
  <si>
    <t>002506 - RMP MOLHO BRANCO BECHAMEL KG</t>
  </si>
  <si>
    <t>006457 - RMP MOLHO BRANCO KG CASEIRO</t>
  </si>
  <si>
    <t>006521 - RMP MOLHO ESCURO DEMIGLACE KG</t>
  </si>
  <si>
    <t>002482 - RMP MOLHO INGLES KG</t>
  </si>
  <si>
    <t>006177 - RMP MOLHO MADEIRA KG</t>
  </si>
  <si>
    <t>005962 - RMP MOLHO PARA YAKISSOBA  KG</t>
  </si>
  <si>
    <t>005527 - RMP MOLHO PESTO KG</t>
  </si>
  <si>
    <t>002096 - RMP MOLHO PIMENTA KG</t>
  </si>
  <si>
    <t>002137 - RMP MOLHO SHOYU KG</t>
  </si>
  <si>
    <t>006447 - RMP MOLHO TOMATE AO SUGO   KG</t>
  </si>
  <si>
    <t>002100 - RMP MOLHO TOMATE KG</t>
  </si>
  <si>
    <t>006463 - RMP MOLHO TOMATE KG CASEIRO</t>
  </si>
  <si>
    <t>005987 - RMP MORANGA  KG</t>
  </si>
  <si>
    <t>002238 - RMP MORTADELA KG</t>
  </si>
  <si>
    <t>002126 - RMP MOSTARDA KG</t>
  </si>
  <si>
    <t>002349 - RMP MUSSARELA KG</t>
  </si>
  <si>
    <t>002083 - RMP NHOQUE BATATA KG</t>
  </si>
  <si>
    <t>003084 - RMP NHOQUE RECHEADO KG</t>
  </si>
  <si>
    <t>002803 - RMP NOZES SEM CASCA KG</t>
  </si>
  <si>
    <t>007524 - RMP OLEO SOJA KG</t>
  </si>
  <si>
    <t>002566 - RMP OREGANO KG</t>
  </si>
  <si>
    <t>029785 - RMP OVOS GRANJA AMANO TP GRANDE UND</t>
  </si>
  <si>
    <t>002223 - RMP PADARIA FARINHA ROSCA CASEIRA KG</t>
  </si>
  <si>
    <t>021480 - RMP PALITO UN</t>
  </si>
  <si>
    <t>006474 - RMP PANCETA TEMP KG</t>
  </si>
  <si>
    <t>002224 - RMP PAO FRANCES KG</t>
  </si>
  <si>
    <t>KG/0008</t>
  </si>
  <si>
    <t>002366 - RMP PAPRICA KG</t>
  </si>
  <si>
    <t>005980 - RMP PEITO DE PERU  KG</t>
  </si>
  <si>
    <t>002225 - RMP PEIXE BACALHAU COD DESFIADO KG</t>
  </si>
  <si>
    <t>002436 - RMP PEIXE FILE DE MAPARA  KG</t>
  </si>
  <si>
    <t>002437 - RMP PEIXE FILE DE TILAPIA KG</t>
  </si>
  <si>
    <t>004785 - RMP PEIXE KANIKAMA KG</t>
  </si>
  <si>
    <t>005847 - RMP PEIXE POSTA TILAPIA KG</t>
  </si>
  <si>
    <t>004025 - RMP PEIXE SALMAO  KG</t>
  </si>
  <si>
    <t>002735 - RMP PEPINO CAIPIRA KG</t>
  </si>
  <si>
    <t>002457 - RMP PEPINO JAPONES KG</t>
  </si>
  <si>
    <t>003146 - RMP PESSEGO EM CALDA  KG</t>
  </si>
  <si>
    <t>002156 - RMP PIMENTA BIQUINHO KG</t>
  </si>
  <si>
    <t>002097 - RMP PIMENTA CALABRESA KG</t>
  </si>
  <si>
    <t>002691 - RMP PIMENTA CHAPEU DE PADRE KG</t>
  </si>
  <si>
    <t>002084 - RMP PIMENTA DO REINO MOIDA KG</t>
  </si>
  <si>
    <t>002226 - RMP PIMENTAO AMARELO KG</t>
  </si>
  <si>
    <t>004881 - RMP PIMENTAO LARANJA KG</t>
  </si>
  <si>
    <t>002516 - RMP PIMENTAO VERDE KG</t>
  </si>
  <si>
    <t>002227 - RMP PIMENTAO VERMELHO KG</t>
  </si>
  <si>
    <t>002085 - RMP PIMENTA REINO BRANCA MOIDA KG</t>
  </si>
  <si>
    <t>002914 - RMP PIMENTA VERMELHA KG</t>
  </si>
  <si>
    <t>006391 - RMP POLENTA PRONTA KG</t>
  </si>
  <si>
    <t>002363 - RMP PRESUNTO KG</t>
  </si>
  <si>
    <t>002535 - RMP QUEIJO COALHO PECA KG</t>
  </si>
  <si>
    <t>002251 - RMP QUEIJO COTTAGE KG</t>
  </si>
  <si>
    <t>003074 - RMP QUEIJO GORGONZOLA KG</t>
  </si>
  <si>
    <t>002951 - RMP QUEIJO GRUYERE KG</t>
  </si>
  <si>
    <t>002888 - RMP QUEIJO MASSDAM SAO VICENTE KG</t>
  </si>
  <si>
    <t>002926 - RMP QUEIJO PARMESAO KG</t>
  </si>
  <si>
    <t>002318 - RMP QUEIJO PARMESAO RALADO KG</t>
  </si>
  <si>
    <t>002345 - RMP QUEIJO PARMESAO T.MINAS KG</t>
  </si>
  <si>
    <t>002675 - RMP QUEIJO PRATO KG</t>
  </si>
  <si>
    <t>003840 - RMP QUEIJO PROVOLONE KG</t>
  </si>
  <si>
    <t>004345 - RMP QUEIJO RICOTA KG</t>
  </si>
  <si>
    <t>002341 - RMP QUIABO KG</t>
  </si>
  <si>
    <t>006445 - RMP RABADA  KG</t>
  </si>
  <si>
    <t>002561 - RMP REPOLHO ROXO KG</t>
  </si>
  <si>
    <t>002491 - RMP REPOLHO VERDE KG</t>
  </si>
  <si>
    <t>002121 - RMP REQUEIJAO KG</t>
  </si>
  <si>
    <t xml:space="preserve">003148 - RMP RONDELLI 4 QUEIJO KG </t>
  </si>
  <si>
    <t xml:space="preserve">005025 - RMP RONDELLI FRANGO C/REQUEIJAO KG </t>
  </si>
  <si>
    <t>002138 - RMP RONDELLI PRESUNTO E MUSSARELA KG</t>
  </si>
  <si>
    <t>002456 - RMP RUCULA KG</t>
  </si>
  <si>
    <t>002022 - RMP SAL GROSSO KG</t>
  </si>
  <si>
    <t>001898 - RMP SAL REFINADO KG</t>
  </si>
  <si>
    <t>002466 - RMP SAL REFINADOLIGHT KG</t>
  </si>
  <si>
    <t>004603 - RMP SALSA KG</t>
  </si>
  <si>
    <t>005203 - RMP SALSICHA CELOFANE KG</t>
  </si>
  <si>
    <t>002562 - RMP SALSICHA KG</t>
  </si>
  <si>
    <t>002782 - RMP SALSINHA KG</t>
  </si>
  <si>
    <t>002045 - RMP SARDINHA EVISCERADA KG</t>
  </si>
  <si>
    <t>006246 - RMP SARDINHA KG</t>
  </si>
  <si>
    <t>003261 - RMP SAZON KG</t>
  </si>
  <si>
    <t>004140 - RMP SEBO PARA COZINHA KG</t>
  </si>
  <si>
    <t>002483 - RMP SELETA LEGUMES KG</t>
  </si>
  <si>
    <t>003507 - RMP SHIMEJI KG</t>
  </si>
  <si>
    <t xml:space="preserve">006533 - RMP SOFIATELI  KG </t>
  </si>
  <si>
    <t>002240 - RMP SUI BACON KG</t>
  </si>
  <si>
    <t>006469 - RMP SUI BISTECA SUINO KG</t>
  </si>
  <si>
    <t>002556 - RMP SUI CARNE P/ ASSAR ROTISSERIE  KG</t>
  </si>
  <si>
    <t>003161 - RMP SUI COSTELA PORCO KG</t>
  </si>
  <si>
    <t>002418 - RMP SUI JOELHO PORCO KG</t>
  </si>
  <si>
    <t>002242 - RMP SUI LOMBO SUINO KG</t>
  </si>
  <si>
    <t>002485 - RMP SUI MASCARA C/ORELHA PORCO SALGADA KG</t>
  </si>
  <si>
    <t>002722 - RMP SUI PELE SALGADA KG</t>
  </si>
  <si>
    <t>003101 - RMP SUI PE PORCO SALGADA KG</t>
  </si>
  <si>
    <t>004466 - RMP SUI PERNIL KG</t>
  </si>
  <si>
    <t>002557 - RMP SUI RABO SALGADO KG</t>
  </si>
  <si>
    <t xml:space="preserve">003137 - RMP SUI TENDER KG </t>
  </si>
  <si>
    <t>004061 - RMP TEMPERO ANA MARIA  KG</t>
  </si>
  <si>
    <t>004290 - RMP TEMPERO BAIANO KG</t>
  </si>
  <si>
    <t>006472 - RMP TEMPERO CASEIRO  KG</t>
  </si>
  <si>
    <t>006782 - RMP TEMPERO CURRY KG</t>
  </si>
  <si>
    <t>004354 - RMP TEMPERO EDU  KG</t>
  </si>
  <si>
    <t>003344 - RMP TEMPERO KNORR KG</t>
  </si>
  <si>
    <t>004168 - RMP TEMPERO LEMON KG</t>
  </si>
  <si>
    <t>005420 - RMP TEMPERO PEGA MARIDO KG</t>
  </si>
  <si>
    <t>006207 - RMP TEMPERO PICANHA KG</t>
  </si>
  <si>
    <t>002455 - RMP TOMATE CEREJA  KG</t>
  </si>
  <si>
    <t>002239 - RMP TOMATE  KG</t>
  </si>
  <si>
    <t>003190 - RMP TRIGO P/KIBE  KG</t>
  </si>
  <si>
    <t>003160 - RMP UVA  KG</t>
  </si>
  <si>
    <t>002365 - RMP UVA PASSA BRANCA KG</t>
  </si>
  <si>
    <t>002364 - RMP UVA PASSA PRETA  KG</t>
  </si>
  <si>
    <t>002340 - RMP VAGEM KG</t>
  </si>
  <si>
    <t>002293 - RMP VINAGRE ARROZ  KG</t>
  </si>
  <si>
    <t>002101 - RMP VINAGRE KG</t>
  </si>
  <si>
    <t>002130 - RMP VINAGRE LIMAO KG</t>
  </si>
  <si>
    <t>002324 - RMP VINHO BRANCO KG</t>
  </si>
  <si>
    <t>007960 - ROT CALDO DE FEIJAO C/ BACON BENDITO KG</t>
  </si>
  <si>
    <t>008321 - ROT.ESPAGUETE A BOLONHESA + POLPETONE RECHEADO BENDITO</t>
  </si>
  <si>
    <t>008945 - ROT.ISCA DE FRANGO A MILANESA BENDITO KG</t>
  </si>
  <si>
    <t>007990 - ROTISSERIA ABOBRINHA RECHEADA BENDITO KG</t>
  </si>
  <si>
    <t>008000 - ROTISSERIA ABOBRINHA REFOGADA BENDITO  KG</t>
  </si>
  <si>
    <t>008006 - ROTISSERIA ALMONDEGAS AO MOLHO BENDITO KG</t>
  </si>
  <si>
    <t>008015 - ROTISSERIA ANTEPASTO DE ABOBRINHA BENDITO KG</t>
  </si>
  <si>
    <t>008019 - ROTISSERIA ANTEPASTO DE BERINJELA BENDITO KG</t>
  </si>
  <si>
    <t>008023 - ROTISSERIA ARROZ A GREGA BENDITO KG</t>
  </si>
  <si>
    <t>008028 - ROTISSERIA ARROZ BRANCO BENDITO KG</t>
  </si>
  <si>
    <t>008037 - ROTISSERIA ARROZ CARRETEIRO BENDITO KG</t>
  </si>
  <si>
    <t>008039 - ROTISSERIA ARROZ COM OVOS MEXIDOS BENDITO KG</t>
  </si>
  <si>
    <t>008040 - ROTISSERIA ARROZ INTEGRAL BENDITO KG</t>
  </si>
  <si>
    <t>008046 - ROTISSERIA ARROZ LENTILHA BENDITO KG</t>
  </si>
  <si>
    <t>008047 - ROTISSERIA ARROZ PRIMAVERA BENDITO KG</t>
  </si>
  <si>
    <t>008048 - ROTISSERIA ARROZ TEMPERADO BENDITO KG</t>
  </si>
  <si>
    <t>093908 - ROTISSERIA ARROZ TEMPERADO KG</t>
  </si>
  <si>
    <t>008051 - ROTISSERIA AVE RECHEADA COM FAROFA BENDITO KG</t>
  </si>
  <si>
    <t>008064 - ROTISSERIA BACALHOADA BENDITO KG</t>
  </si>
  <si>
    <t>008080 - ROTISSERIA BANANA BENDITO KG</t>
  </si>
  <si>
    <t>008089 - ROTISSERIA BATATA ASSADA BENDITO KG</t>
  </si>
  <si>
    <t>008090 - ROTISSERIA BATATA BENDITO KG</t>
  </si>
  <si>
    <t>008093 - ROTISSERIA BATATA  DOCE ASSADA BENDITO KG</t>
  </si>
  <si>
    <t>008098 - ROTISSERIA BATATA FRITA BENDITO KG</t>
  </si>
  <si>
    <t>008104 - ROTISSERIA BATATA GRATINADA BENDITO KG</t>
  </si>
  <si>
    <t>008333 - ROTISSERIA BATATA/RECHEADA  BROCOLIS E BACON</t>
  </si>
  <si>
    <t>008332 - ROTISSERIA BATATA/RECHEADA  FRANGO C/ REQUEIJAO</t>
  </si>
  <si>
    <t>008111 - ROTISSERIA BATATA RECHEADA FRICASSE FRANGO BENDITO KG</t>
  </si>
  <si>
    <t>008133 - ROTISSERIA BATATA RECHEADA PRES/QUEIJO BENDITO KG</t>
  </si>
  <si>
    <t>008148 - ROTISSERIA BATATA RECHEADA STROGONOFF CARNE BENDITO KG</t>
  </si>
  <si>
    <t>008149 - ROTISSERIA BERINJELA EMPANADA BENDITO KG</t>
  </si>
  <si>
    <t>008151 - ROTISSERIA BERINJELA PARMEGGIANA BENDITO KG</t>
  </si>
  <si>
    <t>008153 - ROTISSERIA BERINJELA PIZZAOLA BENDITO KG</t>
  </si>
  <si>
    <t>008154 - ROTISSERIA BERINJELA RECHEADA BENDITO KG</t>
  </si>
  <si>
    <t>008155 - ROTISSERIA BIFE ACEBOLADO BENDITO  KG</t>
  </si>
  <si>
    <t>008156 - ROTISSERIA BIFE A MILANESA BENDITO KG</t>
  </si>
  <si>
    <t>008157 - ROTISSERIA BIFE A PARMEGIANA BENDITO KG</t>
  </si>
  <si>
    <t>008158 - ROTISSERIA BIFE A ROLE BENDITO KG</t>
  </si>
  <si>
    <t>008159 - ROTISSERIA BIFE DE LOMBO BENDITO KG</t>
  </si>
  <si>
    <t>008160 - ROTISSERIA BIFE DE PERNIL AO MOLHO BARBECUE BENDITO KG</t>
  </si>
  <si>
    <t>008161 - ROTISSERIA BIFE DE PERNIL BENDITO KG</t>
  </si>
  <si>
    <t xml:space="preserve">008162 - ROTISSERIA BIFE EM TIRAS C/PALMITO E REQUEIJAO BENDITO KG </t>
  </si>
  <si>
    <t>008163 - ROTISSERIA BIFE SUINO A MILANESA BENDITO KG</t>
  </si>
  <si>
    <t>008164 - ROTISSERIA BISTECA ACEBOLADA BENDITO KG</t>
  </si>
  <si>
    <t>009016 - ROTISSERIA BISTECA MILSANES BENDITO KG</t>
  </si>
  <si>
    <t>008165 - ROTISSERIA BOLINHA DE QUEIJO BENITO KG</t>
  </si>
  <si>
    <t>008166 - ROTISSERIA BOLINHO DE ARROZ BENDITO KG</t>
  </si>
  <si>
    <t>008167 - ROTISSERIA BOLINHO DE BACALHAU FRITO BENDITO KG</t>
  </si>
  <si>
    <t>008168 - ROTISSERIA BOLINHO DE CARNE BENDITO KG</t>
  </si>
  <si>
    <t>008169 - ROTISSERIA BOLINHO DE FEIJOADA BENDITO KG</t>
  </si>
  <si>
    <t>008170 - ROTISSERIA BOMBOM DO ALCATRA AO MOLHO MADEIRA BENDITO KG</t>
  </si>
  <si>
    <t xml:space="preserve">008171 - ROTISSERIA CABOTIA COM CREME DE ALHO BENDITO KG </t>
  </si>
  <si>
    <t>008172 - ROTISSERIA CABOTIA REFOGADA BENDITO KG</t>
  </si>
  <si>
    <t>008174 - ROTISSERIA CALDO DE CABOTIA BENDITO KG</t>
  </si>
  <si>
    <t>008173 - ROTISSERIA CALDO DE CABOTIA/CARNE SECA BENDITO KG</t>
  </si>
  <si>
    <t>008176 - ROTISSERIA CALDO DE MANDIOCA BENDITO KG</t>
  </si>
  <si>
    <t>008175 - ROTISSERIA CALDO DE MANDIOCA COM CARNE BENDITO KG</t>
  </si>
  <si>
    <t>008178 - ROTISSERIA CALDO DE MANDIOQUINHA BENDITO KG</t>
  </si>
  <si>
    <t>008177 - ROTISSERIA CALDO DE MANDIOQUINHA C/CARNE SECA BENDITO KG</t>
  </si>
  <si>
    <t>008179 - ROTISSERIA CALDO FRANGO BENDITO KG</t>
  </si>
  <si>
    <t>008197 - ROTISSERIA CALDO VERDE BENDITO KG</t>
  </si>
  <si>
    <t xml:space="preserve">009119 - ROTISSERIA CALIFORNIA BENDITO UN </t>
  </si>
  <si>
    <t>008201 - ROTISSERIA CANELONE FRANGO COM REQUEIJAO BENDITO KG</t>
  </si>
  <si>
    <t>008204 - ROTISSERIA CANELONE PRESUNTO E MUSSARELA BENDITO KG</t>
  </si>
  <si>
    <t xml:space="preserve">008206 - ROTISSERIA CANELONE Q.QUEIJOS BENDITO KG </t>
  </si>
  <si>
    <t>008221 - ROTISSERIA CAPONATA BERINJELA BENDITO KG</t>
  </si>
  <si>
    <t>008222 - ROTISSERIA CARNE C/ LEGUMES BENDITO KG</t>
  </si>
  <si>
    <t>008223 - ROTISSERIA CARNE DE PANELA BENDITO  KG</t>
  </si>
  <si>
    <t>008224 - ROTISSERIA CARNE FATIADA COM CEBOLA A DORE BENDITO KG</t>
  </si>
  <si>
    <t>008226 - ROTISSERIA CARNE FRIA DE PERNIL BENDITO KG</t>
  </si>
  <si>
    <t>008228 - ROTISSERIA CARNE MOIDA COM LEGUMES BENDITO KG</t>
  </si>
  <si>
    <t>008229 - ROTISSERIA CARNE MOIDA COM LEGUMES BENDITO KG</t>
  </si>
  <si>
    <t>008231 - ROTISSERIA CHARUTO BENDITO KG</t>
  </si>
  <si>
    <t>008232 - ROTISSERIA COMBO MINI LANCHE BENDITO UN</t>
  </si>
  <si>
    <t>008235 - ROTISSERIA CONCHIGLIONE BENDITO KG</t>
  </si>
  <si>
    <t>008237 - ROTISSERIA COPA LOMBO ACEBOLADO BENDITO KG</t>
  </si>
  <si>
    <t>008239 - ROTISSERIA COPA LOMBO A MILANESA BENDITO KG</t>
  </si>
  <si>
    <t>008240 - ROTISSERIA COSTELA ASSADA COM OSSO BENDITO KG</t>
  </si>
  <si>
    <t>008247 - ROTISSERIA COSTELA BOI DE PANELA BENDITO KG</t>
  </si>
  <si>
    <t>008259 - ROTISSERIA COSTELA BOVINA ASSADA BENDITO UN</t>
  </si>
  <si>
    <t>036025 - ROTISSERIA COSTELA BOVINA ASSADA BENDITO UN</t>
  </si>
  <si>
    <t>008251 - ROTISSERIA COSTELA BOVINA ASSADA SEM OSSO BENDITO  KG</t>
  </si>
  <si>
    <t>008267 - ROTISSERIA COSTELA C/ MANDIOCA BENDITO KG</t>
  </si>
  <si>
    <t>093693 - ROTISSERIA COSTELINHA DE PORCO FRITA KG</t>
  </si>
  <si>
    <t>008273 - ROTISSERIA COSTELINHA PORCO ASSADA BENDITO KG</t>
  </si>
  <si>
    <t>008274 - ROTISSERIA COSTELINHA PORCO MOLHO BARBECUE BENDITO KG</t>
  </si>
  <si>
    <t>008276 - ROTISSERIA COUVE FLOR AO MOLHO BRANCO BENDITO  KG</t>
  </si>
  <si>
    <t>008279 - ROTISSERIA COUVE FLOR EMPANADA BENDITO KG</t>
  </si>
  <si>
    <t>008281 - ROTISSERIA COUVE REFOGADA BENDITO KG</t>
  </si>
  <si>
    <t>008282 - ROTISSERIA COXA ASSADA BENDITO KG</t>
  </si>
  <si>
    <t>008284 - ROTISSERIA COXA SOBRECOXA ASSADA BENDITO KG</t>
  </si>
  <si>
    <t>008287 - ROTISSERIA COXINHA ASA ASSADA BENDITO KG</t>
  </si>
  <si>
    <t>008290 - ROTISSERIA COXINHA ASA EMPANADA BENDITO KG</t>
  </si>
  <si>
    <t>008519 - ROTISSERIA COXINHA BUFALO WINGS KG</t>
  </si>
  <si>
    <t>008291 - ROTISSERIA  CREME  DE BACALHAU BENDITO KG</t>
  </si>
  <si>
    <t>008292 - ROTISSERIA CREME DE MILHO BENDITO KG</t>
  </si>
  <si>
    <t>001717 - ROTISSERIA CROQUETE DE CARNE KG</t>
  </si>
  <si>
    <t>093966 - ROTISSERIA CUBOS DE FRANGO COM CREME MILHO KG</t>
  </si>
  <si>
    <t>008296 - ROTISSERIA CUPIM ASSADO AO MOLHO MADEIRA BENDITO KG</t>
  </si>
  <si>
    <t>093964 - ROTISSERIA CUPIM ASSADO MOLHO ALHO  KG</t>
  </si>
  <si>
    <t>008298 - ROTISSERIA DOBRADINHA BENDITO KG</t>
  </si>
  <si>
    <t>008302 - ROTISSERIA ESCONDIDINHO CALABRESA BENDITO KG</t>
  </si>
  <si>
    <t>008306 - ROTISSERIA ESCONDIDINHO DE CARNE BENDITO KG</t>
  </si>
  <si>
    <t>008307 - ROTISSERIA ESCONDIDINHO DE CARNE SECA BENDITO KG</t>
  </si>
  <si>
    <t>008309 - ROTISSERIA ESCONDIDINHO DE PERNIL BENDITO  KG</t>
  </si>
  <si>
    <t>008316 - ROTISSERIA ESCONDIDINHO FRANGO BENDITO KG</t>
  </si>
  <si>
    <t>008308 - ROTISSERIA ESCONDIDINHO FRANGO C/REQ.MANDIO.BENDITO KG</t>
  </si>
  <si>
    <t>008312 - ROTISSERIA ESCONDI.FRANGO C/PURE BATATA DOCE BENDITO  KG</t>
  </si>
  <si>
    <t>008317 - ROTISSERIA ESPAGUETE A BOLONHESA BENDITO KG</t>
  </si>
  <si>
    <t>006903 - ROTISSERIA ESPAGUETE A BOLONHESA + POLPETONE RECHEADO</t>
  </si>
  <si>
    <t>008323 - ROTISSERIA FAROFA BENDITO KG</t>
  </si>
  <si>
    <t>008328 - ROTISSERIA FEIJAO BENDITO KG</t>
  </si>
  <si>
    <t>008324 - ROTISSERIA FEIJAO GORDO BENDITO KG</t>
  </si>
  <si>
    <t>008331 - ROTISSERIA FEIJAO PRETO GORDO BENDITO KG</t>
  </si>
  <si>
    <t>008330 - ROTISSERIA FEIJAO PRETO GORDO BENDITO  KG</t>
  </si>
  <si>
    <t>008334 - ROTISSERIA FEIJAO TROPEIRO BENDITO KG</t>
  </si>
  <si>
    <t>008336 - ROTISSERIA FEIJOADA BENDITO KG</t>
  </si>
  <si>
    <t>008337 - ROTISSERIA FILE FRANGO 3 QUEIJOS BENDITO KG</t>
  </si>
  <si>
    <t>008341 - ROTISSERIA FILE FRANGO A MILANESA BENDITO KG</t>
  </si>
  <si>
    <t>003683 - ROTISSERIA FILE FRANGO AO MOLHO BRANCO KG</t>
  </si>
  <si>
    <t>008346 - ROTISSERIA FILE FRANGO BENDITO KG</t>
  </si>
  <si>
    <t>008345 - ROTISSERIA FILE FRANGO GRELHADO BENDITO KG</t>
  </si>
  <si>
    <t>103645 - ROTISSERIA FILE FRANGO KG</t>
  </si>
  <si>
    <t>006952 - ROTISSERIA FILE FRANGO M. MOSTARDA  KG</t>
  </si>
  <si>
    <t>008349 - ROTISSERIA FILE FRANGO PARMEGIANA BENDITO KG</t>
  </si>
  <si>
    <t>008350 - ROTISSERIA FILE FRANGO PIZZAIOLA BENDITO KG</t>
  </si>
  <si>
    <t>008352 - ROTISSERIA FILE MERLUZA EMPANADO BENDITO KG</t>
  </si>
  <si>
    <t>008358 - ROTISSERIA FILE PEIXE EMPANADO BENDITO KG</t>
  </si>
  <si>
    <t>008360 - ROTISSERIA FILE PEIXE FRITO BENDITO KG</t>
  </si>
  <si>
    <t>008361 - ROTISSERIA FILE SOBRECOXA ASSADA BENDITO KG</t>
  </si>
  <si>
    <t>008362 - ROTISSERIA FILE TILAPIA A PARMEGIANA BENDITO KG</t>
  </si>
  <si>
    <t>008363 - ROTISSERIA FILE TILAPIA ASSADA BENDITO KG</t>
  </si>
  <si>
    <t>008367 - ROTISSERIA FILE TILAPIA GRELHADA BENDITO KG</t>
  </si>
  <si>
    <t>001560 - ROTISSERIA FILE TILAPIA GRELHADA KG</t>
  </si>
  <si>
    <t>008371 - ROTISSERIA FILE TILAPIA MILANESA BENDITO KG</t>
  </si>
  <si>
    <t>001706 - ROTISSERIA FILE TILAPIA MILANESA KG</t>
  </si>
  <si>
    <t>008372 - ROTISSERIA FRALDINHA ASSADA BENDITO KG</t>
  </si>
  <si>
    <t>003682 - ROTISSERIA FRALDINHA ASSADA KG</t>
  </si>
  <si>
    <t>008374 - ROTISSERIA FRALDINHA BENDITO KG</t>
  </si>
  <si>
    <t>001814 - ROTISSERIA FRALDINHA KG</t>
  </si>
  <si>
    <t>008375 - ROTISSERIA FRANGO ASSADO C/FAROFA BENDITO KG</t>
  </si>
  <si>
    <t>003156 - ROTISSERIA FRANGO ASSADO C/FAROFA KG</t>
  </si>
  <si>
    <t>008379 - ROTISSERIA FRANGO DE PANELA BENDITO KG</t>
  </si>
  <si>
    <t>096119 - ROTISSERIA FRANGO DE PANELA KG</t>
  </si>
  <si>
    <t>004083 - ROTISSERIA FRANGO DESOSSADO RECHEADO</t>
  </si>
  <si>
    <t xml:space="preserve">008380 - ROTISSERIA FRANGO DESOSSADO RECHEADO BENDITO KG </t>
  </si>
  <si>
    <t>008381 - ROTISSERIA FRANGO XADREZ BENDITO KG</t>
  </si>
  <si>
    <t>094313 - ROTISSERIA FRANGO XADREZ KG</t>
  </si>
  <si>
    <t>008383 - ROTISSERIA FRICASSE DE FRANGO BENDITO KG</t>
  </si>
  <si>
    <t>109163 - ROTISSERIA FRICASSE DE FRANGO KG</t>
  </si>
  <si>
    <t>008384 - ROTISSERIA GALINHADA BENDITO KG</t>
  </si>
  <si>
    <t xml:space="preserve">008386 - ROTISSERIA GELEIA DE PIMENTA BENDITO KG </t>
  </si>
  <si>
    <t>008385 - ROTISSERIA GELEIA DE PIMENTA C/ABACAXI BENDITO KG</t>
  </si>
  <si>
    <t>004642 - ROTISSERIA GELEIA DE PIMENTA C/ABACAXI KG</t>
  </si>
  <si>
    <t>005688 - ROTISSERIA GELEIA DE PIMENTA C/ CREAM CHEESE 200 GR</t>
  </si>
  <si>
    <t xml:space="preserve">005687 - ROTISSERIA GELEIA DE PIMENTA KG </t>
  </si>
  <si>
    <t>008387 - ROTISSERIA HAMBURGUER FRANGO BENDITO KG</t>
  </si>
  <si>
    <t>004141 - ROTISSERIA HAMBURGUER FRANGO KG</t>
  </si>
  <si>
    <t>008389 - ROTISSERIA HAMBURGUER GOURMET BENDITO KG</t>
  </si>
  <si>
    <t>009124 - ROTISSERIA HOT HOLL BENDITO UN</t>
  </si>
  <si>
    <t>008390 - ROTISSERIA ISCA DE FRANGO ACEBOLADA BENDITO KG</t>
  </si>
  <si>
    <t>008391 - ROTISSERIA JILO FRITO BENDITO KG</t>
  </si>
  <si>
    <t>008392 - ROTISSERIA JILO REFOGADO BENDITO KG</t>
  </si>
  <si>
    <t>008393 - ROTISSERIA JOELHO PORCO ASSADO BENDITO KG</t>
  </si>
  <si>
    <t>095389 - ROTISSERIA JOELHO PORCO ASSADO KG</t>
  </si>
  <si>
    <t>008396 - ROTISSERIA LAGARTO AO MOLHO MADEIRA BENDITO KG</t>
  </si>
  <si>
    <t>093466 - ROTISSERIA LAGARTO AO MOLHO MADEIRA KG</t>
  </si>
  <si>
    <t>008397 - ROTISSERIA LAGARTO ASSADO BENDITO KG</t>
  </si>
  <si>
    <t>008398 - ROTISSERIA LAGARTO RECH AO MOLHO MADEIRA BENDITO KG</t>
  </si>
  <si>
    <t>005764 - ROTISSERIA LAGARTO RECH AO MOLHO MADEIRA KG</t>
  </si>
  <si>
    <t>008399 - ROTISSERIA LASANHA ABOBRINHA BENDITO KG</t>
  </si>
  <si>
    <t>003706 - ROTISSERIA LASANHA ABOBRINHA KG</t>
  </si>
  <si>
    <t>008400 - ROTISSERIA LASANHA A BOLONHESA BENDITO  KG</t>
  </si>
  <si>
    <t>008401 - ROTISSERIA LASANHA A BOLONHESA MASSA FRESCA BENDITO KG</t>
  </si>
  <si>
    <t>008402 - ROTISSERIA LASANHA BERINJELA BENDITO KG</t>
  </si>
  <si>
    <t>008403 - ROTISSERIA LEGUMES BENDITO KG</t>
  </si>
  <si>
    <t>008404 - ROTISSERIA LEGUMES REFOGADO BENDITO KG</t>
  </si>
  <si>
    <t>008408 - ROTISSERIA LINGUICA ARTESANAL ASSADA BENDITO  KG</t>
  </si>
  <si>
    <t>008409 - ROTISSERIA LINGUICA ASSADA BENDITO KG</t>
  </si>
  <si>
    <t>008410 - ROTISSERIA LINGUICA FRANGO ASSADA BENDITO KG</t>
  </si>
  <si>
    <t>008416 - ROTISSERIA LINGUICA RECHEADA ASSADA BENDITO KG</t>
  </si>
  <si>
    <t>008424 - ROTISSERIA LINGUICINHA FINININHA BENDITO KG</t>
  </si>
  <si>
    <t>008426 - ROTISSERIA LOMBO ASSADO BENDITO KG</t>
  </si>
  <si>
    <t>008427 - ROTISSERIA LOMBO EMPANADO BENDITO KG</t>
  </si>
  <si>
    <t>004980 - ROTISSERIA LOMBO RECHEADO 1KG</t>
  </si>
  <si>
    <t>036026 - ROTISSERIA LOMBO RECHEADO BENDITO 1KG</t>
  </si>
  <si>
    <t>008435 - ROTISSERIA LOMBO RECHEADO BENDITO KG</t>
  </si>
  <si>
    <t>008436 - ROTISSERIA MACARRAO ALHO E OLEO BENDITO KG</t>
  </si>
  <si>
    <t>100058 - ROTISSERIA MACARRAO ALHO E OLEO KG</t>
  </si>
  <si>
    <t>102857 - ROTISSERIA MACARRAO ALHO E OLEO KG</t>
  </si>
  <si>
    <t>008438 - ROTISSERIA MACARRAO A MODA BENDITO KG</t>
  </si>
  <si>
    <t>008439 - ROTISSERIA MACARRAO AO MOLHO BRANCO BENDITO KG</t>
  </si>
  <si>
    <t>107413 - ROTISSERIA MACARRAO AO MOLHO BRANCO KG</t>
  </si>
  <si>
    <t>008474 - ROTISSERIA MACARRAO BENDITO  KG</t>
  </si>
  <si>
    <t>008441 - ROTISSERIA MACARRAO C/ALMONDEGA BENDITO KG</t>
  </si>
  <si>
    <t>093626 - ROTISSERIA MACARRAO C/BROCOLIS E BACON KG</t>
  </si>
  <si>
    <t>008442 - ROTISSERIA MACARRAO C/CALABRESA MOLHO ROSE BENDITO KG</t>
  </si>
  <si>
    <t>008326 - ROTISSERIA MACARRAO C/CHEDDAR E BACON</t>
  </si>
  <si>
    <t>008444 - ROTISSERIA MACARRAO  C/ MOLHO PESTO BENDITO KG</t>
  </si>
  <si>
    <t>008445 - ROTISSERIA MACARRAO COM BACALHAU BENDITO  KG</t>
  </si>
  <si>
    <t>008450 - ROTISSERIA MACARRAO C/SALSICHA BENDITO KG</t>
  </si>
  <si>
    <t>008459 - ROTISSERIA MACARRAO ESPECIAL BENDITO KG</t>
  </si>
  <si>
    <t>001998 - ROTISSERIA MACARRAO ESPECIAL KG</t>
  </si>
  <si>
    <t>008465 - ROTISSERIA MACARRAO INTEGRAL ALHO PORO TOMATE BENDITO KG</t>
  </si>
  <si>
    <t>008473 - ROTISSERIA MACARRAO INTEGRAL C/ MOLHO PESTO BENDITO KG</t>
  </si>
  <si>
    <t>110332 - ROTISSERIA MACARRAO  KG</t>
  </si>
  <si>
    <t>008475 - ROTISSERIA MACARRAO MOLHO BRANCO C/ALHO PORO BENDITO KG</t>
  </si>
  <si>
    <t>008479 - ROTISSERIA  MACARRAO PRIMAVERA BENDITO KG</t>
  </si>
  <si>
    <t>002957 - ROTISSERIA  MACARRAO PRIMAVERA  KG</t>
  </si>
  <si>
    <t>008480 - ROTISSERIA MACARRONADA A BOLONHESA BENDITO KG</t>
  </si>
  <si>
    <t>094461 - ROTISSERIA MACARRONADA A BOLONHESA KG</t>
  </si>
  <si>
    <t>008481 - ROTISSERIA MAC.SPAGUETI M.ALMONDEGA FGO BENDITO KG</t>
  </si>
  <si>
    <t>006237 - ROTISSERIA MAC.SPAGUETI M.ALMONDEGA FGO KG</t>
  </si>
  <si>
    <t>008483 - ROTISSERIA MAIONESE BENDITO KG</t>
  </si>
  <si>
    <t>006857 - ROTISSERIA MAIONESE DE LEGUMES COM FRANGO</t>
  </si>
  <si>
    <t>008482 - ROTISSERIA MAIONESE DE LEGUMES COM FRANGO BENDITO KG</t>
  </si>
  <si>
    <t>093469 - ROTISSERIA MAIONESE KG</t>
  </si>
  <si>
    <t>100865 - ROTISSERIA MAMINHA ASSADA</t>
  </si>
  <si>
    <t>008484 - ROTISSERIA MAMINHA ASSADA BENDITO KG</t>
  </si>
  <si>
    <t>008485 - ROTISSERIA MANDIOCA FRITA BENDITO KG</t>
  </si>
  <si>
    <t>096166 - ROTISSERIA MANDIOCA FRITA KG</t>
  </si>
  <si>
    <t>008491 - ROTISSERIA MEDALHAO FRANGO BENDITO KG</t>
  </si>
  <si>
    <t>094146 - ROTISSERIA MEDALHAO FRANGO KG</t>
  </si>
  <si>
    <t>008492 - ROTISSERIA MEDALHAO SUINO BENDITO KG</t>
  </si>
  <si>
    <t>094808 - ROTISSERIA MEDALHAO SUINO DESCONTAO KG</t>
  </si>
  <si>
    <t>008493 - ROTISSERIA MILHO REFOGADO BENDITO KG</t>
  </si>
  <si>
    <t>100583 - ROTISSERIA MILHO REFOGADO KG</t>
  </si>
  <si>
    <t>008494 - ROTISSERIA MIX CHURRASCO BENDITO KG</t>
  </si>
  <si>
    <t>006815 - ROTISSERIA MIX CHURRASCO KG</t>
  </si>
  <si>
    <t>008497 - ROTISSERIA MIX LEGUMES ASSADO BENDITO KG</t>
  </si>
  <si>
    <t>001984 - ROTISSERIA MIX LEGUMES ASSADO KG</t>
  </si>
  <si>
    <t xml:space="preserve">004651 - ROTISSERIA MOLHO PIMENTA ARTESANAL </t>
  </si>
  <si>
    <t>008498 - ROTISSERIA MOLHO PIMENTA ARTESANAL BENDITO KG</t>
  </si>
  <si>
    <t>006960 - ROTISSERIA NHOQUE AO MOLHO SUGO KG</t>
  </si>
  <si>
    <t>008502 - ROTISSERIA NHOQUE DE BATATA C/ CARNE BENDITO KG</t>
  </si>
  <si>
    <t>093473 - ROTISSERIA NHOQUE DE BATATA C/ CARNE KG</t>
  </si>
  <si>
    <t>008503 - ROTISSERIA OMELETE DE FORNO BENDITO KG</t>
  </si>
  <si>
    <t>006519 - ROTISSERIA OMELETE DE FORNO  KG</t>
  </si>
  <si>
    <t>008505 - ROTISSERIA OVOS COZIDO BENDITO KG</t>
  </si>
  <si>
    <t>005299 - ROTISSERIA OVOS COZIDO KG</t>
  </si>
  <si>
    <t>008506 - ROTISSERIA OVOS FRITOS BENDITO KG</t>
  </si>
  <si>
    <t>005312 - ROTISSERIA OVOS FRITOS KG</t>
  </si>
  <si>
    <t>008507 - ROTISSERIA PANCETA ASSADA BENDITO KG</t>
  </si>
  <si>
    <t>098130 - ROTISSERIA PANCETA ASSADA KG</t>
  </si>
  <si>
    <t>008518 - ROTISSERIA PANCETA PURURUCA BENDITO KG</t>
  </si>
  <si>
    <t>001293 - ROTISSERIA PANCETA PURURUCA KG</t>
  </si>
  <si>
    <t>006991 - ROTISSERIA PANQUECA 3 QUEJOS KG</t>
  </si>
  <si>
    <t>006998 - ROTISSERIA PANQUECA 3 QUEJOS KG</t>
  </si>
  <si>
    <t>008525 - ROTISSERIA PANQUECA CALABRESA BENDITO  KG</t>
  </si>
  <si>
    <t>006578 - ROTISSERIA PANQUECA CALABRESA KG</t>
  </si>
  <si>
    <t>008526 - ROTISSERIA PANQUECA CARNE QUEIJO BENDITO KG</t>
  </si>
  <si>
    <t>005753 - ROTISSERIA PANQUECA CARNE QUEIJO KG</t>
  </si>
  <si>
    <t>105406 - ROTISSERIA PANQUECA DE CARNE AO POMODORO</t>
  </si>
  <si>
    <t>008529 - ROTISSERIA PANQUECA DE CARNE AO POMODORO BENDITO KG</t>
  </si>
  <si>
    <t>008532 - ROTISSERIA PANQUECA DE FRANGO BENDITO KG</t>
  </si>
  <si>
    <t>105407 - ROTISSERIA PANQUECA DE FRANGO KG</t>
  </si>
  <si>
    <t>008541 - ROTISSERIA PANQUECA FRANGO C REQUEIJAO BENDITO KG</t>
  </si>
  <si>
    <t>005752 - ROTISSERIA PANQUECA FRANGO C REQUEIJAO KG</t>
  </si>
  <si>
    <t>006032 - ROTISSERIA PANQUECA INTEGRAL DE BETERRABA COM FRANGO  KG</t>
  </si>
  <si>
    <t>006031 - ROTISSERIA PANQUECA INTEGRAL DE COUVE COM CARNE MOIDA  KG</t>
  </si>
  <si>
    <t>009067 - ROTISSERIA PANQUECA MASSA ESPINAFRE C/PALMITO BENDITO KG</t>
  </si>
  <si>
    <t>009075 - ROTISSERIA PANQUECA MASSA ESPINAFRE FRAN.CREAM.BENDITO KG</t>
  </si>
  <si>
    <t>008544 - ROTISSERIA PANQUECA PRESUNTO E MUSSARELA BENDITO KG</t>
  </si>
  <si>
    <t>093471 - ROTISSERIA PANQUECA PRESUNTO E MUSSARELA KG</t>
  </si>
  <si>
    <t>008545 - ROTISSERIA PANQUECA S/MOLHO CARNE BENDITO KG</t>
  </si>
  <si>
    <t>006834 - ROTISSERIA PANQUECA S/MOLHO CARNE KG</t>
  </si>
  <si>
    <t>008546 - ROTISSERIA PANQUECA S/MOLHO FRANGO BENDITO KG</t>
  </si>
  <si>
    <t>006833 - ROTISSERIA PANQUECA S/MOLHO FRANGO KG</t>
  </si>
  <si>
    <t>008547 - ROTISSERIA PANQUECA S/MOLHO PRESUNTO E QUEIJO BENDITO KG</t>
  </si>
  <si>
    <t>006832 - ROTISSERIA PANQUECA S/MOLHO PRESUNTO E QUEIJO KG</t>
  </si>
  <si>
    <t>027995 - ROTISSERIA PATE ALHO 180GR</t>
  </si>
  <si>
    <t>008548 - ROTISSERIA PATE ALHO BENDITO 180GR</t>
  </si>
  <si>
    <t>008551 - ROTISSERIA PATE ALHO BENDITO KG</t>
  </si>
  <si>
    <t>003221 - ROTISSERIA PATE ALHO C/ AZEITONA PRETA</t>
  </si>
  <si>
    <t>008549 - ROTISSERIA PATE ALHO C/ AZEITONA PRETA BENDITO KG</t>
  </si>
  <si>
    <t>003219 - ROTISSERIA PATE ALHO KG</t>
  </si>
  <si>
    <t>008552 - ROTISSERIA PATE BACONESE BENDITO KG</t>
  </si>
  <si>
    <t>006558 - ROTISSERIA PATE BACONESE KG</t>
  </si>
  <si>
    <t>001613 - ROTISSERIA PATE DE ALHO CROCANTE KG</t>
  </si>
  <si>
    <t>027997 - ROTISSERIA PATE DE RICOTA 180GR</t>
  </si>
  <si>
    <t>008553 - ROTISSERIA PATE DE RICOTA BENDITO 180GR</t>
  </si>
  <si>
    <t>008554 - ROTISSERIA PATE DE RICOTA BENDITO  KG</t>
  </si>
  <si>
    <t>004347 - ROTISSERIA PATE DE RICOTA KG</t>
  </si>
  <si>
    <t>008555 - ROTISSERIA PATE GORGONZOLA BENDITO KG</t>
  </si>
  <si>
    <t>006835 - ROTISSERIA PATE GORGONZOLA KG</t>
  </si>
  <si>
    <t>008556 - ROTISSERIA PATE PIMENTA BIQUINHO BENDITO KG</t>
  </si>
  <si>
    <t>006689 - ROTISSERIA PATE PIMENTA BIQUINHO KG</t>
  </si>
  <si>
    <t>094812 - ROTISSERIA PEIXE ASSADO</t>
  </si>
  <si>
    <t xml:space="preserve">008557 - ROTISSERIA PEIXE ASSADO BENDITO KG </t>
  </si>
  <si>
    <t>006901 - ROTISSERIA PENNE MOLHO BECHAMEL C/ BROCOLIS E BACON</t>
  </si>
  <si>
    <t xml:space="preserve">008559 - ROTISSERIA PENNE MOLHO BECHAMEL C/ BROCOLIS E BACON BENDITO </t>
  </si>
  <si>
    <t>008563 - ROTISSERIA PERNIL ACEBOLADO BENDITO  KG</t>
  </si>
  <si>
    <t>093485 - ROTISSERIA PERNIL ACEBOLADO KG</t>
  </si>
  <si>
    <t>008565 - ROTISSERIA PERNIL ASSADO C/OSSO BENDITO KG</t>
  </si>
  <si>
    <t>101682 - ROTISSERIA PERNIL ASSADO C/OSSO KG</t>
  </si>
  <si>
    <t>093651 - ROTISSERIA PERNIL ASSADO DESOSSADO KG</t>
  </si>
  <si>
    <t>008566 - ROTISSERIA PERNIL DE PANELA BENDITO KG</t>
  </si>
  <si>
    <t>094646 - ROTISSERIA PERNIL DE PANELA KG</t>
  </si>
  <si>
    <t>008568 - ROTISSERIA PICADINHO CARNE ASSADA BENDITO KG</t>
  </si>
  <si>
    <t>097608 - ROTISSERIA PICADINHO CARNE ASSADA KG</t>
  </si>
  <si>
    <t>008569 - ROTISSERIA PICANHA ASSADA BENDITO  KG</t>
  </si>
  <si>
    <t>099666 - ROTISSERIA PICANHA ASSADA KG</t>
  </si>
  <si>
    <t>008571 - ROTISSERIA POLENTA AO MOLHO CARNE MOIDA BENDITO KG</t>
  </si>
  <si>
    <t>101183 - ROTISSERIA POLENTA AO MOLHO KG</t>
  </si>
  <si>
    <t>008572 - ROTISSERIA POLENTA COM COUVE E FRANGO BENDITO KG</t>
  </si>
  <si>
    <t>008574 - ROTISSERIA POLENTA COM COUVE E FRANGO BENDITO UND</t>
  </si>
  <si>
    <t>005966 - ROTISSERIA POLENTA COM COUVE E FRANGO KG</t>
  </si>
  <si>
    <t>004699 - ROTISSERIA POLENTA COM COUVE E FRANGO UND</t>
  </si>
  <si>
    <t>008575 - ROTISSERIA POLPETONE ITALIANO BENDITO KG</t>
  </si>
  <si>
    <t>005686 - ROTISSERIA POLPETONE ITALIANO KG</t>
  </si>
  <si>
    <t>008577 - ROTISSERIA PONTA DE PEITO ASSADA BENDITO  KG</t>
  </si>
  <si>
    <t>094424 - ROTISSERIA PONTA DE PEITO ASSADA KG</t>
  </si>
  <si>
    <t>096543 - ROTISSERIA PONTA PEITO ASSADA UNIDADE</t>
  </si>
  <si>
    <t>008578 - ROTISSERIA POSTA DE TILAPIA BENDITO KG</t>
  </si>
  <si>
    <t>005848 - ROTISSERIA POSTA DE TILAPIA KG</t>
  </si>
  <si>
    <t>008580 - ROTISSERIA PRIME RIB ASSADO BENDITO KG</t>
  </si>
  <si>
    <t>002822 - ROTISSERIA PRIME RIB ASSADO KG</t>
  </si>
  <si>
    <t>008598 - ROTISSERIA PURE DE BATATA BENDITO KG</t>
  </si>
  <si>
    <t>093489 - ROTISSERIA PURE DE BATATA KG</t>
  </si>
  <si>
    <t>008599 - ROTISSERIA PURE DE MANDIOQUINHA BENDITO KG</t>
  </si>
  <si>
    <t>001227 - ROTISSERIA PURE DE MANDIOQUINHA KG</t>
  </si>
  <si>
    <t>008602 - ROTISSERIA QUIBE ASSADO BENDITO KG</t>
  </si>
  <si>
    <t>094238 - ROTISSERIA QUIBE ASSADO KG</t>
  </si>
  <si>
    <t>008605 - ROTISSERIA QUIBEBE DE MANDIOCA BENDITO KG</t>
  </si>
  <si>
    <t>003480 - ROTISSERIA QUIBEBE DE MANDIOCA KG</t>
  </si>
  <si>
    <t>008614 - ROTISSERIA QUIBE FRITO BENDITO KG</t>
  </si>
  <si>
    <t>095180 - ROTISSERIA QUIBE FRITO KG</t>
  </si>
  <si>
    <t>008616 - ROTISSERIA QUIBE RECHEADO BENDITO  KG</t>
  </si>
  <si>
    <t>102073 - ROTISSERIA QUIBE RECHEADO KG</t>
  </si>
  <si>
    <t>008619 - ROTISSERIA RABADA AO MOLHO BENDITO KG</t>
  </si>
  <si>
    <t>094692 - ROTISSERIA RABADA AO MOLHO KG</t>
  </si>
  <si>
    <t>008624 - ROTISSERIA RABADA COM POLENTA BENDITO KG</t>
  </si>
  <si>
    <t>003456 - ROTISSERIA RABADA COM POLENTA KG</t>
  </si>
  <si>
    <t>008633 - ROTISSERIA REPOLHO REFOGADO BENDITO KG</t>
  </si>
  <si>
    <t>098190 - ROTISSERIA REPOLHO REFOGADO KG</t>
  </si>
  <si>
    <t>008646 - ROTISSERIA ROCAMBOLE DE CARNE MOIDA BENDITO KG</t>
  </si>
  <si>
    <t>093456 - ROTISSERIA ROCAMBOLE DE CARNE MOIDA KG</t>
  </si>
  <si>
    <t>004985 - ROTISSERIA ROCAMBOLE DE FRANGO 650G</t>
  </si>
  <si>
    <t>008647 - ROTISSERIA ROCAMBOLE DE FRANGO BENDITO  650G</t>
  </si>
  <si>
    <t>008648 - ROTISSERIA ROCAMBOLE DE FRANGO BENDITO KG</t>
  </si>
  <si>
    <t>093907 - ROTISSERIA ROCAMBOLE DE FRANGO KG</t>
  </si>
  <si>
    <t>008649 - ROTISSERIA ROCAMBOLE DE KAFTA RECHEADO BENDITO KG</t>
  </si>
  <si>
    <t>001734 - ROTISSERIA ROCAMBOLE DE KAFTA RECHEADO KG</t>
  </si>
  <si>
    <t>008658 - ROTISSERIA ROLE FRANGO RECHEADO BENDITO KG</t>
  </si>
  <si>
    <t>001017 - ROTISSERIA ROLE FRANGO RECHEADO KG</t>
  </si>
  <si>
    <t xml:space="preserve">003152 - ROTISSERIA RONDELE 4 QUEIJOS </t>
  </si>
  <si>
    <t>008659 - ROTISSERIA RONDELE 4 QUEIJOS BENDITO KG</t>
  </si>
  <si>
    <t>008663 - ROTISSERIA RONDELE FRANGO REQUEIJAO BENDITO KG</t>
  </si>
  <si>
    <t>001296 - ROTISSERIA RONDELE FRANGO REQUEIJAO KG</t>
  </si>
  <si>
    <t>008667 - ROTISSERIA RONDELE PRESUNTO MUSSARELA BOLONHESA BENDITO KG</t>
  </si>
  <si>
    <t>093480 - ROTISSERIA RONDELE PRESUNTO MUSSARELA BOLONHESA KG</t>
  </si>
  <si>
    <t>009121 - ROTISSERIA RUCULA C/CREAM CHEESE BENDITO UN</t>
  </si>
  <si>
    <t>008668 - ROTISSERIA SALADA BATATA DOCE BENDITO KG</t>
  </si>
  <si>
    <t>008671 - ROTISSERIA SALADA BATATONESE BENDITO KG</t>
  </si>
  <si>
    <t>008963 - ROTISSERIA SALADA CEASER C/FRANGO BENDITO</t>
  </si>
  <si>
    <t>008688 - ROTISSERIA SALADA CENOURA BENDITO KG</t>
  </si>
  <si>
    <t>008673 - ROTISSERIA SALADA CENOURA/BETERRABA BENDITO KG</t>
  </si>
  <si>
    <t>003232 - ROTISSERIA SALADA CENOURA/BETERRABA  KG</t>
  </si>
  <si>
    <t>008674 - ROTISSERIA SALADA CENOURA C/CHUCHU BENDITO KG</t>
  </si>
  <si>
    <t>008687 - ROTISSERIA SALADA CENOURA C/VAGEM BENDITO KG</t>
  </si>
  <si>
    <t>008689 - ROTISSERIA SALADA CENOURA/VAGEM/MANDIOQ BENDITO KG</t>
  </si>
  <si>
    <t>008690 - ROTISSERIA SALADA DE BATATA CURTINHA BENDITO KG</t>
  </si>
  <si>
    <t>008694 - ROTISSERIA SALADA DE BERINJELA BENDITO KG</t>
  </si>
  <si>
    <t>008695 - ROTISSERIA SALADA DE BETERRABA BENDITO KG</t>
  </si>
  <si>
    <t>005497 - ROTISSERIA SALADA DE BETERRABA KG</t>
  </si>
  <si>
    <t>008703 - ROTISSERIA SALADA DE BROCOLIS BENDITO KG</t>
  </si>
  <si>
    <t>008702 - ROTISSERIA SALADA DE BROCOLIS C/COUVE FLOR BENDITO KG</t>
  </si>
  <si>
    <t>105400 - ROTISSERIA SALADA DE CHUCHU KG</t>
  </si>
  <si>
    <t>008704 - ROTISSERIA SALADA DE COUVE FLOR BENDITO KG</t>
  </si>
  <si>
    <t>094885 - ROTISSERIA SALADA DE COUVE FLOR KG</t>
  </si>
  <si>
    <t>008713 - ROTISSERIA SALADA DE GRAO DE BICO BENDITO KG</t>
  </si>
  <si>
    <t>008707 - ROTISSERIA SALADA DE GRAO DE BICO C/ ATUM BENDITO KG</t>
  </si>
  <si>
    <t>008712 - ROTISSERIA SALADA DE GRAO DE BICO C/BACALHAU BENDITO KG</t>
  </si>
  <si>
    <t>008714 - ROTISSERIA SALADA DE JILO  BENDITO KG</t>
  </si>
  <si>
    <t>105659 - ROTISSERIA SALADA DE JILO DESCONTAO KG</t>
  </si>
  <si>
    <t>008725 - ROTISSERIA SALADA DE MACARRAO BENDITO KG</t>
  </si>
  <si>
    <t>008716 - ROTISSERIA SALADA DE MACARRAO BIFUM BENDITO KG</t>
  </si>
  <si>
    <t>001490 - ROTISSERIA SALADA DE MACARRAO BIFUM KG</t>
  </si>
  <si>
    <t>008726 - ROTISSERIA SALADA DE VINAGRETE BENDITO KG</t>
  </si>
  <si>
    <t>004593 - ROTISSERIA SALADA DE VINAGRETE KG</t>
  </si>
  <si>
    <t>008727 - ROTISSERIA SALADA FEIJAO BRANCO BENDITO KG</t>
  </si>
  <si>
    <t>008728 - ROTISSERIA SALADA FRIA BENDITO KG</t>
  </si>
  <si>
    <t>008729 - ROTISSERIA SALADA MANDIOCA VINAGRETE BENDITO KG</t>
  </si>
  <si>
    <t>008964 - ROTISSERIA SALADA MIX DE FOLHA C/PEITO PERU BENDITO</t>
  </si>
  <si>
    <t>008962 - ROTISSERIA SALADA MIX DE FOLHA E LEGUMES C/PROTEINAS BENDITO</t>
  </si>
  <si>
    <t xml:space="preserve">008960 - ROTISSERIA SALADA MIX DE FOLHA E LEGUMES C/PROTEINAS KG </t>
  </si>
  <si>
    <t>008759 - ROTISSERIA SALADA MIX LEGUMES BENDITO KG</t>
  </si>
  <si>
    <t>008769 - ROTISSERIA SALADA OVO CODORNA MIX BENDITO KG</t>
  </si>
  <si>
    <t>009125 - ROTISSERIA SALADA POKE DE KANI BENDITO UN</t>
  </si>
  <si>
    <t>009126 - ROTISSERIA SALADA POKE DE SALMAO GRELHADO BENDITO UN</t>
  </si>
  <si>
    <t>009129 - ROTISSERIA SALADA POKE DE SHIMEJI BENDITO UN</t>
  </si>
  <si>
    <t>008782 - ROTISSERIA SALADA QUIABO BENDITO KG</t>
  </si>
  <si>
    <t>008789 - ROTISSERIA SALADA SUNOMONO BENDITOKG</t>
  </si>
  <si>
    <t xml:space="preserve">009120 - ROTISSERIA SALMAO GRELHADO BEDNITO UN </t>
  </si>
  <si>
    <t>008790 - ROTISSERIA SALPICAO BENDITO KG</t>
  </si>
  <si>
    <t>008791 - ROTISSERIA SALSICHA AO MOLHO BENDITO KG</t>
  </si>
  <si>
    <t>102528 - ROTISSERIA SALSICHA AO MOLHO KG</t>
  </si>
  <si>
    <t>008801 - ROTISSERIA SOBRECOXA DE FRANGO DE PANELA BENDITO KG</t>
  </si>
  <si>
    <t>111271 - ROTISSERIA SOBRECOXA DE FRANGO DE PANELA KG</t>
  </si>
  <si>
    <t>008804 - ROTISSERIA SOBRECOXA RECHEADA BENDITO KG</t>
  </si>
  <si>
    <t>008821 - ROTISSERIA SOBRECOXA RECHEADA BENDITO KG</t>
  </si>
  <si>
    <t>093965 - ROTISSERIA SOBRECOXA RECHEADA KG</t>
  </si>
  <si>
    <t>008824 - ROTISSERIA SOFIATELLI PRESUNTO E MUSSARELA BENDITO KG</t>
  </si>
  <si>
    <t>006435 - ROTISSERIA SOFIATELLI PRESUNTO E MUSSARELA KG</t>
  </si>
  <si>
    <t>008829 - ROTISSERIA SOFIATELLI Q.QUEIJO BENDITO KG</t>
  </si>
  <si>
    <t>006437 - ROTISSERIA SOFIATELLI Q.QUEIJO KG</t>
  </si>
  <si>
    <t>008834 - ROTISSERIA STROGONOFF DE CARNE BENDITO KG</t>
  </si>
  <si>
    <t>008837 - ROTISSERIA STROGONOFF DE FRANGO BENDITO KG</t>
  </si>
  <si>
    <t>009123 - ROTISSERIA SUSHI KANI C/CREAM CHEESE BENDITO UN</t>
  </si>
  <si>
    <t>009122 - ROTISSERIA SUSHI TOMATE SECO BENDITO UN</t>
  </si>
  <si>
    <t>008839 - ROTISSERIA TABULE BENDITO KG</t>
  </si>
  <si>
    <t>008846 - ROTISSERIA TENDER BOLINHA BENDITO UN</t>
  </si>
  <si>
    <t>036049 - ROTISSERIA TENDER BOLINHA BENDITO UN</t>
  </si>
  <si>
    <t>008847 - ROTISSERIA TIRINHA DE CARNE BENDITO KG</t>
  </si>
  <si>
    <t>008854 - ROTISSERIA TIRINHA MERLUZA EMPANADA BENDITO KG</t>
  </si>
  <si>
    <t>006768 - ROTISSERIA TIRINHA MERLUZA EMPANADA  KG</t>
  </si>
  <si>
    <t>008855 - ROTISSERIA TIRINHA TILAPIA EMPANADA BENDITO KG</t>
  </si>
  <si>
    <t>002829 - ROTISSERIA TIRINHA TILAPIA EMPANADA  KG</t>
  </si>
  <si>
    <t xml:space="preserve">008862 - ROTISSERIA TOMATE CONFIT BENDITO KG </t>
  </si>
  <si>
    <t>008863 - ROTISSERIA TOMATE RECHEADO BENDITO KG</t>
  </si>
  <si>
    <t>008872 - ROTISSERIA TULIPA ASSADA BENDITO KG</t>
  </si>
  <si>
    <t>008523 - ROTISSERIA TULIPA BUFALO WINGS KG</t>
  </si>
  <si>
    <t>008874 - ROTISSERIA TUTU DE FEIJAO BENDITO KG</t>
  </si>
  <si>
    <t>096167 - ROTISSERIA TUTU DE FEIJAO KG</t>
  </si>
  <si>
    <t>008895 - ROTISSERIA VACA ATOLADA BENDITO KG</t>
  </si>
  <si>
    <t>008900 - ROTISSERIA YAKISSOBA BENDITO KG</t>
  </si>
  <si>
    <t>008898 - ROTISSERIA YAKISSOBA INTEGRAL BENDITO KG</t>
  </si>
  <si>
    <t>001669 - ROTISSERIA YAKISSOBA KG</t>
  </si>
  <si>
    <t>008542 - ROT.PANQUECA INTEGRAL BETERRABA C/FRANGO BENDITO  KG</t>
  </si>
  <si>
    <t>008543 - ROT.PANQUECA INTEGRAL DE COUVE COM CARNE MOIDA BENDITO KG</t>
  </si>
  <si>
    <t>006872 - ROT REFFRIGERADO FEIJOADA KG</t>
  </si>
  <si>
    <t>006925 - ROT REFRIGERADA COSTELINHA PORCO MOLHO BARBECUE UN</t>
  </si>
  <si>
    <t>005988 - ROT REFRIGERADO BOBO DE FRANGO  KG</t>
  </si>
  <si>
    <t>005932 - ROT REFRIGERADO CALDO DE CABOTIA COM CARNE SECA KG</t>
  </si>
  <si>
    <t>005937 - ROT REFRIGERADO CALDO DE MANDIOCA KG</t>
  </si>
  <si>
    <t>005933 - ROT REFRIGERADO CALDO DE MANDIOQUINHA COM BACON KG</t>
  </si>
  <si>
    <t>093444 - ROT REFRIGERADO CANELONE AO MOLHO SUGO KG</t>
  </si>
  <si>
    <t>005768 - ROT REFRIGERADO CANELONE PRESUNTO E MUSSARELA AO PESTO KG</t>
  </si>
  <si>
    <t>006910 - ROT REFRIGERADO CARNE MOIDA COM LEGUMES KG</t>
  </si>
  <si>
    <t>005935 - ROT REFRIGERADO CARNE PANELA C BATATA KG</t>
  </si>
  <si>
    <t>001859 - ROT REFRIGERADO COSTELINHA MOLHO BARBECUE KG</t>
  </si>
  <si>
    <t>006875 - ROT REFRIGERADO COUVE KG</t>
  </si>
  <si>
    <t>006906 - ROT REFRIGERADO DOBRADINHA KG</t>
  </si>
  <si>
    <t>006896 - ROT REFRIGERADO ESPAGUETE A BOLONHESA</t>
  </si>
  <si>
    <t>006904 - ROT REFRIGERADO ESPAGUETE + POLPETONE</t>
  </si>
  <si>
    <t>006873 - ROT REFRIGERADO FAROFA KG</t>
  </si>
  <si>
    <t>005974 - ROT REFRIGERADO FILE FRANGO A PARMEGIANA KG</t>
  </si>
  <si>
    <t>001857 - ROT REFRIGERADO LAGARTO AO MOLHO MADEIRA KG</t>
  </si>
  <si>
    <t>006077 - ROT REFRIGERADO LASANHA DE BROCOLIS E QUEIJO KG</t>
  </si>
  <si>
    <t>005975 - ROT REFRIGERADO MAMINHA AO MOLHO MADEIRA KG</t>
  </si>
  <si>
    <t>002764 - ROT REFRIGERADO NHOQUE A BOLONHESA KG</t>
  </si>
  <si>
    <t>006879 - ROT REFRIGERADO PANQUECA DE CARNE AO POMODORO</t>
  </si>
  <si>
    <t>005908 - ROT REFRIGERADO PANQUECA DE ESPINAFRE KG</t>
  </si>
  <si>
    <t>006878 - ROT REFRIGERADO PANQUECA FRANGO C/CATUPIRY KG</t>
  </si>
  <si>
    <t>002771 - ROT REFRIGERADO PANQUECA PRESUNTO MUSSARELA KG</t>
  </si>
  <si>
    <t>006874 - ROT REFRIGERADO PENNE AO MOLHO BRANCO C/BACON</t>
  </si>
  <si>
    <t>006898 - ROT REFRIGERADO PENNE MOLHO BECHAMEL BROCOLIS E BACON</t>
  </si>
  <si>
    <t>003129 - ROT REFRIGERADO PERNIL ASSADO AO MOLHO FERRUGEM KG</t>
  </si>
  <si>
    <t>006893 - ROT REFRIGERADO REFEICAO CARNE MOIDA C/ LEGUMES</t>
  </si>
  <si>
    <t xml:space="preserve">005395 - ROT REFRIGERADO REFEICAO FEIJOADA UN </t>
  </si>
  <si>
    <t>006894 - ROT REFRIGERADO REFEICAO LAGARTO MOLHO MADEIRA</t>
  </si>
  <si>
    <t xml:space="preserve">006876 - ROT REFRIGERADO REFEICAO STROGONOFF FRANGO UN </t>
  </si>
  <si>
    <t>005782 - ROT REFRIGERADO RONDELE RICOTA E ALHO PORO AO MOLHO SUGO KG</t>
  </si>
  <si>
    <t>005775 - ROT REFRIGERADO RONDELLI RICOTA COM ALHO PORO AO SUGO KG</t>
  </si>
  <si>
    <t>001861 - ROT REFRIGERADO STROGONOFE DE FRANGO KG</t>
  </si>
  <si>
    <t>008904 - SALADA PRIMAVERA BENDITO KG</t>
  </si>
  <si>
    <t xml:space="preserve">008901 - SALADA PRIMAVERA GRANDE BENDITO UND </t>
  </si>
  <si>
    <t xml:space="preserve">036055 - SALADA PRIMAVERA PEQUENA BENDITO UND </t>
  </si>
  <si>
    <t>008905 - SOPA DE LEGUMES COM FRANGO BENDITO KG</t>
  </si>
  <si>
    <t>008907 - STEAK DE FRANGO BENDITO KG</t>
  </si>
  <si>
    <t>008908 - SUI PROD.BANHA BENDITO KG</t>
  </si>
  <si>
    <t>007065 - SUI PROD.BANHA KG</t>
  </si>
  <si>
    <t>007075 - SUI PROD.TORRESMO FRITO KG</t>
  </si>
  <si>
    <t>08966 - REFEICAO ISCA DE FRANGO A MILANESA</t>
  </si>
  <si>
    <t>007768 - REFEICAO LAGARTO M.MADEIRA + BATATA ASSADA BENDITO</t>
  </si>
  <si>
    <t>007673 - REFEICAO FILE FRANGO PARMEGIANA BENDITO UN</t>
  </si>
  <si>
    <t>009289 - ROTISSERIA TEMAKI HOT SALMAO GRELAHADO</t>
  </si>
  <si>
    <t>009362 - REFEICAO ISCA DE FRANGO A ACEBOLADA BENDITO 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</si>
</sst>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0"/>
      <name val="Calibri"/>
    </font>
    <font>
      <sz val="11.0"/>
      <color rgb="FF000000"/>
      <name val="Calibri"/>
    </font>
    <font>
      <sz val="11.0"/>
      <color theme="0"/>
      <name val="Calibri"/>
    </font>
    <font>
      <color theme="1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45B0E1"/>
        <bgColor rgb="FF45B0E1"/>
      </patternFill>
    </fill>
    <fill>
      <patternFill patternType="solid">
        <fgColor rgb="FFF1A983"/>
        <bgColor rgb="FFF1A983"/>
      </patternFill>
    </fill>
    <fill>
      <patternFill patternType="solid">
        <fgColor rgb="FFAEAEAE"/>
        <bgColor rgb="FFAEAEAE"/>
      </patternFill>
    </fill>
    <fill>
      <patternFill patternType="solid">
        <fgColor rgb="FF215E99"/>
        <bgColor rgb="FF215E9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F4F14"/>
        <bgColor rgb="FFBF4F14"/>
      </patternFill>
    </fill>
    <fill>
      <patternFill patternType="solid">
        <fgColor theme="1"/>
        <bgColor theme="1"/>
      </patternFill>
    </fill>
    <fill>
      <patternFill patternType="solid">
        <fgColor rgb="FF0F4861"/>
        <bgColor rgb="FF0F4861"/>
      </patternFill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FFFFCC"/>
        <bgColor rgb="FFFFFFCC"/>
      </patternFill>
    </fill>
    <fill>
      <patternFill patternType="solid">
        <fgColor rgb="FFFF3300"/>
        <bgColor rgb="FFFF3300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45B0E1"/>
      </left>
      <right/>
      <top/>
      <bottom style="thin">
        <color rgb="FF45B0E1"/>
      </bottom>
    </border>
    <border>
      <left/>
      <right/>
      <top/>
      <bottom style="thin">
        <color rgb="FF45B0E1"/>
      </bottom>
    </border>
    <border>
      <left/>
      <right style="thin">
        <color rgb="FF45B0E1"/>
      </right>
      <top/>
      <bottom style="thin">
        <color rgb="FF45B0E1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45B0E1"/>
      </left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right style="thin">
        <color rgb="FF45B0E1"/>
      </right>
      <top style="thin">
        <color rgb="FF45B0E1"/>
      </top>
      <bottom style="thin">
        <color rgb="FF45B0E1"/>
      </bottom>
    </border>
    <border>
      <left style="medium">
        <color theme="1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medium">
        <color theme="1"/>
      </left>
      <right style="medium">
        <color rgb="FF000000"/>
      </right>
      <top style="medium">
        <color theme="1"/>
      </top>
    </border>
    <border>
      <right style="medium">
        <color rgb="FF000000"/>
      </right>
      <top style="medium">
        <color theme="1"/>
      </top>
    </border>
    <border>
      <left style="medium">
        <color theme="1"/>
      </left>
      <right style="medium">
        <color rgb="FF000000"/>
      </right>
      <top style="medium">
        <color theme="1"/>
      </top>
      <bottom/>
    </border>
    <border>
      <left/>
      <right style="medium">
        <color rgb="FF000000"/>
      </right>
      <top style="medium">
        <color theme="1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theme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theme="1"/>
      </left>
      <right style="medium">
        <color rgb="FF000000"/>
      </right>
      <top style="medium">
        <color rgb="FF000000"/>
      </top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5" fillId="10" fontId="3" numFmtId="0" xfId="0" applyBorder="1" applyFill="1" applyFont="1"/>
    <xf borderId="6" fillId="10" fontId="3" numFmtId="0" xfId="0" applyBorder="1" applyFont="1"/>
    <xf borderId="7" fillId="10" fontId="3" numFmtId="0" xfId="0" applyBorder="1" applyFont="1"/>
    <xf borderId="8" fillId="11" fontId="3" numFmtId="0" xfId="0" applyBorder="1" applyFill="1" applyFont="1"/>
    <xf borderId="9" fillId="11" fontId="3" numFmtId="0" xfId="0" applyBorder="1" applyFont="1"/>
    <xf borderId="4" fillId="3" fontId="3" numFmtId="0" xfId="0" applyBorder="1" applyFont="1"/>
    <xf borderId="8" fillId="7" fontId="3" numFmtId="0" xfId="0" applyBorder="1" applyFont="1"/>
    <xf borderId="9" fillId="7" fontId="3" numFmtId="0" xfId="0" applyBorder="1" applyFont="1"/>
    <xf borderId="0" fillId="0" fontId="3" numFmtId="0" xfId="0" applyFont="1"/>
    <xf borderId="8" fillId="12" fontId="3" numFmtId="0" xfId="0" applyBorder="1" applyFill="1" applyFont="1"/>
    <xf borderId="9" fillId="12" fontId="3" numFmtId="0" xfId="0" applyBorder="1" applyFont="1"/>
    <xf borderId="8" fillId="13" fontId="3" numFmtId="0" xfId="0" applyBorder="1" applyFill="1" applyFont="1"/>
    <xf borderId="9" fillId="13" fontId="3" numFmtId="0" xfId="0" applyBorder="1" applyFont="1"/>
    <xf borderId="8" fillId="14" fontId="3" numFmtId="0" xfId="0" applyBorder="1" applyFill="1" applyFont="1"/>
    <xf borderId="9" fillId="14" fontId="3" numFmtId="0" xfId="0" applyBorder="1" applyFont="1"/>
    <xf borderId="8" fillId="15" fontId="3" numFmtId="0" xfId="0" applyBorder="1" applyFill="1" applyFont="1"/>
    <xf borderId="9" fillId="15" fontId="3" numFmtId="0" xfId="0" applyBorder="1" applyFont="1"/>
    <xf borderId="8" fillId="16" fontId="3" numFmtId="0" xfId="0" applyBorder="1" applyFill="1" applyFont="1"/>
    <xf borderId="9" fillId="16" fontId="3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8" fillId="17" fontId="1" numFmtId="0" xfId="0" applyBorder="1" applyFill="1" applyFont="1"/>
    <xf borderId="13" fillId="17" fontId="1" numFmtId="164" xfId="0" applyBorder="1" applyFont="1" applyNumberFormat="1"/>
    <xf borderId="4" fillId="3" fontId="1" numFmtId="164" xfId="0" applyBorder="1" applyFont="1" applyNumberFormat="1"/>
    <xf borderId="14" fillId="17" fontId="1" numFmtId="0" xfId="0" applyBorder="1" applyFont="1"/>
    <xf borderId="9" fillId="17" fontId="1" numFmtId="164" xfId="0" applyBorder="1" applyFont="1" applyNumberFormat="1"/>
    <xf borderId="0" fillId="0" fontId="1" numFmtId="164" xfId="0" applyFont="1" applyNumberFormat="1"/>
    <xf borderId="8" fillId="18" fontId="1" numFmtId="0" xfId="0" applyBorder="1" applyFill="1" applyFont="1"/>
    <xf borderId="14" fillId="18" fontId="1" numFmtId="0" xfId="0" applyBorder="1" applyFont="1"/>
    <xf borderId="13" fillId="18" fontId="1" numFmtId="164" xfId="0" applyBorder="1" applyFont="1" applyNumberFormat="1"/>
    <xf borderId="0" fillId="0" fontId="4" numFmtId="164" xfId="0" applyFont="1" applyNumberFormat="1"/>
    <xf borderId="8" fillId="19" fontId="1" numFmtId="0" xfId="0" applyBorder="1" applyFill="1" applyFont="1"/>
    <xf borderId="14" fillId="19" fontId="1" numFmtId="0" xfId="0" applyBorder="1" applyFont="1"/>
    <xf borderId="9" fillId="19" fontId="1" numFmtId="164" xfId="0" applyBorder="1" applyFont="1" applyNumberFormat="1"/>
    <xf borderId="8" fillId="20" fontId="1" numFmtId="0" xfId="0" applyBorder="1" applyFill="1" applyFont="1"/>
    <xf borderId="14" fillId="20" fontId="1" numFmtId="0" xfId="0" applyBorder="1" applyFont="1"/>
    <xf borderId="13" fillId="20" fontId="1" numFmtId="164" xfId="0" applyBorder="1" applyFont="1" applyNumberFormat="1"/>
    <xf borderId="9" fillId="18" fontId="1" numFmtId="164" xfId="0" applyBorder="1" applyFont="1" applyNumberFormat="1"/>
    <xf borderId="4" fillId="3" fontId="1" numFmtId="0" xfId="0" applyBorder="1" applyFont="1"/>
    <xf borderId="15" fillId="3" fontId="1" numFmtId="164" xfId="0" applyBorder="1" applyFont="1" applyNumberFormat="1"/>
    <xf borderId="16" fillId="20" fontId="1" numFmtId="0" xfId="0" applyBorder="1" applyFont="1"/>
    <xf borderId="17" fillId="20" fontId="1" numFmtId="0" xfId="0" applyBorder="1" applyFont="1"/>
    <xf borderId="18" fillId="20" fontId="1" numFmtId="0" xfId="0" applyBorder="1" applyFont="1"/>
    <xf borderId="19" fillId="0" fontId="1" numFmtId="164" xfId="0" applyBorder="1" applyFont="1" applyNumberFormat="1"/>
    <xf borderId="20" fillId="0" fontId="1" numFmtId="164" xfId="0" applyBorder="1" applyFont="1" applyNumberFormat="1"/>
    <xf borderId="21" fillId="18" fontId="1" numFmtId="164" xfId="0" applyBorder="1" applyFont="1" applyNumberFormat="1"/>
    <xf borderId="22" fillId="19" fontId="1" numFmtId="164" xfId="0" applyBorder="1" applyFont="1" applyNumberFormat="1"/>
    <xf borderId="21" fillId="20" fontId="1" numFmtId="164" xfId="0" applyBorder="1" applyFont="1" applyNumberFormat="1"/>
    <xf borderId="22" fillId="18" fontId="1" numFmtId="164" xfId="0" applyBorder="1" applyFont="1" applyNumberFormat="1"/>
    <xf borderId="8" fillId="21" fontId="1" numFmtId="0" xfId="0" applyBorder="1" applyFill="1" applyFont="1"/>
    <xf borderId="14" fillId="21" fontId="1" numFmtId="0" xfId="0" applyBorder="1" applyFont="1"/>
    <xf borderId="13" fillId="21" fontId="1" numFmtId="164" xfId="0" applyBorder="1" applyFont="1" applyNumberFormat="1"/>
    <xf borderId="23" fillId="17" fontId="1" numFmtId="0" xfId="0" applyBorder="1" applyFont="1"/>
    <xf borderId="24" fillId="17" fontId="1" numFmtId="164" xfId="0" applyBorder="1" applyFont="1" applyNumberFormat="1"/>
    <xf borderId="25" fillId="17" fontId="1" numFmtId="0" xfId="0" applyBorder="1" applyFont="1"/>
    <xf borderId="26" fillId="17" fontId="1" numFmtId="164" xfId="0" applyBorder="1" applyFont="1" applyNumberFormat="1"/>
    <xf borderId="23" fillId="18" fontId="1" numFmtId="0" xfId="0" applyBorder="1" applyFont="1"/>
    <xf borderId="25" fillId="18" fontId="1" numFmtId="0" xfId="0" applyBorder="1" applyFont="1"/>
    <xf borderId="24" fillId="18" fontId="1" numFmtId="164" xfId="0" applyBorder="1" applyFont="1" applyNumberFormat="1"/>
    <xf borderId="23" fillId="19" fontId="1" numFmtId="0" xfId="0" applyBorder="1" applyFont="1"/>
    <xf borderId="25" fillId="19" fontId="1" numFmtId="0" xfId="0" applyBorder="1" applyFont="1"/>
    <xf borderId="26" fillId="19" fontId="1" numFmtId="164" xfId="0" applyBorder="1" applyFont="1" applyNumberFormat="1"/>
    <xf borderId="23" fillId="20" fontId="1" numFmtId="0" xfId="0" applyBorder="1" applyFont="1"/>
    <xf borderId="25" fillId="20" fontId="1" numFmtId="0" xfId="0" applyBorder="1" applyFont="1"/>
    <xf borderId="24" fillId="20" fontId="1" numFmtId="164" xfId="0" applyBorder="1" applyFont="1" applyNumberFormat="1"/>
    <xf borderId="26" fillId="18" fontId="1" numFmtId="164" xfId="0" applyBorder="1" applyFont="1" applyNumberFormat="1"/>
    <xf borderId="0" fillId="0" fontId="5" numFmtId="164" xfId="0" applyFont="1" applyNumberFormat="1"/>
    <xf borderId="23" fillId="21" fontId="1" numFmtId="0" xfId="0" applyBorder="1" applyFont="1"/>
    <xf borderId="25" fillId="21" fontId="1" numFmtId="0" xfId="0" applyBorder="1" applyFont="1"/>
    <xf borderId="27" fillId="21" fontId="1" numFmtId="164" xfId="0" applyBorder="1" applyFont="1" applyNumberFormat="1"/>
    <xf borderId="27" fillId="17" fontId="1" numFmtId="164" xfId="0" applyBorder="1" applyFont="1" applyNumberFormat="1"/>
    <xf borderId="27" fillId="18" fontId="1" numFmtId="164" xfId="0" applyBorder="1" applyFont="1" applyNumberFormat="1"/>
    <xf borderId="28" fillId="19" fontId="1" numFmtId="164" xfId="0" applyBorder="1" applyFont="1" applyNumberFormat="1"/>
    <xf borderId="27" fillId="20" fontId="1" numFmtId="164" xfId="0" applyBorder="1" applyFont="1" applyNumberFormat="1"/>
    <xf borderId="28" fillId="18" fontId="1" numFmtId="164" xfId="0" applyBorder="1" applyFont="1" applyNumberFormat="1"/>
    <xf borderId="29" fillId="17" fontId="1" numFmtId="0" xfId="0" applyBorder="1" applyFont="1"/>
    <xf borderId="28" fillId="17" fontId="1" numFmtId="164" xfId="0" applyBorder="1" applyFont="1" applyNumberFormat="1"/>
    <xf borderId="29" fillId="19" fontId="1" numFmtId="0" xfId="0" applyBorder="1" applyFont="1"/>
    <xf borderId="29" fillId="18" fontId="1" numFmtId="0" xfId="0" applyBorder="1" applyFont="1"/>
    <xf borderId="24" fillId="21" fontId="1" numFmtId="164" xfId="0" applyBorder="1" applyFont="1" applyNumberFormat="1"/>
    <xf borderId="9" fillId="21" fontId="1" numFmtId="164" xfId="0" applyBorder="1" applyFont="1" applyNumberFormat="1"/>
    <xf borderId="30" fillId="17" fontId="1" numFmtId="0" xfId="0" applyBorder="1" applyFont="1"/>
    <xf borderId="31" fillId="0" fontId="1" numFmtId="164" xfId="0" applyBorder="1" applyFont="1" applyNumberFormat="1"/>
    <xf borderId="30" fillId="19" fontId="1" numFmtId="0" xfId="0" applyBorder="1" applyFont="1"/>
    <xf borderId="30" fillId="18" fontId="1" numFmtId="0" xfId="0" applyBorder="1" applyFont="1"/>
    <xf borderId="26" fillId="21" fontId="1" numFmtId="164" xfId="0" applyBorder="1" applyFont="1" applyNumberFormat="1"/>
    <xf borderId="9" fillId="20" fontId="1" numFmtId="164" xfId="0" applyBorder="1" applyFont="1" applyNumberFormat="1"/>
    <xf borderId="22" fillId="20" fontId="1" numFmtId="164" xfId="0" applyBorder="1" applyFont="1" applyNumberFormat="1"/>
    <xf borderId="21" fillId="21" fontId="1" numFmtId="164" xfId="0" applyBorder="1" applyFont="1" applyNumberFormat="1"/>
    <xf borderId="25" fillId="3" fontId="1" numFmtId="0" xfId="0" applyBorder="1" applyFont="1"/>
    <xf borderId="32" fillId="3" fontId="1" numFmtId="0" xfId="0" applyBorder="1" applyFont="1"/>
    <xf borderId="33" fillId="3" fontId="1" numFmtId="164" xfId="0" applyBorder="1" applyFont="1" applyNumberFormat="1"/>
    <xf borderId="34" fillId="3" fontId="1" numFmtId="0" xfId="0" applyBorder="1" applyFont="1"/>
    <xf borderId="35" fillId="3" fontId="1" numFmtId="164" xfId="0" applyBorder="1" applyFont="1" applyNumberFormat="1"/>
    <xf borderId="34" fillId="18" fontId="1" numFmtId="0" xfId="0" applyBorder="1" applyFont="1"/>
    <xf borderId="35" fillId="18" fontId="1" numFmtId="164" xfId="0" applyBorder="1" applyFont="1" applyNumberFormat="1"/>
    <xf borderId="32" fillId="19" fontId="1" numFmtId="0" xfId="0" applyBorder="1" applyFont="1"/>
    <xf borderId="35" fillId="19" fontId="1" numFmtId="164" xfId="0" applyBorder="1" applyFont="1" applyNumberFormat="1"/>
    <xf borderId="34" fillId="20" fontId="1" numFmtId="0" xfId="0" applyBorder="1" applyFont="1"/>
    <xf borderId="35" fillId="20" fontId="1" numFmtId="164" xfId="0" applyBorder="1" applyFont="1" applyNumberFormat="1"/>
    <xf borderId="34" fillId="21" fontId="1" numFmtId="0" xfId="0" applyBorder="1" applyFont="1"/>
    <xf borderId="33" fillId="21" fontId="1" numFmtId="164" xfId="0" applyBorder="1" applyFont="1" applyNumberFormat="1"/>
    <xf borderId="24" fillId="0" fontId="1" numFmtId="164" xfId="0" applyBorder="1" applyFont="1" applyNumberFormat="1"/>
    <xf borderId="15" fillId="19" fontId="1" numFmtId="164" xfId="0" applyBorder="1" applyFont="1" applyNumberFormat="1"/>
    <xf borderId="26" fillId="20" fontId="1" numFmtId="164" xfId="0" applyBorder="1" applyFont="1" applyNumberFormat="1"/>
    <xf borderId="13" fillId="19" fontId="1" numFmtId="164" xfId="0" applyBorder="1" applyFont="1" applyNumberFormat="1"/>
    <xf borderId="24" fillId="19" fontId="1" numFmtId="164" xfId="0" applyBorder="1" applyFont="1" applyNumberFormat="1"/>
    <xf borderId="8" fillId="22" fontId="3" numFmtId="0" xfId="0" applyBorder="1" applyFill="1" applyFont="1"/>
    <xf borderId="9" fillId="22" fontId="3" numFmtId="0" xfId="0" applyBorder="1" applyFont="1"/>
    <xf borderId="8" fillId="8" fontId="1" numFmtId="0" xfId="0" applyBorder="1" applyFont="1"/>
    <xf borderId="30" fillId="20" fontId="1" numFmtId="0" xfId="0" applyBorder="1" applyFont="1"/>
    <xf borderId="29" fillId="20" fontId="1" numFmtId="0" xfId="0" applyBorder="1" applyFont="1"/>
    <xf borderId="21" fillId="19" fontId="1" numFmtId="164" xfId="0" applyBorder="1" applyFont="1" applyNumberFormat="1"/>
    <xf borderId="30" fillId="11" fontId="3" numFmtId="0" xfId="0" applyBorder="1" applyFont="1"/>
    <xf borderId="28" fillId="20" fontId="1" numFmtId="164" xfId="0" applyBorder="1" applyFont="1" applyNumberFormat="1"/>
    <xf borderId="36" fillId="20" fontId="1" numFmtId="0" xfId="0" applyBorder="1" applyFont="1"/>
    <xf borderId="36" fillId="20" fontId="1" numFmtId="164" xfId="0" applyBorder="1" applyFont="1" applyNumberFormat="1"/>
    <xf borderId="37" fillId="3" fontId="1" numFmtId="0" xfId="0" applyBorder="1" applyFont="1"/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0" fillId="0" fontId="6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3" pivot="0" name="ESCALA DE PRODUÇÃO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D1:AG878" displayName="Table_1" name="Table_1" id="1">
  <tableColumns count="4">
    <tableColumn name="Produto" id="1"/>
    <tableColumn name="Embalagem" id="2"/>
    <tableColumn name="Código de Barras" id="3"/>
    <tableColumn name="Preço Venda" id="4"/>
  </tableColumns>
  <tableStyleInfo name="ESCALA DE PRODU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0.86"/>
    <col customWidth="1" min="3" max="3" width="16.57"/>
    <col customWidth="1" min="4" max="4" width="14.29"/>
    <col customWidth="1" min="5" max="5" width="16.57"/>
    <col customWidth="1" min="6" max="6" width="8.86"/>
    <col customWidth="1" min="7" max="7" width="66.86"/>
    <col customWidth="1" min="8" max="9" width="14.43"/>
    <col customWidth="1" min="10" max="10" width="8.86"/>
    <col customWidth="1" min="11" max="11" width="62.71"/>
    <col customWidth="1" min="12" max="13" width="14.43"/>
    <col customWidth="1" min="14" max="14" width="8.86"/>
    <col customWidth="1" min="15" max="15" width="60.0"/>
    <col customWidth="1" min="16" max="16" width="16.29"/>
    <col customWidth="1" min="17" max="17" width="14.43"/>
    <col customWidth="1" min="18" max="18" width="8.86"/>
    <col customWidth="1" min="19" max="19" width="64.57"/>
    <col customWidth="1" min="20" max="21" width="14.43"/>
    <col customWidth="1" min="22" max="22" width="8.86"/>
    <col customWidth="1" min="23" max="23" width="56.43"/>
    <col customWidth="1" min="24" max="24" width="16.29"/>
    <col customWidth="1" min="25" max="25" width="14.0"/>
    <col customWidth="1" min="26" max="26" width="8.86"/>
    <col customWidth="1" min="27" max="27" width="45.43"/>
    <col customWidth="1" min="28" max="28" width="16.29"/>
    <col customWidth="1" min="29" max="29" width="8.71"/>
    <col customWidth="1" min="30" max="30" width="61.43"/>
    <col customWidth="1" min="31" max="31" width="15.57"/>
    <col customWidth="1" min="32" max="32" width="21.86"/>
    <col customWidth="1" min="33" max="33" width="17.43"/>
    <col customWidth="1" min="34" max="45" width="8.71"/>
  </cols>
  <sheetData>
    <row r="1" ht="14.25" customHeight="1">
      <c r="A1" s="1"/>
      <c r="B1" s="2"/>
      <c r="C1" s="3"/>
      <c r="D1" s="4"/>
      <c r="E1" s="4"/>
      <c r="F1" s="5"/>
      <c r="G1" s="2"/>
      <c r="H1" s="3"/>
      <c r="I1" s="6"/>
      <c r="J1" s="7"/>
      <c r="K1" s="2"/>
      <c r="L1" s="3"/>
      <c r="M1" s="6"/>
      <c r="N1" s="8"/>
      <c r="O1" s="2"/>
      <c r="P1" s="3"/>
      <c r="Q1" s="6"/>
      <c r="R1" s="9"/>
      <c r="S1" s="2"/>
      <c r="T1" s="3"/>
      <c r="U1" s="6"/>
      <c r="V1" s="10"/>
      <c r="W1" s="2"/>
      <c r="X1" s="3"/>
      <c r="Y1" s="6"/>
      <c r="Z1" s="11"/>
      <c r="AA1" s="2"/>
      <c r="AB1" s="3"/>
      <c r="AD1" s="12" t="s">
        <v>0</v>
      </c>
      <c r="AE1" s="13" t="s">
        <v>1</v>
      </c>
      <c r="AF1" s="13" t="s">
        <v>2</v>
      </c>
      <c r="AG1" s="14" t="s">
        <v>3</v>
      </c>
    </row>
    <row r="2" ht="14.25" customHeight="1">
      <c r="A2" s="15" t="s">
        <v>4</v>
      </c>
      <c r="B2" s="15" t="s">
        <v>5</v>
      </c>
      <c r="C2" s="16" t="s">
        <v>6</v>
      </c>
      <c r="D2" s="17"/>
      <c r="E2" s="17"/>
      <c r="F2" s="18" t="s">
        <v>4</v>
      </c>
      <c r="G2" s="18" t="s">
        <v>5</v>
      </c>
      <c r="H2" s="19" t="s">
        <v>6</v>
      </c>
      <c r="I2" s="20"/>
      <c r="J2" s="21" t="s">
        <v>4</v>
      </c>
      <c r="K2" s="21" t="s">
        <v>5</v>
      </c>
      <c r="L2" s="22" t="s">
        <v>6</v>
      </c>
      <c r="M2" s="20"/>
      <c r="N2" s="23" t="s">
        <v>4</v>
      </c>
      <c r="O2" s="23" t="s">
        <v>5</v>
      </c>
      <c r="P2" s="24" t="s">
        <v>6</v>
      </c>
      <c r="Q2" s="20"/>
      <c r="R2" s="25" t="s">
        <v>4</v>
      </c>
      <c r="S2" s="25" t="s">
        <v>5</v>
      </c>
      <c r="T2" s="26" t="s">
        <v>6</v>
      </c>
      <c r="U2" s="20"/>
      <c r="V2" s="27" t="s">
        <v>4</v>
      </c>
      <c r="W2" s="27" t="s">
        <v>5</v>
      </c>
      <c r="X2" s="28" t="s">
        <v>6</v>
      </c>
      <c r="Y2" s="20"/>
      <c r="Z2" s="29" t="s">
        <v>4</v>
      </c>
      <c r="AA2" s="29" t="s">
        <v>5</v>
      </c>
      <c r="AB2" s="30" t="s">
        <v>6</v>
      </c>
      <c r="AD2" s="31" t="s">
        <v>7</v>
      </c>
      <c r="AE2" s="32" t="s">
        <v>8</v>
      </c>
      <c r="AF2" s="32">
        <v>93583.0</v>
      </c>
      <c r="AG2" s="33">
        <v>45.9</v>
      </c>
    </row>
    <row r="3" ht="14.25" customHeight="1">
      <c r="A3" s="34">
        <v>7768.0</v>
      </c>
      <c r="B3" s="34" t="str">
        <f t="shared" ref="B3:B5" si="1">XLOOKUP(A3,AF$1:AF$1048568,AD$1:AD$1048568,"NÃO ENCONTRADO")</f>
        <v>007768 - REFEICAO LAGARTO M.MADEIRA + BATATA ASSADA BENDITO</v>
      </c>
      <c r="C3" s="35">
        <v>1.0</v>
      </c>
      <c r="D3" s="36"/>
      <c r="E3" s="36"/>
      <c r="F3" s="34">
        <v>7875.0</v>
      </c>
      <c r="G3" s="37" t="str">
        <f t="shared" ref="G3:G5" si="2">XLOOKUP(F3,$AF$1:$AF$1048568,$AD$1:$AD$1048568,"NÃO ENCONTRADO")</f>
        <v>007875 - REFEICAO STROGONOFF FRANGO BENDITO UN</v>
      </c>
      <c r="H3" s="38">
        <v>1.0</v>
      </c>
      <c r="I3" s="39"/>
      <c r="J3" s="40">
        <v>7673.0</v>
      </c>
      <c r="K3" s="41" t="str">
        <f t="shared" ref="K3:K5" si="3">XLOOKUP(J3,$AF$1:$AF$1048568,$AD$1:$AD$1048568,"NÃO ENCONTRADO")</f>
        <v>007673 - REFEICAO FILE FRANGO PARMEGIANA BENDITO UN</v>
      </c>
      <c r="L3" s="42">
        <v>1.0</v>
      </c>
      <c r="M3" s="43"/>
      <c r="N3" s="44">
        <v>7625.0</v>
      </c>
      <c r="O3" s="45" t="str">
        <f t="shared" ref="O3:O5" si="4">XLOOKUP(N3,$AF$1:$AF$1048568,$AD$1:$AD$1048568,"NÃO ENCONTRADO")</f>
        <v>007625 - REFEICAO CARNE PANELA BENDITO UN</v>
      </c>
      <c r="P3" s="46">
        <v>1.0</v>
      </c>
      <c r="Q3" s="43"/>
      <c r="R3" s="47">
        <v>9362.0</v>
      </c>
      <c r="S3" s="48" t="str">
        <f t="shared" ref="S3:S5" si="5">XLOOKUP(R3,$AF$1:$AF$1048568,$AD$1:$AD$1048568,"NÃO ENCONTRADO")</f>
        <v>009362 - REFEICAO ISCA DE FRANGO A ACEBOLADA BENDITO UN</v>
      </c>
      <c r="T3" s="49">
        <v>1.0</v>
      </c>
      <c r="U3" s="43"/>
      <c r="V3" s="40">
        <v>7673.0</v>
      </c>
      <c r="W3" s="41" t="str">
        <f t="shared" ref="W3:W5" si="6">XLOOKUP(V3,$AF$1:$AF$1048568,$AD$1:$AD$1048568,"NÃO ENCONTRADO")</f>
        <v>007673 - REFEICAO FILE FRANGO PARMEGIANA BENDITO UN</v>
      </c>
      <c r="X3" s="50">
        <v>1.0</v>
      </c>
      <c r="Y3" s="43"/>
      <c r="Z3" s="51"/>
      <c r="AA3" s="51"/>
      <c r="AB3" s="52"/>
      <c r="AD3" s="53" t="s">
        <v>9</v>
      </c>
      <c r="AE3" s="54" t="s">
        <v>8</v>
      </c>
      <c r="AF3" s="54">
        <v>2893.0</v>
      </c>
      <c r="AG3" s="55">
        <v>26.9</v>
      </c>
    </row>
    <row r="4" ht="14.25" customHeight="1">
      <c r="A4" s="34">
        <v>8966.0</v>
      </c>
      <c r="B4" s="34" t="str">
        <f t="shared" si="1"/>
        <v>08966 - REFEICAO ISCA DE FRANGO A MILANESA</v>
      </c>
      <c r="C4" s="56">
        <v>1.0</v>
      </c>
      <c r="D4" s="36"/>
      <c r="E4" s="36"/>
      <c r="F4" s="34">
        <v>7877.0</v>
      </c>
      <c r="G4" s="37" t="str">
        <f t="shared" si="2"/>
        <v>007877 - REFEICAO TIRINHA CARNE CHINESA BENDITO UN</v>
      </c>
      <c r="H4" s="57">
        <v>1.0</v>
      </c>
      <c r="I4" s="39"/>
      <c r="J4" s="40">
        <v>8948.0</v>
      </c>
      <c r="K4" s="41" t="str">
        <f t="shared" si="3"/>
        <v>008948 - REF COPA LOMBO SUINA MILANESA BENDITO </v>
      </c>
      <c r="L4" s="58">
        <v>1.0</v>
      </c>
      <c r="M4" s="43"/>
      <c r="N4" s="44">
        <v>8491.0</v>
      </c>
      <c r="O4" s="45" t="str">
        <f t="shared" si="4"/>
        <v>008491 - ROTISSERIA MEDALHAO FRANGO BENDITO KG</v>
      </c>
      <c r="P4" s="59">
        <v>1.0</v>
      </c>
      <c r="Q4" s="43"/>
      <c r="R4" s="47">
        <v>7874.0</v>
      </c>
      <c r="S4" s="48" t="str">
        <f t="shared" si="5"/>
        <v>007874 - REFEICAO STROGONOFF CARNE BENDITO UN</v>
      </c>
      <c r="T4" s="60">
        <v>1.0</v>
      </c>
      <c r="U4" s="43"/>
      <c r="V4" s="40">
        <v>7660.0</v>
      </c>
      <c r="W4" s="41" t="str">
        <f t="shared" si="6"/>
        <v>007660 - REFEICAO FEIJOADA BENDITO UN</v>
      </c>
      <c r="X4" s="61">
        <v>1.0</v>
      </c>
      <c r="Y4" s="43"/>
      <c r="Z4" s="62">
        <v>8480.0</v>
      </c>
      <c r="AA4" s="63" t="str">
        <f t="shared" ref="AA4:AA7" si="7">XLOOKUP(Z4,$AF$1:$AF$1048568,$AD$1:$AD$1048568,"NÃO ENCONTRADO")</f>
        <v>008480 - ROTISSERIA MACARRONADA A BOLONHESA BENDITO KG</v>
      </c>
      <c r="AB4" s="64">
        <v>0.0</v>
      </c>
      <c r="AD4" s="31" t="s">
        <v>10</v>
      </c>
      <c r="AE4" s="32" t="s">
        <v>11</v>
      </c>
      <c r="AF4" s="32">
        <v>2353.0</v>
      </c>
      <c r="AG4" s="33">
        <v>0.0</v>
      </c>
    </row>
    <row r="5" ht="14.25" customHeight="1">
      <c r="A5" s="65">
        <v>0.0</v>
      </c>
      <c r="B5" s="65" t="str">
        <f t="shared" si="1"/>
        <v>NÃO ENCONTRADO</v>
      </c>
      <c r="C5" s="66">
        <v>0.0</v>
      </c>
      <c r="D5" s="36"/>
      <c r="E5" s="36"/>
      <c r="F5" s="65">
        <v>7305.0</v>
      </c>
      <c r="G5" s="67" t="str">
        <f t="shared" si="2"/>
        <v>NÃO ENCONTRADO</v>
      </c>
      <c r="H5" s="68">
        <v>1.0</v>
      </c>
      <c r="I5" s="39"/>
      <c r="J5" s="69">
        <v>0.0</v>
      </c>
      <c r="K5" s="70" t="str">
        <f t="shared" si="3"/>
        <v>NÃO ENCONTRADO</v>
      </c>
      <c r="L5" s="71">
        <v>1.0</v>
      </c>
      <c r="M5" s="43"/>
      <c r="N5" s="72">
        <v>0.0</v>
      </c>
      <c r="O5" s="73" t="str">
        <f t="shared" si="4"/>
        <v>NÃO ENCONTRADO</v>
      </c>
      <c r="P5" s="74">
        <v>1.0</v>
      </c>
      <c r="Q5" s="43"/>
      <c r="R5" s="75">
        <v>0.0</v>
      </c>
      <c r="S5" s="76" t="str">
        <f t="shared" si="5"/>
        <v>NÃO ENCONTRADO</v>
      </c>
      <c r="T5" s="77">
        <v>1.0</v>
      </c>
      <c r="U5" s="43"/>
      <c r="V5" s="69">
        <v>7305.0</v>
      </c>
      <c r="W5" s="70" t="str">
        <f t="shared" si="6"/>
        <v>NÃO ENCONTRADO</v>
      </c>
      <c r="X5" s="78">
        <v>1.0</v>
      </c>
      <c r="Y5" s="43"/>
      <c r="Z5" s="62">
        <v>8321.0</v>
      </c>
      <c r="AA5" s="63" t="str">
        <f t="shared" si="7"/>
        <v>008321 - ROT.ESPAGUETE A BOLONHESA + POLPETONE RECHEADO BENDITO</v>
      </c>
      <c r="AB5" s="64">
        <v>0.0</v>
      </c>
      <c r="AD5" s="53" t="s">
        <v>12</v>
      </c>
      <c r="AE5" s="54" t="s">
        <v>11</v>
      </c>
      <c r="AF5" s="54">
        <v>5877.0</v>
      </c>
      <c r="AG5" s="55">
        <v>0.0</v>
      </c>
    </row>
    <row r="6" ht="14.25" customHeight="1">
      <c r="A6" s="51"/>
      <c r="B6" s="51"/>
      <c r="C6" s="52"/>
      <c r="D6" s="36"/>
      <c r="E6" s="36"/>
      <c r="F6" s="51"/>
      <c r="G6" s="51"/>
      <c r="H6" s="52"/>
      <c r="I6" s="79"/>
      <c r="J6" s="51"/>
      <c r="K6" s="51"/>
      <c r="L6" s="52"/>
      <c r="M6" s="79"/>
      <c r="N6" s="51"/>
      <c r="O6" s="51"/>
      <c r="P6" s="52"/>
      <c r="Q6" s="79"/>
      <c r="R6" s="51"/>
      <c r="S6" s="51"/>
      <c r="T6" s="52"/>
      <c r="U6" s="79"/>
      <c r="V6" s="51"/>
      <c r="W6" s="51"/>
      <c r="X6" s="52"/>
      <c r="Y6" s="79"/>
      <c r="Z6" s="80">
        <v>8400.0</v>
      </c>
      <c r="AA6" s="81" t="str">
        <f t="shared" si="7"/>
        <v>008400 - ROTISSERIA LASANHA A BOLONHESA BENDITO  KG</v>
      </c>
      <c r="AB6" s="82">
        <v>0.0</v>
      </c>
      <c r="AD6" s="31" t="s">
        <v>13</v>
      </c>
      <c r="AE6" s="32" t="s">
        <v>11</v>
      </c>
      <c r="AF6" s="32">
        <v>2028.0</v>
      </c>
      <c r="AG6" s="33">
        <v>0.0</v>
      </c>
    </row>
    <row r="7" ht="14.25" customHeight="1">
      <c r="A7" s="34">
        <v>8480.0</v>
      </c>
      <c r="B7" s="34" t="str">
        <f t="shared" ref="B7:B9" si="8">XLOOKUP(A7,AF$1:AF$1048568,AD$1:AD$1048568,"NÃO ENCONTRADO")</f>
        <v>008480 - ROTISSERIA MACARRONADA A BOLONHESA BENDITO KG</v>
      </c>
      <c r="C7" s="35">
        <v>0.35</v>
      </c>
      <c r="D7" s="36"/>
      <c r="E7" s="36"/>
      <c r="F7" s="34">
        <v>8480.0</v>
      </c>
      <c r="G7" s="34" t="str">
        <f t="shared" ref="G7:G9" si="9">XLOOKUP(F7,$AF$1:$AF$1048568,$AD$1:$AD$1048568,"NÃO ENCONTRADO")</f>
        <v>008480 - ROTISSERIA MACARRONADA A BOLONHESA BENDITO KG</v>
      </c>
      <c r="H7" s="35">
        <v>0.35</v>
      </c>
      <c r="I7" s="39"/>
      <c r="J7" s="40">
        <v>8480.0</v>
      </c>
      <c r="K7" s="41" t="str">
        <f t="shared" ref="K7:K9" si="10">XLOOKUP(J7,$AF$1:$AF$1048568,$AD$1:$AD$1048568,"NÃO ENCONTRADO")</f>
        <v>008480 - ROTISSERIA MACARRONADA A BOLONHESA BENDITO KG</v>
      </c>
      <c r="L7" s="42">
        <v>0.35</v>
      </c>
      <c r="M7" s="43"/>
      <c r="N7" s="44">
        <v>8480.0</v>
      </c>
      <c r="O7" s="45" t="str">
        <f t="shared" ref="O7:O9" si="11">XLOOKUP(N7,$AF$1:$AF$1048568,$AD$1:$AD$1048568,"NÃO ENCONTRADO")</f>
        <v>008480 - ROTISSERIA MACARRONADA A BOLONHESA BENDITO KG</v>
      </c>
      <c r="P7" s="46">
        <v>0.35</v>
      </c>
      <c r="Q7" s="43"/>
      <c r="R7" s="47">
        <v>8480.0</v>
      </c>
      <c r="S7" s="48" t="str">
        <f t="shared" ref="S7:S9" si="12">XLOOKUP(R7,$AF$1:$AF$1048568,$AD$1:$AD$1048568,"NÃO ENCONTRADO")</f>
        <v>008480 - ROTISSERIA MACARRONADA A BOLONHESA BENDITO KG</v>
      </c>
      <c r="T7" s="49">
        <v>0.35</v>
      </c>
      <c r="U7" s="43"/>
      <c r="V7" s="40">
        <v>8900.0</v>
      </c>
      <c r="W7" s="41" t="str">
        <f t="shared" ref="W7:W9" si="13">XLOOKUP(V7,$AF$1:$AF$1048568,$AD$1:$AD$1048568,"NÃO ENCONTRADO")</f>
        <v>008900 - ROTISSERIA YAKISSOBA BENDITO KG</v>
      </c>
      <c r="X7" s="50">
        <v>0.35</v>
      </c>
      <c r="Y7" s="43"/>
      <c r="Z7" s="80">
        <v>9020.0</v>
      </c>
      <c r="AA7" s="81" t="str">
        <f t="shared" si="7"/>
        <v>NÃO ENCONTRADO</v>
      </c>
      <c r="AB7" s="82">
        <v>0.0</v>
      </c>
      <c r="AD7" s="53" t="s">
        <v>14</v>
      </c>
      <c r="AE7" s="54" t="s">
        <v>8</v>
      </c>
      <c r="AF7" s="54">
        <v>356077.0</v>
      </c>
      <c r="AG7" s="55">
        <v>10.0</v>
      </c>
    </row>
    <row r="8" ht="14.25" customHeight="1">
      <c r="A8" s="34">
        <v>93626.0</v>
      </c>
      <c r="B8" s="34" t="str">
        <f t="shared" si="8"/>
        <v>093626 - ROTISSERIA MACARRAO C/BROCOLIS E BACON KG</v>
      </c>
      <c r="C8" s="35">
        <v>0.35</v>
      </c>
      <c r="D8" s="36"/>
      <c r="E8" s="36"/>
      <c r="F8" s="34">
        <v>8442.0</v>
      </c>
      <c r="G8" s="34" t="str">
        <f t="shared" si="9"/>
        <v>008442 - ROTISSERIA MACARRAO C/CALABRESA MOLHO ROSE BENDITO KG</v>
      </c>
      <c r="H8" s="35">
        <v>0.35</v>
      </c>
      <c r="I8" s="39"/>
      <c r="J8" s="40">
        <v>8321.0</v>
      </c>
      <c r="K8" s="41" t="str">
        <f t="shared" si="10"/>
        <v>008321 - ROT.ESPAGUETE A BOLONHESA + POLPETONE RECHEADO BENDITO</v>
      </c>
      <c r="L8" s="42">
        <v>1.0</v>
      </c>
      <c r="M8" s="43"/>
      <c r="N8" s="44">
        <v>8321.0</v>
      </c>
      <c r="O8" s="45" t="str">
        <f t="shared" si="11"/>
        <v>008321 - ROT.ESPAGUETE A BOLONHESA + POLPETONE RECHEADO BENDITO</v>
      </c>
      <c r="P8" s="46">
        <v>1.0</v>
      </c>
      <c r="Q8" s="43"/>
      <c r="R8" s="47">
        <v>8321.0</v>
      </c>
      <c r="S8" s="48" t="str">
        <f t="shared" si="12"/>
        <v>008321 - ROT.ESPAGUETE A BOLONHESA + POLPETONE RECHEADO BENDITO</v>
      </c>
      <c r="T8" s="49">
        <v>1.0</v>
      </c>
      <c r="U8" s="43"/>
      <c r="V8" s="40">
        <v>8480.0</v>
      </c>
      <c r="W8" s="41" t="str">
        <f t="shared" si="13"/>
        <v>008480 - ROTISSERIA MACARRONADA A BOLONHESA BENDITO KG</v>
      </c>
      <c r="X8" s="50">
        <v>0.35</v>
      </c>
      <c r="Y8" s="43"/>
      <c r="Z8" s="51"/>
      <c r="AA8" s="51"/>
      <c r="AB8" s="52"/>
      <c r="AD8" s="31" t="s">
        <v>15</v>
      </c>
      <c r="AE8" s="32" t="s">
        <v>11</v>
      </c>
      <c r="AF8" s="32">
        <v>7337.0</v>
      </c>
      <c r="AG8" s="33">
        <v>69.9</v>
      </c>
    </row>
    <row r="9" ht="14.25" customHeight="1">
      <c r="A9" s="65">
        <v>0.0</v>
      </c>
      <c r="B9" s="65" t="str">
        <f t="shared" si="8"/>
        <v>NÃO ENCONTRADO</v>
      </c>
      <c r="C9" s="83">
        <v>0.35</v>
      </c>
      <c r="D9" s="36"/>
      <c r="E9" s="36"/>
      <c r="F9" s="65">
        <v>9019.0</v>
      </c>
      <c r="G9" s="34" t="str">
        <f t="shared" si="9"/>
        <v>NÃO ENCONTRADO</v>
      </c>
      <c r="H9" s="83">
        <v>0.0</v>
      </c>
      <c r="I9" s="39"/>
      <c r="J9" s="69">
        <v>9019.0</v>
      </c>
      <c r="K9" s="70" t="str">
        <f t="shared" si="10"/>
        <v>NÃO ENCONTRADO</v>
      </c>
      <c r="L9" s="84">
        <v>0.0</v>
      </c>
      <c r="M9" s="43"/>
      <c r="N9" s="72">
        <v>0.0</v>
      </c>
      <c r="O9" s="73" t="str">
        <f t="shared" si="11"/>
        <v>NÃO ENCONTRADO</v>
      </c>
      <c r="P9" s="85">
        <v>1.0</v>
      </c>
      <c r="Q9" s="43"/>
      <c r="R9" s="75">
        <v>0.0</v>
      </c>
      <c r="S9" s="76" t="str">
        <f t="shared" si="12"/>
        <v>NÃO ENCONTRADO</v>
      </c>
      <c r="T9" s="86">
        <v>0.35</v>
      </c>
      <c r="U9" s="43"/>
      <c r="V9" s="69">
        <v>8321.0</v>
      </c>
      <c r="W9" s="70" t="str">
        <f t="shared" si="13"/>
        <v>008321 - ROT.ESPAGUETE A BOLONHESA + POLPETONE RECHEADO BENDITO</v>
      </c>
      <c r="X9" s="87">
        <v>1.0</v>
      </c>
      <c r="Y9" s="43"/>
      <c r="Z9" s="80">
        <v>8037.0</v>
      </c>
      <c r="AA9" s="63" t="str">
        <f t="shared" ref="AA9:AA11" si="14">XLOOKUP(Z9,$AF$1:$AF$1048568,$AD$1:$AD$1048568,"NÃO ENCONTRADO")</f>
        <v>008037 - ROTISSERIA ARROZ CARRETEIRO BENDITO KG</v>
      </c>
      <c r="AB9" s="82">
        <v>0.0</v>
      </c>
      <c r="AD9" s="53" t="s">
        <v>16</v>
      </c>
      <c r="AE9" s="54" t="s">
        <v>11</v>
      </c>
      <c r="AF9" s="54">
        <v>6911.0</v>
      </c>
      <c r="AG9" s="55">
        <v>10.0</v>
      </c>
    </row>
    <row r="10" ht="14.25" customHeight="1">
      <c r="A10" s="51"/>
      <c r="B10" s="51"/>
      <c r="C10" s="52"/>
      <c r="D10" s="36"/>
      <c r="E10" s="36"/>
      <c r="F10" s="51"/>
      <c r="G10" s="51"/>
      <c r="H10" s="52"/>
      <c r="I10" s="39"/>
      <c r="J10" s="51"/>
      <c r="K10" s="51"/>
      <c r="L10" s="52"/>
      <c r="M10" s="43"/>
      <c r="N10" s="51"/>
      <c r="O10" s="51"/>
      <c r="P10" s="52"/>
      <c r="Q10" s="43"/>
      <c r="R10" s="51"/>
      <c r="S10" s="51"/>
      <c r="T10" s="52"/>
      <c r="U10" s="43"/>
      <c r="V10" s="51"/>
      <c r="W10" s="51"/>
      <c r="X10" s="52"/>
      <c r="Y10" s="43"/>
      <c r="Z10" s="80">
        <v>8023.0</v>
      </c>
      <c r="AA10" s="63" t="str">
        <f t="shared" si="14"/>
        <v>008023 - ROTISSERIA ARROZ A GREGA BENDITO KG</v>
      </c>
      <c r="AB10" s="82">
        <v>0.0</v>
      </c>
      <c r="AD10" s="31" t="s">
        <v>17</v>
      </c>
      <c r="AE10" s="32" t="s">
        <v>18</v>
      </c>
      <c r="AF10" s="32">
        <v>6270.0</v>
      </c>
      <c r="AG10" s="33">
        <v>2.45</v>
      </c>
    </row>
    <row r="11" ht="14.25" customHeight="1">
      <c r="A11" s="88">
        <v>8028.0</v>
      </c>
      <c r="B11" s="65" t="str">
        <f t="shared" ref="B11:B12" si="15">XLOOKUP(A11,AF$1:AF$1048568,AD$1:AD$1048568,"NÃO ENCONTRADO")</f>
        <v>008028 - ROTISSERIA ARROZ BRANCO BENDITO KG</v>
      </c>
      <c r="C11" s="83">
        <v>0.12</v>
      </c>
      <c r="D11" s="36"/>
      <c r="E11" s="36"/>
      <c r="F11" s="65">
        <v>8028.0</v>
      </c>
      <c r="G11" s="37" t="str">
        <f t="shared" ref="G11:G12" si="16">XLOOKUP(F11,$AF$1:$AF$1048568,$AD$1:$AD$1048568,"NÃO ENCONTRADO")</f>
        <v>008028 - ROTISSERIA ARROZ BRANCO BENDITO KG</v>
      </c>
      <c r="H11" s="89">
        <v>0.12</v>
      </c>
      <c r="I11" s="39"/>
      <c r="J11" s="69">
        <v>8028.0</v>
      </c>
      <c r="K11" s="41" t="str">
        <f t="shared" ref="K11:K12" si="17">XLOOKUP(J11,$AF$1:$AF$1048568,$AD$1:$AD$1048568,"NÃO ENCONTRADO")</f>
        <v>008028 - ROTISSERIA ARROZ BRANCO BENDITO KG</v>
      </c>
      <c r="L11" s="84">
        <v>0.12</v>
      </c>
      <c r="M11" s="43"/>
      <c r="N11" s="90">
        <v>8028.0</v>
      </c>
      <c r="O11" s="45" t="str">
        <f t="shared" ref="O11:O12" si="18">XLOOKUP(N11,$AF$1:$AF$1048568,$AD$1:$AD$1048568,"NÃO ENCONTRADO")</f>
        <v>008028 - ROTISSERIA ARROZ BRANCO BENDITO KG</v>
      </c>
      <c r="P11" s="85">
        <v>0.15</v>
      </c>
      <c r="Q11" s="43"/>
      <c r="R11" s="75">
        <v>8028.0</v>
      </c>
      <c r="S11" s="48" t="str">
        <f t="shared" ref="S11:S12" si="19">XLOOKUP(R11,$AF$1:$AF$1048568,$AD$1:$AD$1048568,"NÃO ENCONTRADO")</f>
        <v>008028 - ROTISSERIA ARROZ BRANCO BENDITO KG</v>
      </c>
      <c r="T11" s="86">
        <v>0.12</v>
      </c>
      <c r="U11" s="43"/>
      <c r="V11" s="91">
        <v>8028.0</v>
      </c>
      <c r="W11" s="41" t="str">
        <f t="shared" ref="W11:W12" si="20">XLOOKUP(V11,$AF$1:$AF$1048568,$AD$1:$AD$1048568,"NÃO ENCONTRADO")</f>
        <v>008028 - ROTISSERIA ARROZ BRANCO BENDITO KG</v>
      </c>
      <c r="X11" s="87">
        <v>0.12</v>
      </c>
      <c r="Y11" s="43"/>
      <c r="Z11" s="80">
        <v>0.0</v>
      </c>
      <c r="AA11" s="81" t="str">
        <f t="shared" si="14"/>
        <v>NÃO ENCONTRADO</v>
      </c>
      <c r="AB11" s="92">
        <v>0.0</v>
      </c>
      <c r="AD11" s="53" t="s">
        <v>19</v>
      </c>
      <c r="AE11" s="54" t="s">
        <v>11</v>
      </c>
      <c r="AF11" s="54">
        <v>6272.0</v>
      </c>
      <c r="AG11" s="55">
        <v>37.95</v>
      </c>
    </row>
    <row r="12" ht="14.25" customHeight="1">
      <c r="A12" s="88">
        <v>0.0</v>
      </c>
      <c r="B12" s="65" t="str">
        <f t="shared" si="15"/>
        <v>NÃO ENCONTRADO</v>
      </c>
      <c r="C12" s="66">
        <v>0.0</v>
      </c>
      <c r="D12" s="36"/>
      <c r="E12" s="36"/>
      <c r="F12" s="65">
        <v>346.0</v>
      </c>
      <c r="G12" s="67" t="str">
        <f t="shared" si="16"/>
        <v>NÃO ENCONTRADO</v>
      </c>
      <c r="H12" s="68">
        <v>0.0</v>
      </c>
      <c r="I12" s="39"/>
      <c r="J12" s="69">
        <v>346.0</v>
      </c>
      <c r="K12" s="70" t="str">
        <f t="shared" si="17"/>
        <v>NÃO ENCONTRADO</v>
      </c>
      <c r="L12" s="71">
        <v>0.0</v>
      </c>
      <c r="M12" s="43"/>
      <c r="N12" s="90">
        <v>0.0</v>
      </c>
      <c r="O12" s="73" t="str">
        <f t="shared" si="18"/>
        <v>NÃO ENCONTRADO</v>
      </c>
      <c r="P12" s="74">
        <v>1.0</v>
      </c>
      <c r="Q12" s="43"/>
      <c r="R12" s="75">
        <v>0.0</v>
      </c>
      <c r="S12" s="76" t="str">
        <f t="shared" si="19"/>
        <v>NÃO ENCONTRADO</v>
      </c>
      <c r="T12" s="77">
        <v>1.0</v>
      </c>
      <c r="U12" s="43"/>
      <c r="V12" s="91">
        <v>346.0</v>
      </c>
      <c r="W12" s="70" t="str">
        <f t="shared" si="20"/>
        <v>NÃO ENCONTRADO</v>
      </c>
      <c r="X12" s="78">
        <v>0.0</v>
      </c>
      <c r="Y12" s="43"/>
      <c r="Z12" s="51"/>
      <c r="AA12" s="51"/>
      <c r="AB12" s="52"/>
      <c r="AD12" s="31" t="s">
        <v>20</v>
      </c>
      <c r="AE12" s="32" t="s">
        <v>18</v>
      </c>
      <c r="AF12" s="32">
        <v>6268.0</v>
      </c>
      <c r="AG12" s="33">
        <v>5.0</v>
      </c>
    </row>
    <row r="13" ht="14.25" customHeight="1">
      <c r="A13" s="51"/>
      <c r="B13" s="51"/>
      <c r="C13" s="52"/>
      <c r="D13" s="36"/>
      <c r="E13" s="36"/>
      <c r="F13" s="51"/>
      <c r="G13" s="51"/>
      <c r="H13" s="52"/>
      <c r="I13" s="39"/>
      <c r="J13" s="51"/>
      <c r="K13" s="51"/>
      <c r="L13" s="52"/>
      <c r="M13" s="39"/>
      <c r="N13" s="51"/>
      <c r="O13" s="51"/>
      <c r="P13" s="52"/>
      <c r="Q13" s="39"/>
      <c r="R13" s="51"/>
      <c r="S13" s="51"/>
      <c r="T13" s="52"/>
      <c r="U13" s="39"/>
      <c r="V13" s="51"/>
      <c r="W13" s="51"/>
      <c r="X13" s="52"/>
      <c r="Y13" s="39"/>
      <c r="Z13" s="63">
        <v>6857.0</v>
      </c>
      <c r="AA13" s="63" t="str">
        <f t="shared" ref="AA13:AA15" si="21">XLOOKUP(Z13,$AF$1:$AF$1048568,$AD$1:$AD$1048568,"NÃO ENCONTRADO")</f>
        <v>006857 - ROTISSERIA MAIONESE DE LEGUMES COM FRANGO</v>
      </c>
      <c r="AB13" s="93">
        <v>0.0</v>
      </c>
      <c r="AD13" s="53" t="s">
        <v>21</v>
      </c>
      <c r="AE13" s="54" t="s">
        <v>11</v>
      </c>
      <c r="AF13" s="54">
        <v>7581.0</v>
      </c>
      <c r="AG13" s="55">
        <v>59.9</v>
      </c>
    </row>
    <row r="14" ht="14.25" customHeight="1">
      <c r="A14" s="94">
        <v>8328.0</v>
      </c>
      <c r="B14" s="34" t="str">
        <f t="shared" ref="B14:B15" si="22">XLOOKUP(A14,AF$1:AF$1048568,AD$1:AD$1048568,"NÃO ENCONTRADO")</f>
        <v>008328 - ROTISSERIA FEIJAO BENDITO KG</v>
      </c>
      <c r="C14" s="95">
        <v>0.18</v>
      </c>
      <c r="D14" s="36"/>
      <c r="E14" s="36"/>
      <c r="F14" s="94">
        <v>8328.0</v>
      </c>
      <c r="G14" s="34" t="str">
        <f t="shared" ref="G14:G15" si="23">XLOOKUP(F14,$AF$1:$AF$1048568,$AD$1:$AD$1048568,"NÃO ENCONTRADO")</f>
        <v>008328 - ROTISSERIA FEIJAO BENDITO KG</v>
      </c>
      <c r="H14" s="95">
        <v>0.18</v>
      </c>
      <c r="I14" s="39"/>
      <c r="J14" s="40">
        <v>8328.0</v>
      </c>
      <c r="K14" s="41" t="str">
        <f t="shared" ref="K14:K15" si="24">XLOOKUP(J14,$AF$1:$AF$1048568,$AD$1:$AD$1048568,"NÃO ENCONTRADO")</f>
        <v>008328 - ROTISSERIA FEIJAO BENDITO KG</v>
      </c>
      <c r="L14" s="50">
        <v>0.18</v>
      </c>
      <c r="M14" s="43"/>
      <c r="N14" s="96">
        <v>8328.0</v>
      </c>
      <c r="O14" s="45" t="str">
        <f t="shared" ref="O14:O15" si="25">XLOOKUP(N14,$AF$1:$AF$1048568,$AD$1:$AD$1048568,"NÃO ENCONTRADO")</f>
        <v>008328 - ROTISSERIA FEIJAO BENDITO KG</v>
      </c>
      <c r="P14" s="46">
        <v>0.15</v>
      </c>
      <c r="Q14" s="43"/>
      <c r="R14" s="47">
        <v>8328.0</v>
      </c>
      <c r="S14" s="48" t="str">
        <f t="shared" ref="S14:S15" si="26">XLOOKUP(R14,$AF$1:$AF$1048568,$AD$1:$AD$1048568,"NÃO ENCONTRADO")</f>
        <v>008328 - ROTISSERIA FEIJAO BENDITO KG</v>
      </c>
      <c r="T14" s="49">
        <v>0.18</v>
      </c>
      <c r="U14" s="43"/>
      <c r="V14" s="97">
        <v>8328.0</v>
      </c>
      <c r="W14" s="41" t="str">
        <f t="shared" ref="W14:W15" si="27">XLOOKUP(V14,$AF$1:$AF$1048568,$AD$1:$AD$1048568,"NÃO ENCONTRADO")</f>
        <v>008328 - ROTISSERIA FEIJAO BENDITO KG</v>
      </c>
      <c r="X14" s="50">
        <v>0.18</v>
      </c>
      <c r="Y14" s="43"/>
      <c r="Z14" s="81">
        <v>8482.0</v>
      </c>
      <c r="AA14" s="63" t="str">
        <f t="shared" si="21"/>
        <v>008482 - ROTISSERIA MAIONESE DE LEGUMES COM FRANGO BENDITO KG</v>
      </c>
      <c r="AB14" s="98">
        <v>0.0</v>
      </c>
      <c r="AD14" s="31" t="s">
        <v>22</v>
      </c>
      <c r="AE14" s="32" t="s">
        <v>11</v>
      </c>
      <c r="AF14" s="32">
        <v>3361.0</v>
      </c>
      <c r="AG14" s="33">
        <v>0.0</v>
      </c>
    </row>
    <row r="15" ht="14.25" customHeight="1">
      <c r="A15" s="88">
        <v>10.0</v>
      </c>
      <c r="B15" s="65" t="str">
        <f t="shared" si="22"/>
        <v>NÃO ENCONTRADO</v>
      </c>
      <c r="C15" s="66">
        <v>0.0</v>
      </c>
      <c r="D15" s="36"/>
      <c r="E15" s="36"/>
      <c r="F15" s="88">
        <v>0.0</v>
      </c>
      <c r="G15" s="34" t="str">
        <f t="shared" si="23"/>
        <v>NÃO ENCONTRADO</v>
      </c>
      <c r="H15" s="66">
        <v>0.0</v>
      </c>
      <c r="I15" s="39"/>
      <c r="J15" s="69">
        <v>0.0</v>
      </c>
      <c r="K15" s="70" t="str">
        <f t="shared" si="24"/>
        <v>NÃO ENCONTRADO</v>
      </c>
      <c r="L15" s="78">
        <v>0.0</v>
      </c>
      <c r="M15" s="43"/>
      <c r="N15" s="90">
        <v>0.0</v>
      </c>
      <c r="O15" s="73" t="str">
        <f t="shared" si="25"/>
        <v>NÃO ENCONTRADO</v>
      </c>
      <c r="P15" s="74">
        <v>0.0</v>
      </c>
      <c r="Q15" s="43"/>
      <c r="R15" s="75">
        <v>0.0</v>
      </c>
      <c r="S15" s="76" t="str">
        <f t="shared" si="26"/>
        <v>NÃO ENCONTRADO</v>
      </c>
      <c r="T15" s="77">
        <v>0.0</v>
      </c>
      <c r="U15" s="43"/>
      <c r="V15" s="91">
        <v>8336.0</v>
      </c>
      <c r="W15" s="70" t="str">
        <f t="shared" si="27"/>
        <v>008336 - ROTISSERIA FEIJOADA BENDITO KG</v>
      </c>
      <c r="X15" s="78">
        <v>0.35</v>
      </c>
      <c r="Y15" s="43"/>
      <c r="Z15" s="81">
        <v>1.0</v>
      </c>
      <c r="AA15" s="81" t="str">
        <f t="shared" si="21"/>
        <v>NÃO ENCONTRADO</v>
      </c>
      <c r="AB15" s="98">
        <v>0.0</v>
      </c>
      <c r="AD15" s="53" t="s">
        <v>23</v>
      </c>
      <c r="AE15" s="54" t="s">
        <v>11</v>
      </c>
      <c r="AF15" s="54">
        <v>7570.0</v>
      </c>
      <c r="AG15" s="55">
        <v>149.9</v>
      </c>
    </row>
    <row r="16" ht="14.25" customHeight="1">
      <c r="A16" s="51"/>
      <c r="B16" s="51"/>
      <c r="C16" s="52"/>
      <c r="D16" s="36"/>
      <c r="E16" s="36"/>
      <c r="F16" s="51"/>
      <c r="G16" s="51"/>
      <c r="H16" s="52">
        <v>0.0</v>
      </c>
      <c r="I16" s="39"/>
      <c r="J16" s="51"/>
      <c r="K16" s="51"/>
      <c r="L16" s="52"/>
      <c r="M16" s="43"/>
      <c r="N16" s="51"/>
      <c r="O16" s="51"/>
      <c r="P16" s="52"/>
      <c r="Q16" s="43"/>
      <c r="R16" s="51"/>
      <c r="S16" s="51"/>
      <c r="T16" s="52"/>
      <c r="U16" s="43"/>
      <c r="V16" s="51"/>
      <c r="W16" s="51"/>
      <c r="X16" s="52"/>
      <c r="Y16" s="43"/>
      <c r="Z16" s="51"/>
      <c r="AA16" s="51"/>
      <c r="AB16" s="52"/>
      <c r="AD16" s="31" t="s">
        <v>24</v>
      </c>
      <c r="AE16" s="32" t="s">
        <v>11</v>
      </c>
      <c r="AF16" s="32">
        <v>9177.0</v>
      </c>
      <c r="AG16" s="33">
        <v>1.69</v>
      </c>
    </row>
    <row r="17" ht="14.25" customHeight="1">
      <c r="A17" s="34">
        <v>8089.0</v>
      </c>
      <c r="B17" s="34" t="str">
        <f t="shared" ref="B17:B19" si="28">XLOOKUP(A17,AF$1:AF$1048568,AD$1:AD$1048568,"NÃO ENCONTRADO")</f>
        <v>008089 - ROTISSERIA BATATA ASSADA BENDITO KG</v>
      </c>
      <c r="C17" s="35">
        <v>0.15</v>
      </c>
      <c r="D17" s="36"/>
      <c r="E17" s="36"/>
      <c r="F17" s="34">
        <v>8080.0</v>
      </c>
      <c r="G17" s="37" t="str">
        <f t="shared" ref="G17:G19" si="29">XLOOKUP(F17,$AF$1:$AF$1048568,$AD$1:$AD$1048568,"NÃO ENCONTRADO")</f>
        <v>008080 - ROTISSERIA BANANA BENDITO KG</v>
      </c>
      <c r="H17" s="38">
        <v>0.12</v>
      </c>
      <c r="I17" s="39"/>
      <c r="J17" s="40">
        <v>8292.0</v>
      </c>
      <c r="K17" s="41" t="str">
        <f t="shared" ref="K17:K19" si="30">XLOOKUP(J17,$AF$1:$AF$1048568,$AD$1:$AD$1048568,"NÃO ENCONTRADO")</f>
        <v>008292 - ROTISSERIA CREME DE MILHO BENDITO KG</v>
      </c>
      <c r="L17" s="50">
        <v>0.15</v>
      </c>
      <c r="M17" s="43"/>
      <c r="N17" s="44">
        <v>8598.0</v>
      </c>
      <c r="O17" s="45" t="str">
        <f t="shared" ref="O17:O19" si="31">XLOOKUP(N17,$AF$1:$AF$1048568,$AD$1:$AD$1048568,"NÃO ENCONTRADO")</f>
        <v>008598 - ROTISSERIA PURE DE BATATA BENDITO KG</v>
      </c>
      <c r="P17" s="46">
        <v>0.15</v>
      </c>
      <c r="Q17" s="43"/>
      <c r="R17" s="47">
        <v>8279.0</v>
      </c>
      <c r="S17" s="48" t="str">
        <f t="shared" ref="S17:S19" si="32">XLOOKUP(R17,$AF$1:$AF$1048568,$AD$1:$AD$1048568,"NÃO ENCONTRADO")</f>
        <v>008279 - ROTISSERIA COUVE FLOR EMPANADA BENDITO KG</v>
      </c>
      <c r="T17" s="99">
        <v>0.15</v>
      </c>
      <c r="U17" s="43"/>
      <c r="V17" s="40">
        <v>8292.0</v>
      </c>
      <c r="W17" s="41" t="str">
        <f t="shared" ref="W17:W19" si="33">XLOOKUP(V17,$AF$1:$AF$1048568,$AD$1:$AD$1048568,"NÃO ENCONTRADO")</f>
        <v>008292 - ROTISSERIA CREME DE MILHO BENDITO KG</v>
      </c>
      <c r="X17" s="50">
        <v>0.15</v>
      </c>
      <c r="Y17" s="43"/>
      <c r="Z17" s="62">
        <v>6873.0</v>
      </c>
      <c r="AA17" s="63" t="str">
        <f t="shared" ref="AA17:AA19" si="34">XLOOKUP(Z17,$AF$1:$AF$1048568,$AD$1:$AD$1048568,"NÃO ENCONTRADO")</f>
        <v>006873 - ROT REFRIGERADO FAROFA KG</v>
      </c>
      <c r="AB17" s="64">
        <v>0.0</v>
      </c>
      <c r="AD17" s="53" t="s">
        <v>25</v>
      </c>
      <c r="AE17" s="54" t="s">
        <v>11</v>
      </c>
      <c r="AF17" s="54">
        <v>9167.0</v>
      </c>
      <c r="AG17" s="55">
        <v>8.1</v>
      </c>
    </row>
    <row r="18" ht="14.25" customHeight="1">
      <c r="A18" s="65">
        <v>8598.0</v>
      </c>
      <c r="B18" s="65" t="str">
        <f t="shared" si="28"/>
        <v>008598 - ROTISSERIA PURE DE BATATA BENDITO KG</v>
      </c>
      <c r="C18" s="56">
        <v>0.15</v>
      </c>
      <c r="D18" s="36"/>
      <c r="E18" s="36"/>
      <c r="F18" s="65">
        <v>8089.0</v>
      </c>
      <c r="G18" s="37" t="str">
        <f t="shared" si="29"/>
        <v>008089 - ROTISSERIA BATATA ASSADA BENDITO KG</v>
      </c>
      <c r="H18" s="57">
        <v>0.12</v>
      </c>
      <c r="I18" s="39"/>
      <c r="J18" s="69">
        <v>8391.0</v>
      </c>
      <c r="K18" s="41" t="str">
        <f t="shared" si="30"/>
        <v>008391 - ROTISSERIA JILO FRITO BENDITO KG</v>
      </c>
      <c r="L18" s="61">
        <v>0.08</v>
      </c>
      <c r="M18" s="43"/>
      <c r="N18" s="72">
        <v>8080.0</v>
      </c>
      <c r="O18" s="45" t="str">
        <f t="shared" si="31"/>
        <v>008080 - ROTISSERIA BANANA BENDITO KG</v>
      </c>
      <c r="P18" s="59">
        <v>0.12</v>
      </c>
      <c r="Q18" s="43"/>
      <c r="R18" s="75">
        <v>8089.0</v>
      </c>
      <c r="S18" s="48" t="str">
        <f t="shared" si="32"/>
        <v>008089 - ROTISSERIA BATATA ASSADA BENDITO KG</v>
      </c>
      <c r="T18" s="100">
        <v>0.15</v>
      </c>
      <c r="U18" s="43"/>
      <c r="V18" s="69">
        <v>8391.0</v>
      </c>
      <c r="W18" s="41" t="str">
        <f t="shared" si="33"/>
        <v>008391 - ROTISSERIA JILO FRITO BENDITO KG</v>
      </c>
      <c r="X18" s="61">
        <v>0.08</v>
      </c>
      <c r="Y18" s="43"/>
      <c r="Z18" s="80">
        <v>0.0</v>
      </c>
      <c r="AA18" s="63" t="str">
        <f t="shared" si="34"/>
        <v>NÃO ENCONTRADO</v>
      </c>
      <c r="AB18" s="101">
        <v>0.0</v>
      </c>
      <c r="AD18" s="31" t="s">
        <v>26</v>
      </c>
      <c r="AE18" s="32" t="s">
        <v>11</v>
      </c>
      <c r="AF18" s="32">
        <v>9196.0</v>
      </c>
      <c r="AG18" s="33">
        <v>14.12</v>
      </c>
    </row>
    <row r="19" ht="14.25" customHeight="1">
      <c r="A19" s="102">
        <v>8403.0</v>
      </c>
      <c r="B19" s="103" t="str">
        <f t="shared" si="28"/>
        <v>008403 - ROTISSERIA LEGUMES BENDITO KG</v>
      </c>
      <c r="C19" s="104">
        <v>0.15</v>
      </c>
      <c r="D19" s="36"/>
      <c r="E19" s="36"/>
      <c r="F19" s="105">
        <v>8598.0</v>
      </c>
      <c r="G19" s="67" t="str">
        <f t="shared" si="29"/>
        <v>008598 - ROTISSERIA PURE DE BATATA BENDITO KG</v>
      </c>
      <c r="H19" s="106">
        <v>0.12</v>
      </c>
      <c r="I19" s="39"/>
      <c r="J19" s="107">
        <v>8153.0</v>
      </c>
      <c r="K19" s="70" t="str">
        <f t="shared" si="30"/>
        <v>008153 - ROTISSERIA BERINJELA PIZZAOLA BENDITO KG</v>
      </c>
      <c r="L19" s="108">
        <v>0.08</v>
      </c>
      <c r="M19" s="43"/>
      <c r="N19" s="109">
        <v>8323.0</v>
      </c>
      <c r="O19" s="73" t="str">
        <f t="shared" si="31"/>
        <v>008323 - ROTISSERIA FAROFA BENDITO KG</v>
      </c>
      <c r="P19" s="110">
        <v>0.12</v>
      </c>
      <c r="Q19" s="43"/>
      <c r="R19" s="111">
        <v>8292.0</v>
      </c>
      <c r="S19" s="76" t="str">
        <f t="shared" si="32"/>
        <v>008292 - ROTISSERIA CREME DE MILHO BENDITO KG</v>
      </c>
      <c r="T19" s="112">
        <v>0.0</v>
      </c>
      <c r="U19" s="43"/>
      <c r="V19" s="107">
        <v>8153.0</v>
      </c>
      <c r="W19" s="70" t="str">
        <f t="shared" si="33"/>
        <v>008153 - ROTISSERIA BERINJELA PIZZAOLA BENDITO KG</v>
      </c>
      <c r="X19" s="108">
        <v>0.1</v>
      </c>
      <c r="Y19" s="43"/>
      <c r="Z19" s="113">
        <v>0.0</v>
      </c>
      <c r="AA19" s="81" t="str">
        <f t="shared" si="34"/>
        <v>NÃO ENCONTRADO</v>
      </c>
      <c r="AB19" s="114">
        <v>0.0</v>
      </c>
      <c r="AD19" s="53" t="s">
        <v>27</v>
      </c>
      <c r="AE19" s="54" t="s">
        <v>11</v>
      </c>
      <c r="AF19" s="54">
        <v>9197.0</v>
      </c>
      <c r="AG19" s="55">
        <v>4.82</v>
      </c>
    </row>
    <row r="20" ht="14.25" customHeight="1">
      <c r="A20" s="51"/>
      <c r="B20" s="51"/>
      <c r="C20" s="52"/>
      <c r="D20" s="36"/>
      <c r="E20" s="36"/>
      <c r="F20" s="51"/>
      <c r="G20" s="51"/>
      <c r="H20" s="52"/>
      <c r="I20" s="39"/>
      <c r="J20" s="51"/>
      <c r="K20" s="51"/>
      <c r="L20" s="52"/>
      <c r="M20" s="43"/>
      <c r="N20" s="51"/>
      <c r="O20" s="51"/>
      <c r="P20" s="52"/>
      <c r="Q20" s="43"/>
      <c r="R20" s="51"/>
      <c r="S20" s="51"/>
      <c r="T20" s="52"/>
      <c r="U20" s="43"/>
      <c r="V20" s="51"/>
      <c r="W20" s="51"/>
      <c r="X20" s="52"/>
      <c r="Y20" s="43"/>
      <c r="Z20" s="51"/>
      <c r="AA20" s="51"/>
      <c r="AB20" s="52"/>
      <c r="AD20" s="31" t="s">
        <v>28</v>
      </c>
      <c r="AE20" s="32" t="s">
        <v>11</v>
      </c>
      <c r="AF20" s="32">
        <v>9199.0</v>
      </c>
      <c r="AG20" s="33">
        <v>0.17</v>
      </c>
    </row>
    <row r="21" ht="14.25" customHeight="1">
      <c r="A21" s="34">
        <v>8409.0</v>
      </c>
      <c r="B21" s="34" t="str">
        <f t="shared" ref="B21:B24" si="35">XLOOKUP(A21,AF$1:AF$1048568,AD$1:AD$1048568,"NÃO ENCONTRADO")</f>
        <v>008409 - ROTISSERIA LINGUICA ASSADA BENDITO KG</v>
      </c>
      <c r="C21" s="115">
        <v>0.15</v>
      </c>
      <c r="D21" s="36"/>
      <c r="E21" s="36"/>
      <c r="F21" s="34">
        <v>8491.0</v>
      </c>
      <c r="G21" s="34" t="str">
        <f t="shared" ref="G21:G24" si="36">XLOOKUP(F21,$AF$1:$AF$1048568,$AD$1:$AD$1048568,"NÃO ENCONTRADO")</f>
        <v>008491 - ROTISSERIA MEDALHAO FRANGO BENDITO KG</v>
      </c>
      <c r="H21" s="35">
        <v>0.15</v>
      </c>
      <c r="I21" s="39"/>
      <c r="J21" s="40">
        <v>8349.0</v>
      </c>
      <c r="K21" s="41" t="str">
        <f t="shared" ref="K21:K22" si="37">XLOOKUP(J21,$AF$1:$AF$1048568,$AD$1:$AD$1048568,"NÃO ENCONTRADO")</f>
        <v>008349 - ROTISSERIA FILE FRANGO PARMEGIANA BENDITO KG</v>
      </c>
      <c r="L21" s="78">
        <v>0.15</v>
      </c>
      <c r="M21" s="43"/>
      <c r="N21" s="44">
        <v>8804.0</v>
      </c>
      <c r="O21" s="45" t="str">
        <f t="shared" ref="O21:O22" si="38">XLOOKUP(N21,$AF$1:$AF$1048568,$AD$1:$AD$1048568,"NÃO ENCONTRADO")</f>
        <v>008804 - ROTISSERIA SOBRECOXA RECHEADA BENDITO KG</v>
      </c>
      <c r="P21" s="46">
        <v>0.2</v>
      </c>
      <c r="Q21" s="43"/>
      <c r="R21" s="47">
        <v>8381.0</v>
      </c>
      <c r="S21" s="48" t="str">
        <f t="shared" ref="S21:S22" si="39">XLOOKUP(R21,$AF$1:$AF$1048568,$AD$1:$AD$1048568,"NÃO ENCONTRADO")</f>
        <v>008381 - ROTISSERIA FRANGO XADREZ BENDITO KG</v>
      </c>
      <c r="T21" s="99">
        <v>0.15</v>
      </c>
      <c r="U21" s="43"/>
      <c r="V21" s="40">
        <v>8361.0</v>
      </c>
      <c r="W21" s="41" t="str">
        <f t="shared" ref="W21:W22" si="40">XLOOKUP(V21,$AF$1:$AF$1048568,$AD$1:$AD$1048568,"NÃO ENCONTRADO")</f>
        <v>008361 - ROTISSERIA FILE SOBRECOXA ASSADA BENDITO KG</v>
      </c>
      <c r="X21" s="78">
        <v>1.0</v>
      </c>
      <c r="Y21" s="43"/>
      <c r="Z21" s="29" t="s">
        <v>4</v>
      </c>
      <c r="AA21" s="29" t="s">
        <v>5</v>
      </c>
      <c r="AB21" s="30" t="s">
        <v>6</v>
      </c>
      <c r="AD21" s="53" t="s">
        <v>29</v>
      </c>
      <c r="AE21" s="54" t="s">
        <v>11</v>
      </c>
      <c r="AF21" s="54">
        <v>9178.0</v>
      </c>
      <c r="AG21" s="55">
        <v>20.75</v>
      </c>
    </row>
    <row r="22" ht="14.25" customHeight="1">
      <c r="A22" s="34">
        <v>8945.0</v>
      </c>
      <c r="B22" s="34" t="str">
        <f t="shared" si="35"/>
        <v>008945 - ROT.ISCA DE FRANGO A MILANESA BENDITO KG</v>
      </c>
      <c r="C22" s="115">
        <v>0.15</v>
      </c>
      <c r="D22" s="36"/>
      <c r="E22" s="36"/>
      <c r="F22" s="34">
        <v>8602.0</v>
      </c>
      <c r="G22" s="34" t="str">
        <f t="shared" si="36"/>
        <v>008602 - ROTISSERIA QUIBE ASSADO BENDITO KG</v>
      </c>
      <c r="H22" s="115">
        <v>0.15</v>
      </c>
      <c r="I22" s="39"/>
      <c r="J22" s="40">
        <v>8158.0</v>
      </c>
      <c r="K22" s="41" t="str">
        <f t="shared" si="37"/>
        <v>008158 - ROTISSERIA BIFE A ROLE BENDITO KG</v>
      </c>
      <c r="L22" s="78">
        <v>0.15</v>
      </c>
      <c r="M22" s="43"/>
      <c r="N22" s="44">
        <v>8006.0</v>
      </c>
      <c r="O22" s="45" t="str">
        <f t="shared" si="38"/>
        <v>008006 - ROTISSERIA ALMONDEGAS AO MOLHO BENDITO KG</v>
      </c>
      <c r="P22" s="116"/>
      <c r="Q22" s="43"/>
      <c r="R22" s="47">
        <v>8834.0</v>
      </c>
      <c r="S22" s="48" t="str">
        <f t="shared" si="39"/>
        <v>008834 - ROTISSERIA STROGONOFF DE CARNE BENDITO KG</v>
      </c>
      <c r="T22" s="117">
        <v>0.15</v>
      </c>
      <c r="U22" s="43"/>
      <c r="V22" s="40">
        <v>8409.0</v>
      </c>
      <c r="W22" s="41" t="str">
        <f t="shared" si="40"/>
        <v>008409 - ROTISSERIA LINGUICA ASSADA BENDITO KG</v>
      </c>
      <c r="X22" s="78">
        <v>0.12</v>
      </c>
      <c r="Y22" s="43"/>
      <c r="Z22" s="80">
        <v>93583.0</v>
      </c>
      <c r="AA22" s="81" t="str">
        <f t="array" ref="AA22">XLOOKUP(Z22,$AF$1:$AF$1048568,$AD$1:$AD$1048568,"NÃO ENCONTRADO")</f>
        <v>093583 - ASS.FRANGO BENDITO INTEIRO</v>
      </c>
      <c r="AB22" s="92">
        <v>0.0</v>
      </c>
      <c r="AD22" s="53"/>
      <c r="AE22" s="54"/>
      <c r="AF22" s="54"/>
      <c r="AG22" s="55"/>
    </row>
    <row r="23" ht="14.25" customHeight="1">
      <c r="A23" s="65">
        <v>8396.0</v>
      </c>
      <c r="B23" s="65" t="str">
        <f t="shared" si="35"/>
        <v>008396 - ROTISSERIA LAGARTO AO MOLHO MADEIRA BENDITO KG</v>
      </c>
      <c r="C23" s="115">
        <v>0.0</v>
      </c>
      <c r="D23" s="36"/>
      <c r="E23" s="36"/>
      <c r="F23" s="34">
        <v>8231.0</v>
      </c>
      <c r="G23" s="34" t="str">
        <f t="shared" si="36"/>
        <v>008231 - ROTISSERIA CHARUTO BENDITO KG</v>
      </c>
      <c r="H23" s="115"/>
      <c r="I23" s="39"/>
      <c r="J23" s="40"/>
      <c r="K23" s="41"/>
      <c r="L23" s="78"/>
      <c r="M23" s="43"/>
      <c r="N23" s="44"/>
      <c r="O23" s="45"/>
      <c r="P23" s="116"/>
      <c r="Q23" s="43"/>
      <c r="R23" s="47"/>
      <c r="S23" s="48"/>
      <c r="T23" s="117"/>
      <c r="U23" s="43"/>
      <c r="V23" s="40"/>
      <c r="W23" s="41"/>
      <c r="X23" s="78"/>
      <c r="Y23" s="43"/>
      <c r="Z23" s="80"/>
      <c r="AA23" s="81"/>
      <c r="AB23" s="92"/>
      <c r="AD23" s="53"/>
      <c r="AE23" s="54"/>
      <c r="AF23" s="54"/>
      <c r="AG23" s="55"/>
    </row>
    <row r="24" ht="14.25" customHeight="1">
      <c r="A24" s="65">
        <v>8945.0</v>
      </c>
      <c r="B24" s="65" t="str">
        <f t="shared" si="35"/>
        <v>008945 - ROT.ISCA DE FRANGO A MILANESA BENDITO KG</v>
      </c>
      <c r="C24" s="115">
        <v>0.0</v>
      </c>
      <c r="D24" s="36"/>
      <c r="E24" s="36"/>
      <c r="F24" s="65">
        <v>8837.0</v>
      </c>
      <c r="G24" s="65" t="str">
        <f t="shared" si="36"/>
        <v>008837 - ROTISSERIA STROGONOFF DE FRANGO BENDITO KG</v>
      </c>
      <c r="H24" s="115">
        <v>0.15</v>
      </c>
      <c r="I24" s="39"/>
      <c r="J24" s="69">
        <v>8284.0</v>
      </c>
      <c r="K24" s="70" t="str">
        <f t="array" ref="K24">XLOOKUP(J24,$AF$1:$AF$1048568,$AD$1:$AD$1048568,"NÃO ENCONTRADO")</f>
        <v>008284 - ROTISSERIA COXA SOBRECOXA ASSADA BENDITO KG</v>
      </c>
      <c r="L24" s="78">
        <v>0.15</v>
      </c>
      <c r="M24" s="43"/>
      <c r="N24" s="72">
        <v>8519.0</v>
      </c>
      <c r="O24" s="73" t="str">
        <f t="array" ref="O24">XLOOKUP(N24,$AF$1:$AF$1048568,$AD$1:$AD$1048568,"NÃO ENCONTRADO")</f>
        <v>008519 - ROTISSERIA COXINHA BUFALO WINGS KG</v>
      </c>
      <c r="P24" s="74">
        <v>0.0</v>
      </c>
      <c r="Q24" s="43"/>
      <c r="R24" s="75">
        <v>8231.0</v>
      </c>
      <c r="S24" s="76" t="str">
        <f t="array" ref="S24">XLOOKUP(R24,$AF$1:$AF$1048568,$AD$1:$AD$1048568,"NÃO ENCONTRADO")</f>
        <v>008231 - ROTISSERIA CHARUTO BENDITO KG</v>
      </c>
      <c r="T24" s="117">
        <v>0.0</v>
      </c>
      <c r="U24" s="43"/>
      <c r="V24" s="69">
        <v>8298.0</v>
      </c>
      <c r="W24" s="70" t="str">
        <f t="array" ref="W24">XLOOKUP(V24,$AF$1:$AF$1048568,$AD$1:$AD$1048568,"NÃO ENCONTRADO")</f>
        <v>008298 - ROTISSERIA DOBRADINHA BENDITO KG</v>
      </c>
      <c r="X24" s="78">
        <v>0.35</v>
      </c>
      <c r="Y24" s="43"/>
      <c r="Z24" s="80">
        <v>2893.0</v>
      </c>
      <c r="AA24" s="81" t="str">
        <f t="shared" ref="AA24:AA31" si="41">XLOOKUP(Z24,$AF$1:$AF$1048568,$AD$1:$AD$1048568,"NÃO ENCONTRADO")</f>
        <v>002893 - ASS.FRANGO METADE BENDITO UNIDADE</v>
      </c>
      <c r="AB24" s="92">
        <v>0.0</v>
      </c>
      <c r="AD24" s="31" t="s">
        <v>30</v>
      </c>
      <c r="AE24" s="32" t="s">
        <v>31</v>
      </c>
      <c r="AF24" s="32">
        <v>2753.0</v>
      </c>
      <c r="AG24" s="33">
        <v>0.0</v>
      </c>
    </row>
    <row r="25" ht="14.25" customHeight="1">
      <c r="A25" s="51"/>
      <c r="B25" s="51"/>
      <c r="C25" s="52"/>
      <c r="D25" s="36"/>
      <c r="E25" s="36"/>
      <c r="F25" s="51"/>
      <c r="G25" s="51"/>
      <c r="H25" s="52"/>
      <c r="I25" s="39"/>
      <c r="J25" s="51"/>
      <c r="K25" s="51"/>
      <c r="L25" s="52"/>
      <c r="M25" s="43"/>
      <c r="N25" s="51"/>
      <c r="O25" s="51"/>
      <c r="P25" s="52"/>
      <c r="Q25" s="43"/>
      <c r="R25" s="51"/>
      <c r="S25" s="51"/>
      <c r="T25" s="52"/>
      <c r="U25" s="43"/>
      <c r="V25" s="51"/>
      <c r="W25" s="51"/>
      <c r="X25" s="52"/>
      <c r="Y25" s="43"/>
      <c r="Z25" s="80">
        <v>93964.0</v>
      </c>
      <c r="AA25" s="81" t="str">
        <f t="shared" si="41"/>
        <v>093964 - ROTISSERIA CUPIM ASSADO MOLHO ALHO  KG</v>
      </c>
      <c r="AB25" s="92">
        <v>0.0</v>
      </c>
      <c r="AD25" s="53" t="s">
        <v>32</v>
      </c>
      <c r="AE25" s="54" t="s">
        <v>11</v>
      </c>
      <c r="AF25" s="54">
        <v>6671.0</v>
      </c>
      <c r="AG25" s="55">
        <v>99.99</v>
      </c>
    </row>
    <row r="26" ht="14.25" customHeight="1">
      <c r="A26" s="34">
        <v>8221.0</v>
      </c>
      <c r="B26" s="34" t="str">
        <f t="shared" ref="B26:B27" si="42">XLOOKUP(A26,AF$1:AF$1048568,AD$1:AD$1048568,"NÃO ENCONTRADO")</f>
        <v>008221 - ROTISSERIA CAPONATA BERINJELA BENDITO KG</v>
      </c>
      <c r="C26" s="95">
        <v>0.35</v>
      </c>
      <c r="D26" s="36"/>
      <c r="E26" s="36"/>
      <c r="F26" s="34">
        <v>8695.0</v>
      </c>
      <c r="G26" s="34" t="str">
        <f t="shared" ref="G26:G27" si="43">XLOOKUP(F26,$AF$1:$AF$1048568,$AD$1:$AD$1048568,"NÃO ENCONTRADO")</f>
        <v>008695 - ROTISSERIA SALADA DE BETERRABA BENDITO KG</v>
      </c>
      <c r="H26" s="95">
        <v>0.35</v>
      </c>
      <c r="I26" s="39"/>
      <c r="J26" s="40">
        <v>8690.0</v>
      </c>
      <c r="K26" s="41" t="str">
        <f t="shared" ref="K26:K27" si="44">XLOOKUP(J26,$AF$1:$AF$1048568,$AD$1:$AD$1048568,"NÃO ENCONTRADO")</f>
        <v>008690 - ROTISSERIA SALADA DE BATATA CURTINHA BENDITO KG</v>
      </c>
      <c r="L26" s="42">
        <v>0.35</v>
      </c>
      <c r="M26" s="43"/>
      <c r="N26" s="44">
        <v>8671.0</v>
      </c>
      <c r="O26" s="45" t="str">
        <f t="shared" ref="O26:O27" si="45">XLOOKUP(N26,$AF$1:$AF$1048568,$AD$1:$AD$1048568,"NÃO ENCONTRADO")</f>
        <v>008671 - ROTISSERIA SALADA BATATONESE BENDITO KG</v>
      </c>
      <c r="P26" s="118">
        <v>0.35</v>
      </c>
      <c r="Q26" s="43"/>
      <c r="R26" s="47">
        <v>0.0</v>
      </c>
      <c r="S26" s="48" t="str">
        <f t="shared" ref="S26:S27" si="46">XLOOKUP(R26,$AF$1:$AF$1048568,$AD$1:$AD$1048568,"NÃO ENCONTRADO")</f>
        <v>NÃO ENCONTRADO</v>
      </c>
      <c r="T26" s="49">
        <v>0.0</v>
      </c>
      <c r="U26" s="43"/>
      <c r="V26" s="40">
        <v>0.0</v>
      </c>
      <c r="W26" s="41" t="str">
        <f t="shared" ref="W26:W27" si="47">XLOOKUP(V26,$AF$1:$AF$1048568,$AD$1:$AD$1048568,"NÃO ENCONTRADO")</f>
        <v>NÃO ENCONTRADO</v>
      </c>
      <c r="X26" s="42">
        <v>0.0</v>
      </c>
      <c r="Y26" s="43"/>
      <c r="Z26" s="80">
        <v>8484.0</v>
      </c>
      <c r="AA26" s="81" t="str">
        <f t="shared" si="41"/>
        <v>008484 - ROTISSERIA MAMINHA ASSADA BENDITO KG</v>
      </c>
      <c r="AB26" s="92">
        <v>0.0</v>
      </c>
      <c r="AD26" s="31" t="s">
        <v>33</v>
      </c>
      <c r="AE26" s="32" t="s">
        <v>8</v>
      </c>
      <c r="AF26" s="32">
        <v>355445.0</v>
      </c>
      <c r="AG26" s="33">
        <v>30.0</v>
      </c>
    </row>
    <row r="27" ht="14.25" customHeight="1">
      <c r="A27" s="65">
        <v>8789.0</v>
      </c>
      <c r="B27" s="65" t="str">
        <f t="shared" si="42"/>
        <v>008789 - ROTISSERIA SALADA SUNOMONO BENDITOKG</v>
      </c>
      <c r="C27" s="66">
        <v>0.35</v>
      </c>
      <c r="D27" s="36"/>
      <c r="E27" s="36"/>
      <c r="F27" s="65">
        <v>8713.0</v>
      </c>
      <c r="G27" s="34" t="str">
        <f t="shared" si="43"/>
        <v>008713 - ROTISSERIA SALADA DE GRAO DE BICO BENDITO KG</v>
      </c>
      <c r="H27" s="66">
        <v>0.35</v>
      </c>
      <c r="I27" s="39"/>
      <c r="J27" s="69">
        <v>8687.0</v>
      </c>
      <c r="K27" s="41" t="str">
        <f t="shared" si="44"/>
        <v>008687 - ROTISSERIA SALADA CENOURA C/VAGEM BENDITO KG</v>
      </c>
      <c r="L27" s="71">
        <v>0.35</v>
      </c>
      <c r="M27" s="43"/>
      <c r="N27" s="72">
        <v>8839.0</v>
      </c>
      <c r="O27" s="45" t="str">
        <f t="shared" si="45"/>
        <v>008839 - ROTISSERIA TABULE BENDITO KG</v>
      </c>
      <c r="P27" s="119">
        <v>0.35</v>
      </c>
      <c r="Q27" s="43"/>
      <c r="R27" s="75">
        <v>0.0</v>
      </c>
      <c r="S27" s="48" t="str">
        <f t="shared" si="46"/>
        <v>NÃO ENCONTRADO</v>
      </c>
      <c r="T27" s="77">
        <v>0.0</v>
      </c>
      <c r="U27" s="43"/>
      <c r="V27" s="69">
        <v>0.0</v>
      </c>
      <c r="W27" s="41" t="str">
        <f t="shared" si="47"/>
        <v>NÃO ENCONTRADO</v>
      </c>
      <c r="X27" s="71">
        <v>-1.0</v>
      </c>
      <c r="Y27" s="43"/>
      <c r="Z27" s="80">
        <v>8274.0</v>
      </c>
      <c r="AA27" s="81" t="str">
        <f t="shared" si="41"/>
        <v>008274 - ROTISSERIA COSTELINHA PORCO MOLHO BARBECUE BENDITO KG</v>
      </c>
      <c r="AB27" s="92">
        <v>0.0</v>
      </c>
      <c r="AD27" s="53" t="s">
        <v>34</v>
      </c>
      <c r="AE27" s="54" t="s">
        <v>11</v>
      </c>
      <c r="AF27" s="54">
        <v>1895.0</v>
      </c>
      <c r="AG27" s="55">
        <v>0.0</v>
      </c>
    </row>
    <row r="28" ht="14.25" customHeight="1">
      <c r="A28" s="15" t="s">
        <v>4</v>
      </c>
      <c r="B28" s="15" t="s">
        <v>5</v>
      </c>
      <c r="C28" s="16" t="s">
        <v>6</v>
      </c>
      <c r="D28" s="17"/>
      <c r="E28" s="17"/>
      <c r="F28" s="18" t="s">
        <v>4</v>
      </c>
      <c r="G28" s="18" t="s">
        <v>5</v>
      </c>
      <c r="H28" s="19" t="s">
        <v>6</v>
      </c>
      <c r="I28" s="20"/>
      <c r="J28" s="21" t="s">
        <v>4</v>
      </c>
      <c r="K28" s="21" t="s">
        <v>5</v>
      </c>
      <c r="L28" s="22" t="s">
        <v>6</v>
      </c>
      <c r="M28" s="43"/>
      <c r="N28" s="23" t="s">
        <v>4</v>
      </c>
      <c r="O28" s="23" t="s">
        <v>5</v>
      </c>
      <c r="P28" s="24" t="s">
        <v>6</v>
      </c>
      <c r="Q28" s="43"/>
      <c r="R28" s="25" t="s">
        <v>4</v>
      </c>
      <c r="S28" s="25" t="s">
        <v>5</v>
      </c>
      <c r="T28" s="26" t="s">
        <v>6</v>
      </c>
      <c r="U28" s="43"/>
      <c r="V28" s="120" t="s">
        <v>4</v>
      </c>
      <c r="W28" s="120" t="s">
        <v>5</v>
      </c>
      <c r="X28" s="121" t="s">
        <v>6</v>
      </c>
      <c r="Y28" s="43"/>
      <c r="Z28" s="80">
        <v>8393.0</v>
      </c>
      <c r="AA28" s="81" t="str">
        <f t="shared" si="41"/>
        <v>008393 - ROTISSERIA JOELHO PORCO ASSADO BENDITO KG</v>
      </c>
      <c r="AB28" s="92">
        <v>0.0</v>
      </c>
      <c r="AD28" s="31" t="s">
        <v>35</v>
      </c>
      <c r="AE28" s="32" t="s">
        <v>11</v>
      </c>
      <c r="AF28" s="32">
        <v>102365.0</v>
      </c>
      <c r="AG28" s="33">
        <v>35.9</v>
      </c>
    </row>
    <row r="29" ht="14.25" customHeight="1">
      <c r="A29" s="34">
        <v>8963.0</v>
      </c>
      <c r="B29" s="34" t="str">
        <f t="shared" ref="B29:B31" si="48">XLOOKUP(A29,AF$1:AF$1048568,AD$1:AD$1048568,"NÃO ENCONTRADO")</f>
        <v>008963 - ROTISSERIA SALADA CEASER C/FRANGO BENDITO</v>
      </c>
      <c r="C29" s="35">
        <v>1.0</v>
      </c>
      <c r="D29" s="36"/>
      <c r="E29" s="36"/>
      <c r="F29" s="34">
        <v>8963.0</v>
      </c>
      <c r="G29" s="122" t="str">
        <f t="shared" ref="G29:G31" si="49">XLOOKUP(F29,$AF$1:$AF$1048568,$AD$1:$AD$1048568,"NÃO ENCONTRADO")</f>
        <v>008963 - ROTISSERIA SALADA CEASER C/FRANGO BENDITO</v>
      </c>
      <c r="H29" s="35">
        <v>1.0</v>
      </c>
      <c r="I29" s="39"/>
      <c r="J29" s="40">
        <v>8963.0</v>
      </c>
      <c r="K29" s="41" t="str">
        <f t="shared" ref="K29:K31" si="50">XLOOKUP(J29,$AF$1:$AF$1048568,$AD$1:$AD$1048568,"NÃO ENCONTRADO")</f>
        <v>008963 - ROTISSERIA SALADA CEASER C/FRANGO BENDITO</v>
      </c>
      <c r="L29" s="50">
        <v>1.0</v>
      </c>
      <c r="M29" s="43"/>
      <c r="N29" s="44">
        <v>8963.0</v>
      </c>
      <c r="O29" s="45" t="str">
        <f t="shared" ref="O29:O31" si="51">XLOOKUP(N29,$AF$1:$AF$1048568,$AD$1:$AD$1048568,"NÃO ENCONTRADO")</f>
        <v>008963 - ROTISSERIA SALADA CEASER C/FRANGO BENDITO</v>
      </c>
      <c r="P29" s="46">
        <v>1.0</v>
      </c>
      <c r="Q29" s="43"/>
      <c r="R29" s="47">
        <v>8963.0</v>
      </c>
      <c r="S29" s="48" t="str">
        <f t="shared" ref="S29:S31" si="52">XLOOKUP(R29,$AF$1:$AF$1048568,$AD$1:$AD$1048568,"NÃO ENCONTRADO")</f>
        <v>008963 - ROTISSERIA SALADA CEASER C/FRANGO BENDITO</v>
      </c>
      <c r="T29" s="99">
        <v>1.0</v>
      </c>
      <c r="U29" s="43"/>
      <c r="V29" s="69">
        <v>2893.0</v>
      </c>
      <c r="W29" s="70" t="str">
        <f t="shared" ref="W29:W37" si="53">XLOOKUP(V29,$AF$1:$AF$1048568,$AD$1:$AD$1048568,"NÃO ENCONTRADO")</f>
        <v>002893 - ASS.FRANGO METADE BENDITO UNIDADE</v>
      </c>
      <c r="X29" s="71">
        <v>1.0</v>
      </c>
      <c r="Y29" s="43"/>
      <c r="Z29" s="80">
        <v>7652.0</v>
      </c>
      <c r="AA29" s="81" t="str">
        <f t="shared" si="41"/>
        <v>007652 - REFEICAO COXA SOBRECOXA ASSADA BENDITO UN</v>
      </c>
      <c r="AB29" s="92">
        <v>0.0</v>
      </c>
      <c r="AD29" s="53" t="s">
        <v>36</v>
      </c>
      <c r="AE29" s="54" t="s">
        <v>11</v>
      </c>
      <c r="AF29" s="54">
        <v>2173.0</v>
      </c>
      <c r="AG29" s="55">
        <v>0.0</v>
      </c>
    </row>
    <row r="30" ht="14.25" customHeight="1">
      <c r="A30" s="34">
        <v>8962.0</v>
      </c>
      <c r="B30" s="34" t="str">
        <f t="shared" si="48"/>
        <v>008962 - ROTISSERIA SALADA MIX DE FOLHA E LEGUMES C/PROTEINAS BENDITO</v>
      </c>
      <c r="C30" s="56">
        <v>0.0</v>
      </c>
      <c r="D30" s="36"/>
      <c r="E30" s="36"/>
      <c r="F30" s="34">
        <v>8962.0</v>
      </c>
      <c r="G30" s="34" t="str">
        <f t="shared" si="49"/>
        <v>008962 - ROTISSERIA SALADA MIX DE FOLHA E LEGUMES C/PROTEINAS BENDITO</v>
      </c>
      <c r="H30" s="56">
        <v>0.0</v>
      </c>
      <c r="I30" s="39"/>
      <c r="J30" s="34">
        <v>8962.0</v>
      </c>
      <c r="K30" s="41" t="str">
        <f t="shared" si="50"/>
        <v>008962 - ROTISSERIA SALADA MIX DE FOLHA E LEGUMES C/PROTEINAS BENDITO</v>
      </c>
      <c r="L30" s="61">
        <v>1.0</v>
      </c>
      <c r="M30" s="43"/>
      <c r="N30" s="44">
        <v>0.0</v>
      </c>
      <c r="O30" s="45" t="str">
        <f t="shared" si="51"/>
        <v>NÃO ENCONTRADO</v>
      </c>
      <c r="P30" s="59">
        <v>0.0</v>
      </c>
      <c r="Q30" s="43"/>
      <c r="R30" s="47">
        <v>0.0</v>
      </c>
      <c r="S30" s="48" t="str">
        <f t="shared" si="52"/>
        <v>NÃO ENCONTRADO</v>
      </c>
      <c r="T30" s="100">
        <v>0.0</v>
      </c>
      <c r="U30" s="43"/>
      <c r="V30" s="69">
        <v>8484.0</v>
      </c>
      <c r="W30" s="70" t="str">
        <f t="shared" si="53"/>
        <v>008484 - ROTISSERIA MAMINHA ASSADA BENDITO KG</v>
      </c>
      <c r="X30" s="71">
        <v>0.65</v>
      </c>
      <c r="Y30" s="43"/>
      <c r="Z30" s="80">
        <v>8523.0</v>
      </c>
      <c r="AA30" s="81" t="str">
        <f t="shared" si="41"/>
        <v>008523 - ROTISSERIA TULIPA BUFALO WINGS KG</v>
      </c>
      <c r="AB30" s="92">
        <v>0.0</v>
      </c>
      <c r="AD30" s="31" t="s">
        <v>37</v>
      </c>
      <c r="AE30" s="32" t="s">
        <v>11</v>
      </c>
      <c r="AF30" s="32">
        <v>7573.0</v>
      </c>
      <c r="AG30" s="33">
        <v>59.9</v>
      </c>
    </row>
    <row r="31" ht="14.25" customHeight="1">
      <c r="A31" s="65">
        <v>30.0</v>
      </c>
      <c r="B31" s="65" t="str">
        <f t="shared" si="48"/>
        <v>NÃO ENCONTRADO</v>
      </c>
      <c r="C31" s="66">
        <v>0.0</v>
      </c>
      <c r="D31" s="36"/>
      <c r="E31" s="36"/>
      <c r="F31" s="65">
        <v>0.0</v>
      </c>
      <c r="G31" s="34" t="str">
        <f t="shared" si="49"/>
        <v>NÃO ENCONTRADO</v>
      </c>
      <c r="H31" s="66">
        <v>0.0</v>
      </c>
      <c r="I31" s="39"/>
      <c r="J31" s="69">
        <v>0.0</v>
      </c>
      <c r="K31" s="70" t="str">
        <f t="shared" si="50"/>
        <v>NÃO ENCONTRADO</v>
      </c>
      <c r="L31" s="78">
        <v>0.0</v>
      </c>
      <c r="M31" s="43"/>
      <c r="N31" s="72">
        <v>0.0</v>
      </c>
      <c r="O31" s="73" t="str">
        <f t="shared" si="51"/>
        <v>NÃO ENCONTRADO</v>
      </c>
      <c r="P31" s="74">
        <v>0.0</v>
      </c>
      <c r="Q31" s="43"/>
      <c r="R31" s="75">
        <v>0.0</v>
      </c>
      <c r="S31" s="76" t="str">
        <f t="shared" si="52"/>
        <v>NÃO ENCONTRADO</v>
      </c>
      <c r="T31" s="117">
        <v>0.0</v>
      </c>
      <c r="U31" s="43"/>
      <c r="V31" s="69">
        <v>8523.0</v>
      </c>
      <c r="W31" s="70" t="str">
        <f t="shared" si="53"/>
        <v>008523 - ROTISSERIA TULIPA BUFALO WINGS KG</v>
      </c>
      <c r="X31" s="71">
        <v>0.35</v>
      </c>
      <c r="Y31" s="43"/>
      <c r="Z31" s="80">
        <v>8396.0</v>
      </c>
      <c r="AA31" s="81" t="str">
        <f t="shared" si="41"/>
        <v>008396 - ROTISSERIA LAGARTO AO MOLHO MADEIRA BENDITO KG</v>
      </c>
      <c r="AB31" s="92">
        <v>0.0</v>
      </c>
      <c r="AD31" s="53" t="s">
        <v>38</v>
      </c>
      <c r="AE31" s="54" t="s">
        <v>11</v>
      </c>
      <c r="AF31" s="54">
        <v>7574.0</v>
      </c>
      <c r="AG31" s="55">
        <v>99.9</v>
      </c>
    </row>
    <row r="32" ht="14.25" customHeight="1">
      <c r="A32" s="51"/>
      <c r="B32" s="51"/>
      <c r="C32" s="52"/>
      <c r="D32" s="36"/>
      <c r="E32" s="36"/>
      <c r="F32" s="51"/>
      <c r="G32" s="51"/>
      <c r="H32" s="52"/>
      <c r="I32" s="39"/>
      <c r="J32" s="51"/>
      <c r="K32" s="51"/>
      <c r="L32" s="52"/>
      <c r="M32" s="43"/>
      <c r="N32" s="51"/>
      <c r="O32" s="51"/>
      <c r="P32" s="52"/>
      <c r="Q32" s="43"/>
      <c r="R32" s="51"/>
      <c r="S32" s="51"/>
      <c r="T32" s="52"/>
      <c r="U32" s="43"/>
      <c r="V32" s="69">
        <v>0.0</v>
      </c>
      <c r="W32" s="70" t="str">
        <f t="shared" si="53"/>
        <v>NÃO ENCONTRADO</v>
      </c>
      <c r="X32" s="71">
        <v>0.0</v>
      </c>
      <c r="Y32" s="43"/>
      <c r="AD32" s="31" t="s">
        <v>39</v>
      </c>
      <c r="AE32" s="32" t="s">
        <v>11</v>
      </c>
      <c r="AF32" s="32">
        <v>7575.0</v>
      </c>
      <c r="AG32" s="33">
        <v>79.9</v>
      </c>
    </row>
    <row r="33" ht="14.25" customHeight="1">
      <c r="A33" s="94">
        <v>9124.0</v>
      </c>
      <c r="B33" s="34" t="str">
        <f t="shared" ref="B33:B35" si="54">XLOOKUP(A33,AF$1:AF$1048568,AD$1:AD$1048568,"NÃO ENCONTRADO")</f>
        <v>009124 - ROTISSERIA HOT HOLL BENDITO UN</v>
      </c>
      <c r="C33" s="35">
        <v>1.0</v>
      </c>
      <c r="D33" s="36"/>
      <c r="E33" s="36"/>
      <c r="F33" s="94">
        <v>9123.0</v>
      </c>
      <c r="G33" s="34" t="str">
        <f t="array" ref="G33">XLOOKUP(F33,$AF$1:$AF$1048568,$AD$1:$AD$1048568,"NÃO ENCONTRADO")</f>
        <v>009123 - ROTISSERIA SUSHI KANI C/CREAM CHEESE BENDITO UN</v>
      </c>
      <c r="H33" s="35">
        <v>1.0</v>
      </c>
      <c r="I33" s="39"/>
      <c r="J33" s="91">
        <v>9124.0</v>
      </c>
      <c r="K33" s="41" t="str">
        <f t="shared" ref="K33:K35" si="55">XLOOKUP(J33,$AF$1:$AF$1048568,$AD$1:$AD$1048568,"NÃO ENCONTRADO")</f>
        <v>009124 - ROTISSERIA HOT HOLL BENDITO UN</v>
      </c>
      <c r="L33" s="50">
        <v>1.0</v>
      </c>
      <c r="M33" s="43"/>
      <c r="N33" s="94">
        <v>9123.0</v>
      </c>
      <c r="O33" s="45" t="str">
        <f t="shared" ref="O33:O35" si="56">XLOOKUP(N33,$AF$1:$AF$1048568,$AD$1:$AD$1048568,"NÃO ENCONTRADO")</f>
        <v>009123 - ROTISSERIA SUSHI KANI C/CREAM CHEESE BENDITO UN</v>
      </c>
      <c r="P33" s="46">
        <v>1.0</v>
      </c>
      <c r="Q33" s="43"/>
      <c r="R33" s="123">
        <v>9119.0</v>
      </c>
      <c r="S33" s="48" t="str">
        <f t="shared" ref="S33:S35" si="57">XLOOKUP(R33,$AF$1:$AF$1048568,$AD$1:$AD$1048568,"NÃO ENCONTRADO")</f>
        <v>009119 - ROTISSERIA CALIFORNIA BENDITO UN </v>
      </c>
      <c r="T33" s="99">
        <v>1.0</v>
      </c>
      <c r="U33" s="43"/>
      <c r="V33" s="69">
        <v>0.0</v>
      </c>
      <c r="W33" s="70" t="str">
        <f t="shared" si="53"/>
        <v>NÃO ENCONTRADO</v>
      </c>
      <c r="X33" s="71">
        <v>0.0</v>
      </c>
      <c r="Y33" s="43"/>
      <c r="AD33" s="53" t="s">
        <v>40</v>
      </c>
      <c r="AE33" s="54" t="s">
        <v>11</v>
      </c>
      <c r="AF33" s="54">
        <v>7576.0</v>
      </c>
      <c r="AG33" s="55">
        <v>79.9</v>
      </c>
    </row>
    <row r="34" ht="14.25" customHeight="1">
      <c r="A34" s="94">
        <v>9119.0</v>
      </c>
      <c r="B34" s="34" t="str">
        <f t="shared" si="54"/>
        <v>009119 - ROTISSERIA CALIFORNIA BENDITO UN </v>
      </c>
      <c r="C34" s="56">
        <v>1.0</v>
      </c>
      <c r="D34" s="36"/>
      <c r="E34" s="36"/>
      <c r="F34" s="94">
        <v>0.0</v>
      </c>
      <c r="G34" s="34" t="str">
        <f t="shared" ref="G34:G35" si="58">XLOOKUP(F34,AK:AK,AI:AI,"NÃO ENCONTRADO")</f>
        <v>NÃO ENCONTRADO</v>
      </c>
      <c r="H34" s="56">
        <v>0.0</v>
      </c>
      <c r="I34" s="39"/>
      <c r="J34" s="91">
        <v>9119.0</v>
      </c>
      <c r="K34" s="41" t="str">
        <f t="shared" si="55"/>
        <v>009119 - ROTISSERIA CALIFORNIA BENDITO UN </v>
      </c>
      <c r="L34" s="61">
        <v>1.0</v>
      </c>
      <c r="M34" s="43"/>
      <c r="N34" s="96">
        <v>0.0</v>
      </c>
      <c r="O34" s="45" t="str">
        <f t="shared" si="56"/>
        <v>NÃO ENCONTRADO</v>
      </c>
      <c r="P34" s="59">
        <v>1.0</v>
      </c>
      <c r="Q34" s="43"/>
      <c r="R34" s="123">
        <v>9124.0</v>
      </c>
      <c r="S34" s="48" t="str">
        <f t="shared" si="57"/>
        <v>009124 - ROTISSERIA HOT HOLL BENDITO UN</v>
      </c>
      <c r="T34" s="100">
        <v>1.0</v>
      </c>
      <c r="U34" s="43"/>
      <c r="V34" s="69">
        <v>0.0</v>
      </c>
      <c r="W34" s="70" t="str">
        <f t="shared" si="53"/>
        <v>NÃO ENCONTRADO</v>
      </c>
      <c r="X34" s="71">
        <v>0.0</v>
      </c>
      <c r="Y34" s="43"/>
      <c r="AD34" s="31" t="s">
        <v>41</v>
      </c>
      <c r="AE34" s="32" t="s">
        <v>11</v>
      </c>
      <c r="AF34" s="32">
        <v>8079.0</v>
      </c>
      <c r="AG34" s="33">
        <v>99.9</v>
      </c>
    </row>
    <row r="35" ht="14.25" customHeight="1">
      <c r="A35" s="88">
        <v>0.0</v>
      </c>
      <c r="B35" s="65" t="str">
        <f t="shared" si="54"/>
        <v>NÃO ENCONTRADO</v>
      </c>
      <c r="C35" s="66">
        <v>0.0</v>
      </c>
      <c r="D35" s="36"/>
      <c r="E35" s="36"/>
      <c r="F35" s="88">
        <v>0.0</v>
      </c>
      <c r="G35" s="65" t="str">
        <f t="shared" si="58"/>
        <v>NÃO ENCONTRADO</v>
      </c>
      <c r="H35" s="66">
        <v>0.0</v>
      </c>
      <c r="I35" s="39"/>
      <c r="J35" s="91">
        <v>0.0</v>
      </c>
      <c r="K35" s="70" t="str">
        <f t="shared" si="55"/>
        <v>NÃO ENCONTRADO</v>
      </c>
      <c r="L35" s="78">
        <v>0.0</v>
      </c>
      <c r="M35" s="43"/>
      <c r="N35" s="90">
        <v>0.0</v>
      </c>
      <c r="O35" s="73" t="str">
        <f t="shared" si="56"/>
        <v>NÃO ENCONTRADO</v>
      </c>
      <c r="P35" s="74">
        <v>0.0</v>
      </c>
      <c r="Q35" s="43"/>
      <c r="R35" s="124">
        <v>0.0</v>
      </c>
      <c r="S35" s="76" t="str">
        <f t="shared" si="57"/>
        <v>NÃO ENCONTRADO</v>
      </c>
      <c r="T35" s="117">
        <v>0.0</v>
      </c>
      <c r="U35" s="43"/>
      <c r="V35" s="69">
        <v>0.0</v>
      </c>
      <c r="W35" s="70" t="str">
        <f t="shared" si="53"/>
        <v>NÃO ENCONTRADO</v>
      </c>
      <c r="X35" s="71">
        <v>0.0</v>
      </c>
      <c r="Y35" s="43"/>
      <c r="AD35" s="53" t="s">
        <v>42</v>
      </c>
      <c r="AE35" s="54" t="s">
        <v>11</v>
      </c>
      <c r="AF35" s="54">
        <v>7580.0</v>
      </c>
      <c r="AG35" s="55">
        <v>79.9</v>
      </c>
    </row>
    <row r="36" ht="14.25" customHeight="1">
      <c r="A36" s="51"/>
      <c r="B36" s="51"/>
      <c r="C36" s="52"/>
      <c r="D36" s="36"/>
      <c r="E36" s="36"/>
      <c r="F36" s="51"/>
      <c r="G36" s="51"/>
      <c r="H36" s="52"/>
      <c r="I36" s="39"/>
      <c r="J36" s="51"/>
      <c r="K36" s="51"/>
      <c r="L36" s="52"/>
      <c r="M36" s="43"/>
      <c r="N36" s="51"/>
      <c r="O36" s="51"/>
      <c r="P36" s="52"/>
      <c r="Q36" s="43"/>
      <c r="R36" s="51"/>
      <c r="S36" s="51"/>
      <c r="T36" s="52"/>
      <c r="U36" s="43"/>
      <c r="V36" s="69">
        <v>0.0</v>
      </c>
      <c r="W36" s="70" t="str">
        <f t="shared" si="53"/>
        <v>NÃO ENCONTRADO</v>
      </c>
      <c r="X36" s="71">
        <v>0.0</v>
      </c>
      <c r="Y36" s="39"/>
      <c r="AD36" s="31" t="s">
        <v>43</v>
      </c>
      <c r="AE36" s="32" t="s">
        <v>8</v>
      </c>
      <c r="AF36" s="32">
        <v>7582.0</v>
      </c>
      <c r="AG36" s="33">
        <v>19.9</v>
      </c>
    </row>
    <row r="37" ht="14.25" customHeight="1">
      <c r="A37" s="94">
        <v>9129.0</v>
      </c>
      <c r="B37" s="34" t="str">
        <f t="shared" ref="B37:B39" si="59">XLOOKUP(A37,AF$1:AF$1048568,AD$1:AD$1048568,"NÃO ENCONTRADO")</f>
        <v>009129 - ROTISSERIA SALADA POKE DE SHIMEJI BENDITO UN</v>
      </c>
      <c r="C37" s="35">
        <v>1.0</v>
      </c>
      <c r="D37" s="36"/>
      <c r="E37" s="36"/>
      <c r="F37" s="94">
        <v>9289.0</v>
      </c>
      <c r="G37" s="34" t="str">
        <f t="shared" ref="G37:G39" si="60">XLOOKUP(F37,$AF$1:$AF$1048568,$AD$1:$AD$1048568,"NÃO ENCONTRADO")</f>
        <v>009289 - ROTISSERIA TEMAKI HOT SALMAO GRELAHADO</v>
      </c>
      <c r="H37" s="35">
        <v>1.0</v>
      </c>
      <c r="I37" s="39"/>
      <c r="J37" s="97">
        <v>0.0</v>
      </c>
      <c r="K37" s="41" t="str">
        <f t="shared" ref="K37:K39" si="61">XLOOKUP(J37,$AF$1:$AF$1048568,$AD$1:$AD$1048568,"NÃO ENCONTRADO")</f>
        <v>NÃO ENCONTRADO</v>
      </c>
      <c r="L37" s="42">
        <v>0.0</v>
      </c>
      <c r="M37" s="43"/>
      <c r="N37" s="96">
        <v>9289.0</v>
      </c>
      <c r="O37" s="45" t="str">
        <f t="shared" ref="O37:O39" si="62">XLOOKUP(N37,$AF$1:$AF$1048568,$AD$1:$AD$1048568,"NÃO ENCONTRADO")</f>
        <v>009289 - ROTISSERIA TEMAKI HOT SALMAO GRELAHADO</v>
      </c>
      <c r="P37" s="118">
        <v>0.0</v>
      </c>
      <c r="Q37" s="43"/>
      <c r="R37" s="123">
        <v>9129.0</v>
      </c>
      <c r="S37" s="48" t="str">
        <f t="shared" ref="S37:S39" si="63">XLOOKUP(R37,$AF$1:$AF$1048568,$AD$1:$AD$1048568,"NÃO ENCONTRADO")</f>
        <v>009129 - ROTISSERIA SALADA POKE DE SHIMEJI BENDITO UN</v>
      </c>
      <c r="T37" s="49">
        <v>0.0</v>
      </c>
      <c r="U37" s="43"/>
      <c r="V37" s="69">
        <v>0.0</v>
      </c>
      <c r="W37" s="70" t="str">
        <f t="shared" si="53"/>
        <v>NÃO ENCONTRADO</v>
      </c>
      <c r="X37" s="71">
        <v>0.0</v>
      </c>
      <c r="Y37" s="39"/>
      <c r="AD37" s="53" t="s">
        <v>44</v>
      </c>
      <c r="AE37" s="54" t="s">
        <v>8</v>
      </c>
      <c r="AF37" s="54">
        <v>7930.0</v>
      </c>
      <c r="AG37" s="55">
        <v>23.9</v>
      </c>
    </row>
    <row r="38" ht="14.25" customHeight="1">
      <c r="A38" s="94">
        <v>0.0</v>
      </c>
      <c r="B38" s="34" t="str">
        <f t="shared" si="59"/>
        <v>NÃO ENCONTRADO</v>
      </c>
      <c r="C38" s="56">
        <v>1.0</v>
      </c>
      <c r="D38" s="36"/>
      <c r="E38" s="36"/>
      <c r="F38" s="94">
        <v>0.0</v>
      </c>
      <c r="G38" s="34" t="str">
        <f t="shared" si="60"/>
        <v>NÃO ENCONTRADO</v>
      </c>
      <c r="H38" s="56">
        <v>0.0</v>
      </c>
      <c r="I38" s="39"/>
      <c r="J38" s="97">
        <v>0.0</v>
      </c>
      <c r="K38" s="41" t="str">
        <f t="shared" si="61"/>
        <v>NÃO ENCONTRADO</v>
      </c>
      <c r="L38" s="58">
        <v>0.0</v>
      </c>
      <c r="M38" s="43"/>
      <c r="N38" s="96">
        <v>0.0</v>
      </c>
      <c r="O38" s="45" t="str">
        <f t="shared" si="62"/>
        <v>NÃO ENCONTRADO</v>
      </c>
      <c r="P38" s="125">
        <v>0.0</v>
      </c>
      <c r="Q38" s="43"/>
      <c r="R38" s="123">
        <v>0.0</v>
      </c>
      <c r="S38" s="48" t="str">
        <f t="shared" si="63"/>
        <v>NÃO ENCONTRADO</v>
      </c>
      <c r="T38" s="60">
        <v>0.0</v>
      </c>
      <c r="U38" s="43"/>
      <c r="V38" s="27" t="s">
        <v>4</v>
      </c>
      <c r="W38" s="27" t="s">
        <v>5</v>
      </c>
      <c r="X38" s="28" t="s">
        <v>6</v>
      </c>
      <c r="Y38" s="39"/>
      <c r="AD38" s="31" t="s">
        <v>45</v>
      </c>
      <c r="AE38" s="32" t="s">
        <v>8</v>
      </c>
      <c r="AF38" s="32">
        <v>8948.0</v>
      </c>
      <c r="AG38" s="33">
        <v>23.9</v>
      </c>
    </row>
    <row r="39" ht="14.25" customHeight="1">
      <c r="A39" s="88">
        <v>90.0</v>
      </c>
      <c r="B39" s="65" t="str">
        <f t="shared" si="59"/>
        <v>NÃO ENCONTRADO</v>
      </c>
      <c r="C39" s="66">
        <v>0.0</v>
      </c>
      <c r="D39" s="36"/>
      <c r="E39" s="36"/>
      <c r="F39" s="88">
        <v>0.0</v>
      </c>
      <c r="G39" s="34" t="str">
        <f t="shared" si="60"/>
        <v>NÃO ENCONTRADO</v>
      </c>
      <c r="H39" s="66">
        <v>0.0</v>
      </c>
      <c r="I39" s="39"/>
      <c r="J39" s="91">
        <v>0.0</v>
      </c>
      <c r="K39" s="41" t="str">
        <f t="shared" si="61"/>
        <v>NÃO ENCONTRADO</v>
      </c>
      <c r="L39" s="71">
        <v>0.0</v>
      </c>
      <c r="M39" s="43"/>
      <c r="N39" s="90">
        <v>0.0</v>
      </c>
      <c r="O39" s="45" t="str">
        <f t="shared" si="62"/>
        <v>NÃO ENCONTRADO</v>
      </c>
      <c r="P39" s="119">
        <v>0.0</v>
      </c>
      <c r="Q39" s="43"/>
      <c r="R39" s="124">
        <v>0.0</v>
      </c>
      <c r="S39" s="48" t="str">
        <f t="shared" si="63"/>
        <v>NÃO ENCONTRADO</v>
      </c>
      <c r="T39" s="77">
        <v>0.0</v>
      </c>
      <c r="U39" s="43"/>
      <c r="V39" s="40">
        <v>8963.0</v>
      </c>
      <c r="W39" s="41" t="str">
        <f t="shared" ref="W39:W41" si="64">XLOOKUP(V39,$AF$1:$AF$1048568,$AD$1:$AD$1048568,"NÃO ENCONTRADO")</f>
        <v>008963 - ROTISSERIA SALADA CEASER C/FRANGO BENDITO</v>
      </c>
      <c r="X39" s="50">
        <v>1.0</v>
      </c>
      <c r="Y39" s="39"/>
      <c r="AD39" s="53" t="s">
        <v>46</v>
      </c>
      <c r="AE39" s="54" t="s">
        <v>8</v>
      </c>
      <c r="AF39" s="54">
        <v>7590.0</v>
      </c>
      <c r="AG39" s="55">
        <v>19.9</v>
      </c>
    </row>
    <row r="40" ht="14.25" customHeight="1">
      <c r="A40" s="15" t="s">
        <v>4</v>
      </c>
      <c r="B40" s="15" t="s">
        <v>5</v>
      </c>
      <c r="C40" s="126" t="s">
        <v>6</v>
      </c>
      <c r="D40" s="20"/>
      <c r="E40" s="20" t="s">
        <v>47</v>
      </c>
      <c r="F40" s="18" t="s">
        <v>4</v>
      </c>
      <c r="G40" s="18" t="s">
        <v>5</v>
      </c>
      <c r="H40" s="19" t="s">
        <v>6</v>
      </c>
      <c r="J40" s="21" t="s">
        <v>4</v>
      </c>
      <c r="K40" s="21" t="s">
        <v>5</v>
      </c>
      <c r="L40" s="22" t="s">
        <v>6</v>
      </c>
      <c r="M40" s="43"/>
      <c r="N40" s="23" t="s">
        <v>4</v>
      </c>
      <c r="O40" s="23" t="s">
        <v>5</v>
      </c>
      <c r="P40" s="24" t="s">
        <v>6</v>
      </c>
      <c r="Q40" s="43"/>
      <c r="R40" s="25" t="s">
        <v>4</v>
      </c>
      <c r="S40" s="25" t="s">
        <v>5</v>
      </c>
      <c r="T40" s="26" t="s">
        <v>6</v>
      </c>
      <c r="U40" s="43"/>
      <c r="V40" s="40">
        <v>0.0</v>
      </c>
      <c r="W40" s="41" t="str">
        <f t="shared" si="64"/>
        <v>NÃO ENCONTRADO</v>
      </c>
      <c r="X40" s="61">
        <v>0.0</v>
      </c>
      <c r="Y40" s="39"/>
      <c r="AD40" s="31" t="s">
        <v>48</v>
      </c>
      <c r="AE40" s="32" t="s">
        <v>8</v>
      </c>
      <c r="AF40" s="32">
        <v>7602.0</v>
      </c>
      <c r="AG40" s="33">
        <v>19.9</v>
      </c>
    </row>
    <row r="41" ht="14.25" customHeight="1">
      <c r="A41" s="88">
        <v>8307.0</v>
      </c>
      <c r="B41" s="65" t="str">
        <f t="shared" ref="B41:B42" si="65">XLOOKUP(A41,AF$1:AF$1048568,AD$1:AD$1048568,"NÃO ENCONTRADO")</f>
        <v>008307 - ROTISSERIA ESCONDIDINHO DE CARNE SECA BENDITO KG</v>
      </c>
      <c r="C41" s="83">
        <v>0.45</v>
      </c>
      <c r="D41" s="36"/>
      <c r="E41" s="36"/>
      <c r="F41" s="88">
        <v>6878.0</v>
      </c>
      <c r="G41" s="34" t="str">
        <f t="shared" ref="G41:G42" si="66">XLOOKUP(F41,$AF$1:$AF$1048568,$AD$1:$AD$1048568,"NÃO ENCONTRADO")</f>
        <v>006878 - ROT REFRIGERADO PANQUECA FRANGO C/CATUPIRY KG</v>
      </c>
      <c r="H41" s="83">
        <v>0.25</v>
      </c>
      <c r="I41" s="39"/>
      <c r="J41" s="88">
        <v>8400.0</v>
      </c>
      <c r="K41" s="41" t="str">
        <f t="shared" ref="K41:K42" si="67">XLOOKUP(J41,$AF$1:$AF$1048568,$AD$1:$AD$1048568,"NÃO ENCONTRADO")</f>
        <v>008400 - ROTISSERIA LASANHA A BOLONHESA BENDITO  KG</v>
      </c>
      <c r="L41" s="84">
        <v>0.4</v>
      </c>
      <c r="M41" s="43"/>
      <c r="N41" s="88">
        <v>8571.0</v>
      </c>
      <c r="O41" s="45" t="str">
        <f t="shared" ref="O41:O42" si="68">XLOOKUP(N41,$AF$1:$AF$1048568,$AD$1:$AD$1048568,"NÃO ENCONTRADO")</f>
        <v>008571 - ROTISSERIA POLENTA AO MOLHO CARNE MOIDA BENDITO KG</v>
      </c>
      <c r="P41" s="85">
        <v>0.45</v>
      </c>
      <c r="Q41" s="43"/>
      <c r="R41" s="88">
        <v>8400.0</v>
      </c>
      <c r="S41" s="48" t="str">
        <f t="shared" ref="S41:S44" si="69">XLOOKUP(R41,$AF$1:$AF$1048568,$AD$1:$AD$1048568,"NÃO ENCONTRADO")</f>
        <v>008400 - ROTISSERIA LASANHA A BOLONHESA BENDITO  KG</v>
      </c>
      <c r="T41" s="127">
        <v>0.45</v>
      </c>
      <c r="U41" s="43"/>
      <c r="V41" s="69">
        <v>0.0</v>
      </c>
      <c r="W41" s="70" t="str">
        <f t="shared" si="64"/>
        <v>NÃO ENCONTRADO</v>
      </c>
      <c r="X41" s="78">
        <v>0.0</v>
      </c>
      <c r="Y41" s="39"/>
      <c r="AD41" s="53" t="s">
        <v>49</v>
      </c>
      <c r="AE41" s="54" t="s">
        <v>8</v>
      </c>
      <c r="AF41" s="54">
        <v>7606.0</v>
      </c>
      <c r="AG41" s="55">
        <v>23.9</v>
      </c>
    </row>
    <row r="42" ht="14.25" customHeight="1">
      <c r="A42" s="88">
        <v>8316.0</v>
      </c>
      <c r="B42" s="65" t="str">
        <f t="shared" si="65"/>
        <v>008316 - ROTISSERIA ESCONDIDINHO FRANGO BENDITO KG</v>
      </c>
      <c r="C42" s="66">
        <v>0.45</v>
      </c>
      <c r="D42" s="36"/>
      <c r="E42" s="36"/>
      <c r="F42" s="88">
        <v>6879.0</v>
      </c>
      <c r="G42" s="34" t="str">
        <f t="shared" si="66"/>
        <v>006879 - ROT REFRIGERADO PANQUECA DE CARNE AO POMODORO</v>
      </c>
      <c r="H42" s="66">
        <v>0.25</v>
      </c>
      <c r="I42" s="39"/>
      <c r="J42" s="88">
        <v>8316.0</v>
      </c>
      <c r="K42" s="41" t="str">
        <f t="shared" si="67"/>
        <v>008316 - ROTISSERIA ESCONDIDINHO FRANGO BENDITO KG</v>
      </c>
      <c r="L42" s="71">
        <v>0.4</v>
      </c>
      <c r="N42" s="88">
        <v>6878.0</v>
      </c>
      <c r="O42" s="45" t="str">
        <f t="shared" si="68"/>
        <v>006878 - ROT REFRIGERADO PANQUECA FRANGO C/CATUPIRY KG</v>
      </c>
      <c r="P42" s="74">
        <v>0.45</v>
      </c>
      <c r="R42" s="88">
        <v>8316.0</v>
      </c>
      <c r="S42" s="48" t="str">
        <f t="shared" si="69"/>
        <v>008316 - ROTISSERIA ESCONDIDINHO FRANGO BENDITO KG</v>
      </c>
      <c r="T42" s="117">
        <v>0.45</v>
      </c>
      <c r="V42" s="51"/>
      <c r="W42" s="51"/>
      <c r="X42" s="52"/>
      <c r="AD42" s="31" t="s">
        <v>50</v>
      </c>
      <c r="AE42" s="32" t="s">
        <v>8</v>
      </c>
      <c r="AF42" s="32">
        <v>7608.0</v>
      </c>
      <c r="AG42" s="33">
        <v>29.9</v>
      </c>
    </row>
    <row r="43" ht="14.25" customHeight="1">
      <c r="A43" s="88"/>
      <c r="B43" s="65"/>
      <c r="C43" s="66"/>
      <c r="D43" s="36"/>
      <c r="E43" s="36"/>
      <c r="F43" s="88"/>
      <c r="G43" s="34"/>
      <c r="H43" s="66"/>
      <c r="I43" s="39"/>
      <c r="J43" s="88"/>
      <c r="K43" s="41"/>
      <c r="L43" s="71"/>
      <c r="N43" s="88"/>
      <c r="O43" s="45"/>
      <c r="P43" s="74"/>
      <c r="R43" s="94">
        <v>6960.0</v>
      </c>
      <c r="S43" s="48" t="str">
        <f t="shared" si="69"/>
        <v>006960 - ROTISSERIA NHOQUE AO MOLHO SUGO KG</v>
      </c>
      <c r="T43" s="100">
        <v>0.45</v>
      </c>
      <c r="V43" s="51"/>
      <c r="W43" s="51"/>
      <c r="X43" s="52"/>
      <c r="AD43" s="31"/>
      <c r="AE43" s="32"/>
      <c r="AF43" s="32"/>
      <c r="AG43" s="33"/>
    </row>
    <row r="44" ht="14.25" customHeight="1">
      <c r="A44" s="88">
        <v>8333.0</v>
      </c>
      <c r="B44" s="65" t="str">
        <f t="shared" ref="B44:B45" si="70">XLOOKUP(A44,AF$1:AF$1048568,AD$1:AD$1048568,"NÃO ENCONTRADO")</f>
        <v>008333 - ROTISSERIA BATATA/RECHEADA  BROCOLIS E BACON</v>
      </c>
      <c r="C44" s="66">
        <v>0.35</v>
      </c>
      <c r="D44" s="36"/>
      <c r="E44" s="36"/>
      <c r="F44" s="88">
        <v>2771.0</v>
      </c>
      <c r="G44" s="34" t="str">
        <f t="shared" ref="G44:G46" si="71">XLOOKUP(F44,$AF$1:$AF$1048568,$AD$1:$AD$1048568,"NÃO ENCONTRADO")</f>
        <v>002771 - ROT REFRIGERADO PANQUECA PRESUNTO MUSSARELA KG</v>
      </c>
      <c r="H44" s="66">
        <v>0.25</v>
      </c>
      <c r="I44" s="39"/>
      <c r="J44" s="88">
        <v>6960.0</v>
      </c>
      <c r="K44" s="70" t="str">
        <f t="array" ref="K44">XLOOKUP(J44,$AF$1:$AF$1048568,$AD$1:$AD$1048568,"NÃO ENCONTRADO")</f>
        <v>006960 - ROTISSERIA NHOQUE AO MOLHO SUGO KG</v>
      </c>
      <c r="L44" s="71">
        <v>0.4</v>
      </c>
      <c r="N44" s="88">
        <v>8333.0</v>
      </c>
      <c r="O44" s="73" t="str">
        <f t="array" ref="O44">XLOOKUP(N44,$AF$1:$AF$1048568,$AD$1:$AD$1048568,"NÃO ENCONTRADO")</f>
        <v>008333 - ROTISSERIA BATATA/RECHEADA  BROCOLIS E BACON</v>
      </c>
      <c r="P44" s="74">
        <v>0.45</v>
      </c>
      <c r="R44" s="128">
        <v>8663.0</v>
      </c>
      <c r="S44" s="128" t="str">
        <f t="shared" si="69"/>
        <v>008663 - ROTISSERIA RONDELE FRANGO REQUEIJAO BENDITO KG</v>
      </c>
      <c r="T44" s="129"/>
      <c r="V44" s="97">
        <v>9123.0</v>
      </c>
      <c r="W44" s="41" t="str">
        <f t="shared" ref="W44:W46" si="72">XLOOKUP(V44,$AF$1:$AF$1048568,$AD$1:$AD$1048568,"NÃO ENCONTRADO")</f>
        <v>009123 - ROTISSERIA SUSHI KANI C/CREAM CHEESE BENDITO UN</v>
      </c>
      <c r="X44" s="50">
        <v>1.0</v>
      </c>
      <c r="AD44" s="53" t="s">
        <v>51</v>
      </c>
      <c r="AE44" s="54" t="s">
        <v>8</v>
      </c>
      <c r="AF44" s="54">
        <v>7607.0</v>
      </c>
      <c r="AG44" s="55">
        <v>19.9</v>
      </c>
    </row>
    <row r="45" ht="14.25" customHeight="1">
      <c r="A45" s="88">
        <v>8332.0</v>
      </c>
      <c r="B45" s="65" t="str">
        <f t="shared" si="70"/>
        <v>008332 - ROTISSERIA BATATA/RECHEADA  FRANGO C/ REQUEIJAO</v>
      </c>
      <c r="C45" s="66">
        <v>0.35</v>
      </c>
      <c r="D45" s="36"/>
      <c r="E45" s="36"/>
      <c r="F45" s="88">
        <v>9067.0</v>
      </c>
      <c r="G45" s="34" t="str">
        <f t="shared" si="71"/>
        <v>009067 - ROTISSERIA PANQUECA MASSA ESPINAFRE C/PALMITO BENDITO KG</v>
      </c>
      <c r="H45" s="66">
        <v>0.25</v>
      </c>
      <c r="I45" s="39"/>
      <c r="J45" s="51"/>
      <c r="K45" s="51"/>
      <c r="L45" s="52"/>
      <c r="N45" s="130"/>
      <c r="O45" s="51"/>
      <c r="P45" s="52"/>
      <c r="R45" s="51"/>
      <c r="S45" s="51"/>
      <c r="T45" s="52"/>
      <c r="V45" s="97">
        <v>9124.0</v>
      </c>
      <c r="W45" s="41" t="str">
        <f t="shared" si="72"/>
        <v>009124 - ROTISSERIA HOT HOLL BENDITO UN</v>
      </c>
      <c r="X45" s="61">
        <v>1.0</v>
      </c>
      <c r="AD45" s="31" t="s">
        <v>52</v>
      </c>
      <c r="AE45" s="32" t="s">
        <v>8</v>
      </c>
      <c r="AF45" s="32">
        <v>7609.0</v>
      </c>
      <c r="AG45" s="33">
        <v>26.9</v>
      </c>
    </row>
    <row r="46" ht="14.25" customHeight="1">
      <c r="A46" s="51"/>
      <c r="B46" s="51"/>
      <c r="C46" s="52"/>
      <c r="D46" s="36"/>
      <c r="E46" s="36"/>
      <c r="F46" s="65">
        <v>9075.0</v>
      </c>
      <c r="G46" s="65" t="str">
        <f t="shared" si="71"/>
        <v>009075 - ROTISSERIA PANQUECA MASSA ESPINAFRE FRAN.CREAM.BENDITO KG</v>
      </c>
      <c r="H46" s="83">
        <v>0.25</v>
      </c>
      <c r="I46" s="39"/>
      <c r="J46" s="88">
        <v>7575.0</v>
      </c>
      <c r="K46" s="41" t="str">
        <f t="shared" ref="K46:K49" si="73">XLOOKUP(J46,$AF$1:$AF$1048568,$AD$1:$AD$1048568,"NÃO ENCONTRADO")</f>
        <v>007575 - PATE DE AZEITONA VERDE BENDITO KG</v>
      </c>
      <c r="L46" s="87">
        <v>0.15</v>
      </c>
      <c r="N46" s="90">
        <v>7570.0</v>
      </c>
      <c r="O46" s="45" t="str">
        <f t="shared" ref="O46:O49" si="74">XLOOKUP(N46,$AF$1:$AF$1048568,$AD$1:$AD$1048568,"NÃO ENCONTRADO")</f>
        <v>007570 - MOLHO PESTO BENDITO KG</v>
      </c>
      <c r="P46" s="85">
        <v>4.0</v>
      </c>
      <c r="R46" s="124">
        <v>0.0</v>
      </c>
      <c r="S46" s="48" t="str">
        <f t="shared" ref="S46:S49" si="75">XLOOKUP(R46,$AF$1:$AF$1048568,$AD$1:$AD$1048568,"NÃO ENCONTRADO")</f>
        <v>NÃO ENCONTRADO</v>
      </c>
      <c r="T46" s="127">
        <v>4.0</v>
      </c>
      <c r="V46" s="91">
        <v>0.0</v>
      </c>
      <c r="W46" s="70" t="str">
        <f t="shared" si="72"/>
        <v>NÃO ENCONTRADO</v>
      </c>
      <c r="X46" s="78">
        <v>0.0</v>
      </c>
      <c r="AD46" s="53" t="s">
        <v>53</v>
      </c>
      <c r="AE46" s="54" t="s">
        <v>8</v>
      </c>
      <c r="AF46" s="54">
        <v>7610.0</v>
      </c>
      <c r="AG46" s="55">
        <v>25.9</v>
      </c>
    </row>
    <row r="47" ht="14.25" customHeight="1">
      <c r="A47" s="88">
        <v>8386.0</v>
      </c>
      <c r="B47" s="65" t="str">
        <f t="shared" ref="B47:B50" si="76">XLOOKUP(A47,AF$1:AF$1048568,AD$1:AD$1048568,"NÃO ENCONTRADO")</f>
        <v>008386 - ROTISSERIA GELEIA DE PIMENTA BENDITO KG </v>
      </c>
      <c r="C47" s="83">
        <v>0.12</v>
      </c>
      <c r="D47" s="36"/>
      <c r="E47" s="36"/>
      <c r="F47" s="51"/>
      <c r="G47" s="51"/>
      <c r="H47" s="52"/>
      <c r="I47" s="39"/>
      <c r="J47" s="88">
        <v>7576.0</v>
      </c>
      <c r="K47" s="41" t="str">
        <f t="shared" si="73"/>
        <v>007576 - PATE DE GORGONZOLA BENDITO KG </v>
      </c>
      <c r="L47" s="78">
        <v>0.15</v>
      </c>
      <c r="N47" s="90">
        <v>0.0</v>
      </c>
      <c r="O47" s="45" t="str">
        <f t="shared" si="74"/>
        <v>NÃO ENCONTRADO</v>
      </c>
      <c r="P47" s="74">
        <v>5.0</v>
      </c>
      <c r="R47" s="124">
        <v>0.0</v>
      </c>
      <c r="S47" s="48" t="str">
        <f t="shared" si="75"/>
        <v>NÃO ENCONTRADO</v>
      </c>
      <c r="T47" s="117">
        <v>5.0</v>
      </c>
      <c r="V47" s="51"/>
      <c r="W47" s="51"/>
      <c r="X47" s="52"/>
      <c r="AD47" s="31" t="s">
        <v>54</v>
      </c>
      <c r="AE47" s="32" t="s">
        <v>8</v>
      </c>
      <c r="AF47" s="32">
        <v>7621.0</v>
      </c>
      <c r="AG47" s="33">
        <v>21.9</v>
      </c>
    </row>
    <row r="48" ht="14.25" customHeight="1">
      <c r="A48" s="88">
        <v>8551.0</v>
      </c>
      <c r="B48" s="65" t="str">
        <f t="shared" si="76"/>
        <v>008551 - ROTISSERIA PATE ALHO BENDITO KG</v>
      </c>
      <c r="C48" s="66">
        <v>0.12</v>
      </c>
      <c r="D48" s="36"/>
      <c r="E48" s="36"/>
      <c r="F48" s="88">
        <v>0.0</v>
      </c>
      <c r="G48" s="37" t="str">
        <f t="shared" ref="G48:G51" si="77">XLOOKUP(F48,AK:AK,AI:AI,"NÃO ENCONTRADO")</f>
        <v>NÃO ENCONTRADO</v>
      </c>
      <c r="H48" s="89">
        <v>0.0</v>
      </c>
      <c r="I48" s="39"/>
      <c r="J48" s="88">
        <v>8079.0</v>
      </c>
      <c r="K48" s="41" t="str">
        <f t="shared" si="73"/>
        <v>008079 - PATE DE NOZES BENDITO KG </v>
      </c>
      <c r="L48" s="78">
        <v>0.15</v>
      </c>
      <c r="N48" s="90">
        <v>0.0</v>
      </c>
      <c r="O48" s="45" t="str">
        <f t="shared" si="74"/>
        <v>NÃO ENCONTRADO</v>
      </c>
      <c r="P48" s="74">
        <v>6.0</v>
      </c>
      <c r="R48" s="124">
        <v>0.0</v>
      </c>
      <c r="S48" s="48" t="str">
        <f t="shared" si="75"/>
        <v>NÃO ENCONTRADO</v>
      </c>
      <c r="T48" s="117">
        <v>6.0</v>
      </c>
      <c r="V48" s="97">
        <v>0.0</v>
      </c>
      <c r="W48" s="41" t="str">
        <f t="shared" ref="W48:W50" si="78">XLOOKUP(V48,$AF$1:$AF$1048568,$AD$1:$AD$1048568,"NÃO ENCONTRADO")</f>
        <v>NÃO ENCONTRADO</v>
      </c>
      <c r="X48" s="42">
        <v>0.0</v>
      </c>
      <c r="AD48" s="53" t="s">
        <v>55</v>
      </c>
      <c r="AE48" s="54" t="s">
        <v>8</v>
      </c>
      <c r="AF48" s="54">
        <v>7625.0</v>
      </c>
      <c r="AG48" s="55">
        <v>24.9</v>
      </c>
    </row>
    <row r="49" ht="14.25" customHeight="1">
      <c r="A49" s="88">
        <v>8498.0</v>
      </c>
      <c r="B49" s="65" t="str">
        <f t="shared" si="76"/>
        <v>008498 - ROTISSERIA MOLHO PIMENTA ARTESANAL BENDITO KG</v>
      </c>
      <c r="C49" s="66">
        <v>0.12</v>
      </c>
      <c r="D49" s="36"/>
      <c r="E49" s="36"/>
      <c r="F49" s="88">
        <v>0.0</v>
      </c>
      <c r="G49" s="37" t="str">
        <f t="shared" si="77"/>
        <v>NÃO ENCONTRADO</v>
      </c>
      <c r="H49" s="68">
        <v>0.0</v>
      </c>
      <c r="I49" s="39"/>
      <c r="J49" s="91">
        <v>7574.0</v>
      </c>
      <c r="K49" s="70" t="str">
        <f t="shared" si="73"/>
        <v>007574 - PATE DE AZEITONA PRETA BENDITO KG </v>
      </c>
      <c r="L49" s="78">
        <v>0.15</v>
      </c>
      <c r="N49" s="90">
        <v>0.0</v>
      </c>
      <c r="O49" s="73" t="str">
        <f t="shared" si="74"/>
        <v>NÃO ENCONTRADO</v>
      </c>
      <c r="P49" s="74">
        <v>7.0</v>
      </c>
      <c r="R49" s="124">
        <v>0.0</v>
      </c>
      <c r="S49" s="76" t="str">
        <f t="shared" si="75"/>
        <v>NÃO ENCONTRADO</v>
      </c>
      <c r="T49" s="117">
        <v>7.0</v>
      </c>
      <c r="V49" s="97">
        <v>0.0</v>
      </c>
      <c r="W49" s="41" t="str">
        <f t="shared" si="78"/>
        <v>NÃO ENCONTRADO</v>
      </c>
      <c r="X49" s="58">
        <v>0.0</v>
      </c>
      <c r="AD49" s="31" t="s">
        <v>56</v>
      </c>
      <c r="AE49" s="32" t="s">
        <v>8</v>
      </c>
      <c r="AF49" s="32">
        <v>359993.0</v>
      </c>
      <c r="AG49" s="33">
        <v>19.9</v>
      </c>
    </row>
    <row r="50" ht="14.25" customHeight="1">
      <c r="A50" s="88">
        <v>0.0</v>
      </c>
      <c r="B50" s="65" t="str">
        <f t="shared" si="76"/>
        <v>NÃO ENCONTRADO</v>
      </c>
      <c r="C50" s="66">
        <v>0.0</v>
      </c>
      <c r="D50" s="51"/>
      <c r="E50" s="51"/>
      <c r="F50" s="88">
        <v>0.0</v>
      </c>
      <c r="G50" s="37" t="str">
        <f t="shared" si="77"/>
        <v>NÃO ENCONTRADO</v>
      </c>
      <c r="H50" s="68">
        <v>0.0</v>
      </c>
      <c r="V50" s="91">
        <v>0.0</v>
      </c>
      <c r="W50" s="41" t="str">
        <f t="shared" si="78"/>
        <v>NÃO ENCONTRADO</v>
      </c>
      <c r="X50" s="71">
        <v>0.0</v>
      </c>
      <c r="AD50" s="53" t="s">
        <v>57</v>
      </c>
      <c r="AE50" s="54" t="s">
        <v>8</v>
      </c>
      <c r="AF50" s="54">
        <v>7623.0</v>
      </c>
      <c r="AG50" s="55">
        <v>22.9</v>
      </c>
    </row>
    <row r="51" ht="14.25" customHeight="1">
      <c r="D51" s="51"/>
      <c r="E51" s="51"/>
      <c r="F51" s="88">
        <v>0.0</v>
      </c>
      <c r="G51" s="67" t="str">
        <f t="shared" si="77"/>
        <v>NÃO ENCONTRADO</v>
      </c>
      <c r="H51" s="68">
        <v>0.0</v>
      </c>
      <c r="V51" s="27" t="s">
        <v>4</v>
      </c>
      <c r="W51" s="27" t="s">
        <v>5</v>
      </c>
      <c r="X51" s="28" t="s">
        <v>6</v>
      </c>
      <c r="AD51" s="31" t="s">
        <v>58</v>
      </c>
      <c r="AE51" s="32" t="s">
        <v>8</v>
      </c>
      <c r="AF51" s="32">
        <v>359986.0</v>
      </c>
      <c r="AG51" s="33">
        <v>25.9</v>
      </c>
    </row>
    <row r="52" ht="14.25" customHeight="1">
      <c r="D52" s="51"/>
      <c r="E52" s="51"/>
      <c r="V52" s="91">
        <v>0.0</v>
      </c>
      <c r="W52" s="41" t="str">
        <f t="shared" ref="W52:W54" si="79">XLOOKUP(V52,$AF$1:$AF$1048568,$AD$1:$AD$1048568,"NÃO ENCONTRADO")</f>
        <v>NÃO ENCONTRADO</v>
      </c>
      <c r="X52" s="87">
        <v>0.0</v>
      </c>
      <c r="AD52" s="53" t="s">
        <v>59</v>
      </c>
      <c r="AE52" s="54" t="s">
        <v>8</v>
      </c>
      <c r="AF52" s="54">
        <v>7628.0</v>
      </c>
      <c r="AG52" s="55">
        <v>24.9</v>
      </c>
    </row>
    <row r="53" ht="14.25" customHeight="1">
      <c r="D53" s="51"/>
      <c r="E53" s="51"/>
      <c r="V53" s="91">
        <v>0.0</v>
      </c>
      <c r="W53" s="41" t="str">
        <f t="shared" si="79"/>
        <v>NÃO ENCONTRADO</v>
      </c>
      <c r="X53" s="78">
        <v>1.0</v>
      </c>
      <c r="AD53" s="31" t="s">
        <v>60</v>
      </c>
      <c r="AE53" s="32" t="s">
        <v>8</v>
      </c>
      <c r="AF53" s="32">
        <v>7646.0</v>
      </c>
      <c r="AG53" s="33">
        <v>24.9</v>
      </c>
    </row>
    <row r="54" ht="14.25" customHeight="1">
      <c r="D54" s="51"/>
      <c r="E54" s="51"/>
      <c r="V54" s="91">
        <v>0.0</v>
      </c>
      <c r="W54" s="70" t="str">
        <f t="shared" si="79"/>
        <v>NÃO ENCONTRADO</v>
      </c>
      <c r="X54" s="78">
        <v>2.0</v>
      </c>
      <c r="AD54" s="53" t="s">
        <v>61</v>
      </c>
      <c r="AE54" s="54" t="s">
        <v>8</v>
      </c>
      <c r="AF54" s="54">
        <v>7647.0</v>
      </c>
      <c r="AG54" s="55">
        <v>19.9</v>
      </c>
    </row>
    <row r="55" ht="14.25" customHeight="1">
      <c r="D55" s="51"/>
      <c r="E55" s="51"/>
      <c r="V55" s="51"/>
      <c r="W55" s="51"/>
      <c r="X55" s="52"/>
      <c r="AD55" s="31" t="s">
        <v>62</v>
      </c>
      <c r="AE55" s="32" t="s">
        <v>8</v>
      </c>
      <c r="AF55" s="32">
        <v>7652.0</v>
      </c>
      <c r="AG55" s="33">
        <v>19.9</v>
      </c>
    </row>
    <row r="56" ht="14.25" customHeight="1">
      <c r="D56" s="51"/>
      <c r="E56" s="51"/>
      <c r="V56" s="91">
        <v>0.0</v>
      </c>
      <c r="W56" s="41" t="str">
        <f t="shared" ref="W56:W59" si="80">XLOOKUP(V56,$AF$1:$AF$1048568,$AD$1:$AD$1048568,"NÃO ENCONTRADO")</f>
        <v>NÃO ENCONTRADO</v>
      </c>
      <c r="X56" s="87">
        <v>4.0</v>
      </c>
      <c r="AD56" s="53" t="s">
        <v>63</v>
      </c>
      <c r="AE56" s="54" t="s">
        <v>8</v>
      </c>
      <c r="AF56" s="54">
        <v>7653.0</v>
      </c>
      <c r="AG56" s="55">
        <v>21.9</v>
      </c>
    </row>
    <row r="57" ht="14.25" customHeight="1">
      <c r="D57" s="51"/>
      <c r="E57" s="51"/>
      <c r="V57" s="91">
        <v>0.0</v>
      </c>
      <c r="W57" s="41" t="str">
        <f t="shared" si="80"/>
        <v>NÃO ENCONTRADO</v>
      </c>
      <c r="X57" s="78">
        <v>5.0</v>
      </c>
      <c r="AD57" s="31" t="s">
        <v>64</v>
      </c>
      <c r="AE57" s="32" t="s">
        <v>8</v>
      </c>
      <c r="AF57" s="32">
        <v>7660.0</v>
      </c>
      <c r="AG57" s="33">
        <v>25.9</v>
      </c>
    </row>
    <row r="58" ht="14.25" customHeight="1">
      <c r="D58" s="51"/>
      <c r="E58" s="51"/>
      <c r="V58" s="91">
        <v>0.0</v>
      </c>
      <c r="W58" s="41" t="str">
        <f t="shared" si="80"/>
        <v>NÃO ENCONTRADO</v>
      </c>
      <c r="X58" s="78">
        <v>6.0</v>
      </c>
      <c r="AD58" s="53" t="s">
        <v>65</v>
      </c>
      <c r="AE58" s="54" t="s">
        <v>8</v>
      </c>
      <c r="AF58" s="54">
        <v>7661.0</v>
      </c>
      <c r="AG58" s="55">
        <v>21.9</v>
      </c>
    </row>
    <row r="59" ht="14.25" customHeight="1">
      <c r="D59" s="51"/>
      <c r="E59" s="51"/>
      <c r="V59" s="91">
        <v>0.0</v>
      </c>
      <c r="W59" s="70" t="str">
        <f t="shared" si="80"/>
        <v>NÃO ENCONTRADO</v>
      </c>
      <c r="X59" s="78">
        <v>7.0</v>
      </c>
      <c r="AD59" s="31" t="s">
        <v>66</v>
      </c>
      <c r="AE59" s="32" t="s">
        <v>8</v>
      </c>
      <c r="AF59" s="32">
        <v>7663.0</v>
      </c>
      <c r="AG59" s="33">
        <v>19.9</v>
      </c>
    </row>
    <row r="60" ht="14.25" customHeight="1">
      <c r="D60" s="51"/>
      <c r="E60" s="51"/>
      <c r="AD60" s="53" t="s">
        <v>67</v>
      </c>
      <c r="AE60" s="54" t="s">
        <v>8</v>
      </c>
      <c r="AF60" s="54">
        <v>7778.0</v>
      </c>
      <c r="AG60" s="55">
        <v>19.9</v>
      </c>
    </row>
    <row r="61" ht="14.25" customHeight="1">
      <c r="D61" s="51"/>
      <c r="E61" s="51"/>
      <c r="AD61" s="31" t="s">
        <v>68</v>
      </c>
      <c r="AE61" s="32" t="s">
        <v>8</v>
      </c>
      <c r="AF61" s="32">
        <v>7789.0</v>
      </c>
      <c r="AG61" s="33">
        <v>19.9</v>
      </c>
    </row>
    <row r="62" ht="14.25" customHeight="1">
      <c r="D62" s="51"/>
      <c r="E62" s="51"/>
      <c r="AD62" s="53" t="s">
        <v>69</v>
      </c>
      <c r="AE62" s="54" t="s">
        <v>8</v>
      </c>
      <c r="AF62" s="54">
        <v>7796.0</v>
      </c>
      <c r="AG62" s="55">
        <v>23.9</v>
      </c>
    </row>
    <row r="63" ht="14.25" customHeight="1">
      <c r="D63" s="51"/>
      <c r="E63" s="51"/>
      <c r="AD63" s="31" t="s">
        <v>70</v>
      </c>
      <c r="AE63" s="32" t="s">
        <v>8</v>
      </c>
      <c r="AF63" s="32">
        <v>7814.0</v>
      </c>
      <c r="AG63" s="33">
        <v>26.9</v>
      </c>
    </row>
    <row r="64" ht="14.25" customHeight="1">
      <c r="D64" s="51"/>
      <c r="E64" s="51"/>
      <c r="AD64" s="53" t="s">
        <v>71</v>
      </c>
      <c r="AE64" s="54" t="s">
        <v>8</v>
      </c>
      <c r="AF64" s="54">
        <v>7840.0</v>
      </c>
      <c r="AG64" s="55">
        <v>21.9</v>
      </c>
    </row>
    <row r="65" ht="14.25" customHeight="1">
      <c r="D65" s="51"/>
      <c r="E65" s="51"/>
      <c r="AD65" s="31" t="s">
        <v>72</v>
      </c>
      <c r="AE65" s="32" t="s">
        <v>8</v>
      </c>
      <c r="AF65" s="32">
        <v>7845.0</v>
      </c>
      <c r="AG65" s="33">
        <v>21.9</v>
      </c>
    </row>
    <row r="66" ht="14.25" customHeight="1">
      <c r="D66" s="51"/>
      <c r="E66" s="51"/>
      <c r="AD66" s="53" t="s">
        <v>73</v>
      </c>
      <c r="AE66" s="54" t="s">
        <v>8</v>
      </c>
      <c r="AF66" s="54">
        <v>7860.0</v>
      </c>
      <c r="AG66" s="55">
        <v>21.9</v>
      </c>
    </row>
    <row r="67" ht="14.25" customHeight="1">
      <c r="D67" s="51"/>
      <c r="E67" s="51"/>
      <c r="AD67" s="31" t="s">
        <v>74</v>
      </c>
      <c r="AE67" s="32" t="s">
        <v>8</v>
      </c>
      <c r="AF67" s="32">
        <v>7863.0</v>
      </c>
      <c r="AG67" s="33">
        <v>24.9</v>
      </c>
    </row>
    <row r="68" ht="14.25" customHeight="1">
      <c r="D68" s="51"/>
      <c r="E68" s="51"/>
      <c r="AD68" s="53" t="s">
        <v>75</v>
      </c>
      <c r="AE68" s="54" t="s">
        <v>8</v>
      </c>
      <c r="AF68" s="54">
        <v>7867.0</v>
      </c>
      <c r="AG68" s="55">
        <v>23.9</v>
      </c>
    </row>
    <row r="69" ht="14.25" customHeight="1">
      <c r="D69" s="51"/>
      <c r="E69" s="51"/>
      <c r="AD69" s="31" t="s">
        <v>76</v>
      </c>
      <c r="AE69" s="32" t="s">
        <v>8</v>
      </c>
      <c r="AF69" s="32">
        <v>7874.0</v>
      </c>
      <c r="AG69" s="33">
        <v>24.9</v>
      </c>
    </row>
    <row r="70" ht="14.25" customHeight="1">
      <c r="D70" s="51"/>
      <c r="E70" s="51"/>
      <c r="AD70" s="53" t="s">
        <v>77</v>
      </c>
      <c r="AE70" s="54" t="s">
        <v>8</v>
      </c>
      <c r="AF70" s="54">
        <v>7875.0</v>
      </c>
      <c r="AG70" s="55">
        <v>23.9</v>
      </c>
    </row>
    <row r="71" ht="14.25" customHeight="1">
      <c r="D71" s="51"/>
      <c r="E71" s="51"/>
      <c r="AD71" s="31" t="s">
        <v>78</v>
      </c>
      <c r="AE71" s="32" t="s">
        <v>8</v>
      </c>
      <c r="AF71" s="32">
        <v>7876.0</v>
      </c>
      <c r="AG71" s="33">
        <v>29.9</v>
      </c>
    </row>
    <row r="72" ht="14.25" customHeight="1">
      <c r="D72" s="51"/>
      <c r="E72" s="51"/>
      <c r="AD72" s="53" t="s">
        <v>79</v>
      </c>
      <c r="AE72" s="54" t="s">
        <v>8</v>
      </c>
      <c r="AF72" s="54">
        <v>360104.0</v>
      </c>
      <c r="AG72" s="55">
        <v>29.9</v>
      </c>
    </row>
    <row r="73" ht="14.25" customHeight="1">
      <c r="D73" s="51"/>
      <c r="E73" s="51"/>
      <c r="AD73" s="31" t="s">
        <v>80</v>
      </c>
      <c r="AE73" s="32" t="s">
        <v>8</v>
      </c>
      <c r="AF73" s="32">
        <v>7877.0</v>
      </c>
      <c r="AG73" s="33">
        <v>24.9</v>
      </c>
    </row>
    <row r="74" ht="14.25" customHeight="1">
      <c r="D74" s="51"/>
      <c r="E74" s="51"/>
      <c r="AD74" s="53" t="s">
        <v>81</v>
      </c>
      <c r="AE74" s="54" t="s">
        <v>8</v>
      </c>
      <c r="AF74" s="54">
        <v>7884.0</v>
      </c>
      <c r="AG74" s="55">
        <v>25.9</v>
      </c>
    </row>
    <row r="75" ht="14.25" customHeight="1">
      <c r="D75" s="51"/>
      <c r="E75" s="51"/>
      <c r="AD75" s="31" t="s">
        <v>82</v>
      </c>
      <c r="AE75" s="32" t="s">
        <v>8</v>
      </c>
      <c r="AF75" s="32">
        <v>7943.0</v>
      </c>
      <c r="AG75" s="33">
        <v>24.9</v>
      </c>
    </row>
    <row r="76" ht="14.25" customHeight="1">
      <c r="D76" s="51"/>
      <c r="E76" s="51"/>
      <c r="AD76" s="53" t="s">
        <v>83</v>
      </c>
      <c r="AE76" s="54" t="s">
        <v>8</v>
      </c>
      <c r="AF76" s="54">
        <v>7887.0</v>
      </c>
      <c r="AG76" s="55">
        <v>25.9</v>
      </c>
    </row>
    <row r="77" ht="14.25" customHeight="1">
      <c r="D77" s="51"/>
      <c r="E77" s="51"/>
      <c r="AD77" s="31" t="s">
        <v>84</v>
      </c>
      <c r="AE77" s="32" t="s">
        <v>8</v>
      </c>
      <c r="AF77" s="32">
        <v>7901.0</v>
      </c>
      <c r="AG77" s="33">
        <v>24.9</v>
      </c>
    </row>
    <row r="78" ht="14.25" customHeight="1">
      <c r="D78" s="51"/>
      <c r="E78" s="51"/>
      <c r="AD78" s="53" t="s">
        <v>85</v>
      </c>
      <c r="AE78" s="54" t="s">
        <v>8</v>
      </c>
      <c r="AF78" s="54">
        <v>7907.0</v>
      </c>
      <c r="AG78" s="55">
        <v>27.9</v>
      </c>
    </row>
    <row r="79" ht="14.25" customHeight="1">
      <c r="D79" s="51"/>
      <c r="E79" s="51"/>
      <c r="AD79" s="31" t="s">
        <v>86</v>
      </c>
      <c r="AE79" s="32" t="s">
        <v>8</v>
      </c>
      <c r="AF79" s="32">
        <v>7923.0</v>
      </c>
      <c r="AG79" s="33">
        <v>24.9</v>
      </c>
    </row>
    <row r="80" ht="14.25" customHeight="1">
      <c r="D80" s="51"/>
      <c r="E80" s="51"/>
      <c r="AD80" s="53" t="s">
        <v>87</v>
      </c>
      <c r="AE80" s="54" t="s">
        <v>8</v>
      </c>
      <c r="AF80" s="54">
        <v>7925.0</v>
      </c>
      <c r="AG80" s="55">
        <v>0.0</v>
      </c>
    </row>
    <row r="81" ht="14.25" customHeight="1">
      <c r="D81" s="51"/>
      <c r="E81" s="51"/>
      <c r="AD81" s="31" t="s">
        <v>88</v>
      </c>
      <c r="AE81" s="32" t="s">
        <v>8</v>
      </c>
      <c r="AF81" s="32">
        <v>7927.0</v>
      </c>
      <c r="AG81" s="33">
        <v>26.9</v>
      </c>
    </row>
    <row r="82" ht="14.25" customHeight="1">
      <c r="D82" s="51"/>
      <c r="E82" s="51"/>
      <c r="AD82" s="53" t="s">
        <v>89</v>
      </c>
      <c r="AE82" s="54" t="s">
        <v>11</v>
      </c>
      <c r="AF82" s="54">
        <v>5748.0</v>
      </c>
      <c r="AG82" s="55">
        <v>0.0</v>
      </c>
    </row>
    <row r="83" ht="14.25" customHeight="1">
      <c r="D83" s="51"/>
      <c r="E83" s="51"/>
      <c r="AD83" s="31" t="s">
        <v>90</v>
      </c>
      <c r="AE83" s="32" t="s">
        <v>11</v>
      </c>
      <c r="AF83" s="32">
        <v>3141.0</v>
      </c>
      <c r="AG83" s="33">
        <v>0.0</v>
      </c>
    </row>
    <row r="84" ht="14.25" customHeight="1">
      <c r="D84" s="51"/>
      <c r="E84" s="51"/>
      <c r="AD84" s="53" t="s">
        <v>91</v>
      </c>
      <c r="AE84" s="54" t="s">
        <v>11</v>
      </c>
      <c r="AF84" s="54">
        <v>3128.0</v>
      </c>
      <c r="AG84" s="55">
        <v>0.0</v>
      </c>
    </row>
    <row r="85" ht="14.25" customHeight="1">
      <c r="D85" s="51"/>
      <c r="E85" s="51"/>
      <c r="AD85" s="31" t="s">
        <v>92</v>
      </c>
      <c r="AE85" s="32" t="s">
        <v>11</v>
      </c>
      <c r="AF85" s="32">
        <v>2527.0</v>
      </c>
      <c r="AG85" s="33">
        <v>0.0</v>
      </c>
    </row>
    <row r="86" ht="14.25" customHeight="1">
      <c r="D86" s="51"/>
      <c r="E86" s="51"/>
      <c r="AD86" s="53" t="s">
        <v>93</v>
      </c>
      <c r="AE86" s="54" t="s">
        <v>11</v>
      </c>
      <c r="AF86" s="54">
        <v>2526.0</v>
      </c>
      <c r="AG86" s="55">
        <v>0.0</v>
      </c>
    </row>
    <row r="87" ht="14.25" customHeight="1">
      <c r="D87" s="51"/>
      <c r="E87" s="51"/>
      <c r="AD87" s="31" t="s">
        <v>94</v>
      </c>
      <c r="AE87" s="32" t="s">
        <v>11</v>
      </c>
      <c r="AF87" s="32">
        <v>5394.0</v>
      </c>
      <c r="AG87" s="33">
        <v>0.0</v>
      </c>
    </row>
    <row r="88" ht="14.25" customHeight="1">
      <c r="D88" s="51"/>
      <c r="E88" s="51"/>
      <c r="AD88" s="53" t="s">
        <v>95</v>
      </c>
      <c r="AE88" s="54" t="s">
        <v>11</v>
      </c>
      <c r="AF88" s="54">
        <v>3090.0</v>
      </c>
      <c r="AG88" s="55">
        <v>0.0</v>
      </c>
    </row>
    <row r="89" ht="14.25" customHeight="1">
      <c r="D89" s="51"/>
      <c r="E89" s="51"/>
      <c r="AD89" s="31" t="s">
        <v>96</v>
      </c>
      <c r="AE89" s="32" t="s">
        <v>11</v>
      </c>
      <c r="AF89" s="32">
        <v>3133.0</v>
      </c>
      <c r="AG89" s="33">
        <v>0.0</v>
      </c>
    </row>
    <row r="90" ht="14.25" customHeight="1">
      <c r="D90" s="51"/>
      <c r="E90" s="51"/>
      <c r="AD90" s="53" t="s">
        <v>97</v>
      </c>
      <c r="AE90" s="54" t="s">
        <v>11</v>
      </c>
      <c r="AF90" s="54">
        <v>4275.0</v>
      </c>
      <c r="AG90" s="55">
        <v>0.0</v>
      </c>
    </row>
    <row r="91" ht="14.25" customHeight="1">
      <c r="D91" s="51"/>
      <c r="E91" s="51"/>
      <c r="AD91" s="31" t="s">
        <v>98</v>
      </c>
      <c r="AE91" s="32" t="s">
        <v>11</v>
      </c>
      <c r="AF91" s="32">
        <v>2590.0</v>
      </c>
      <c r="AG91" s="33">
        <v>0.0</v>
      </c>
    </row>
    <row r="92" ht="14.25" customHeight="1">
      <c r="D92" s="51"/>
      <c r="E92" s="51"/>
      <c r="AD92" s="53" t="s">
        <v>99</v>
      </c>
      <c r="AE92" s="54" t="s">
        <v>11</v>
      </c>
      <c r="AF92" s="54">
        <v>2748.0</v>
      </c>
      <c r="AG92" s="55">
        <v>0.0</v>
      </c>
    </row>
    <row r="93" ht="14.25" customHeight="1">
      <c r="D93" s="51"/>
      <c r="E93" s="51"/>
      <c r="AD93" s="31" t="s">
        <v>100</v>
      </c>
      <c r="AE93" s="32" t="s">
        <v>11</v>
      </c>
      <c r="AF93" s="32">
        <v>5023.0</v>
      </c>
      <c r="AG93" s="33">
        <v>0.0</v>
      </c>
    </row>
    <row r="94" ht="14.25" customHeight="1">
      <c r="D94" s="51"/>
      <c r="E94" s="51"/>
      <c r="AD94" s="53" t="s">
        <v>101</v>
      </c>
      <c r="AE94" s="54" t="s">
        <v>11</v>
      </c>
      <c r="AF94" s="54">
        <v>2135.0</v>
      </c>
      <c r="AG94" s="55">
        <v>0.0</v>
      </c>
    </row>
    <row r="95" ht="14.25" customHeight="1">
      <c r="D95" s="51"/>
      <c r="E95" s="51"/>
      <c r="AD95" s="31" t="s">
        <v>102</v>
      </c>
      <c r="AE95" s="32" t="s">
        <v>11</v>
      </c>
      <c r="AF95" s="32">
        <v>2458.0</v>
      </c>
      <c r="AG95" s="33">
        <v>0.0</v>
      </c>
    </row>
    <row r="96" ht="14.25" customHeight="1">
      <c r="D96" s="51"/>
      <c r="E96" s="51"/>
      <c r="AD96" s="53" t="s">
        <v>103</v>
      </c>
      <c r="AE96" s="54" t="s">
        <v>11</v>
      </c>
      <c r="AF96" s="54">
        <v>2220.0</v>
      </c>
      <c r="AG96" s="55">
        <v>11.5</v>
      </c>
    </row>
    <row r="97" ht="14.25" customHeight="1">
      <c r="D97" s="51"/>
      <c r="E97" s="51"/>
      <c r="AD97" s="31" t="s">
        <v>104</v>
      </c>
      <c r="AE97" s="32" t="s">
        <v>11</v>
      </c>
      <c r="AF97" s="32">
        <v>5981.0</v>
      </c>
      <c r="AG97" s="33">
        <v>0.0</v>
      </c>
    </row>
    <row r="98" ht="14.25" customHeight="1">
      <c r="D98" s="51"/>
      <c r="E98" s="51"/>
      <c r="AD98" s="53" t="s">
        <v>105</v>
      </c>
      <c r="AE98" s="54" t="s">
        <v>11</v>
      </c>
      <c r="AF98" s="54">
        <v>2548.0</v>
      </c>
      <c r="AG98" s="55">
        <v>0.0</v>
      </c>
    </row>
    <row r="99" ht="14.25" customHeight="1">
      <c r="D99" s="51"/>
      <c r="E99" s="51"/>
      <c r="AD99" s="31" t="s">
        <v>106</v>
      </c>
      <c r="AE99" s="32" t="s">
        <v>11</v>
      </c>
      <c r="AF99" s="32">
        <v>2080.0</v>
      </c>
      <c r="AG99" s="33">
        <v>0.0</v>
      </c>
    </row>
    <row r="100" ht="14.25" customHeight="1">
      <c r="D100" s="51"/>
      <c r="E100" s="51"/>
      <c r="AD100" s="53" t="s">
        <v>107</v>
      </c>
      <c r="AE100" s="54" t="s">
        <v>11</v>
      </c>
      <c r="AF100" s="54">
        <v>3127.0</v>
      </c>
      <c r="AG100" s="55">
        <v>0.0</v>
      </c>
    </row>
    <row r="101" ht="14.25" customHeight="1">
      <c r="D101" s="51"/>
      <c r="E101" s="51"/>
      <c r="AD101" s="31" t="s">
        <v>108</v>
      </c>
      <c r="AE101" s="32" t="s">
        <v>11</v>
      </c>
      <c r="AF101" s="32">
        <v>2602.0</v>
      </c>
      <c r="AG101" s="33">
        <v>0.0</v>
      </c>
    </row>
    <row r="102" ht="14.25" customHeight="1">
      <c r="D102" s="51"/>
      <c r="E102" s="51"/>
      <c r="AD102" s="53" t="s">
        <v>109</v>
      </c>
      <c r="AE102" s="54" t="s">
        <v>110</v>
      </c>
      <c r="AF102" s="54">
        <v>2481.0</v>
      </c>
      <c r="AG102" s="55">
        <v>0.0</v>
      </c>
    </row>
    <row r="103" ht="14.25" customHeight="1">
      <c r="D103" s="51"/>
      <c r="E103" s="51"/>
      <c r="AD103" s="31" t="s">
        <v>111</v>
      </c>
      <c r="AE103" s="32" t="s">
        <v>11</v>
      </c>
      <c r="AF103" s="32">
        <v>5089.0</v>
      </c>
      <c r="AG103" s="33">
        <v>0.0</v>
      </c>
    </row>
    <row r="104" ht="14.25" customHeight="1">
      <c r="D104" s="51"/>
      <c r="E104" s="51"/>
      <c r="AD104" s="53" t="s">
        <v>112</v>
      </c>
      <c r="AE104" s="54" t="s">
        <v>11</v>
      </c>
      <c r="AF104" s="54">
        <v>2036.0</v>
      </c>
      <c r="AG104" s="55">
        <v>0.0</v>
      </c>
    </row>
    <row r="105" ht="14.25" customHeight="1">
      <c r="D105" s="51"/>
      <c r="E105" s="51"/>
      <c r="AD105" s="31" t="s">
        <v>113</v>
      </c>
      <c r="AE105" s="32" t="s">
        <v>11</v>
      </c>
      <c r="AF105" s="32">
        <v>2104.0</v>
      </c>
      <c r="AG105" s="33">
        <v>0.0</v>
      </c>
    </row>
    <row r="106" ht="14.25" customHeight="1">
      <c r="D106" s="51"/>
      <c r="E106" s="51"/>
      <c r="AD106" s="53" t="s">
        <v>114</v>
      </c>
      <c r="AE106" s="54" t="s">
        <v>11</v>
      </c>
      <c r="AF106" s="54">
        <v>5146.0</v>
      </c>
      <c r="AG106" s="55">
        <v>0.0</v>
      </c>
    </row>
    <row r="107" ht="14.25" customHeight="1">
      <c r="D107" s="51"/>
      <c r="E107" s="51"/>
      <c r="AD107" s="31" t="s">
        <v>115</v>
      </c>
      <c r="AE107" s="32" t="s">
        <v>11</v>
      </c>
      <c r="AF107" s="32">
        <v>2738.0</v>
      </c>
      <c r="AG107" s="33">
        <v>0.0</v>
      </c>
    </row>
    <row r="108" ht="14.25" customHeight="1">
      <c r="D108" s="51"/>
      <c r="E108" s="51"/>
      <c r="AD108" s="53" t="s">
        <v>116</v>
      </c>
      <c r="AE108" s="54" t="s">
        <v>11</v>
      </c>
      <c r="AF108" s="54">
        <v>5990.0</v>
      </c>
      <c r="AG108" s="55">
        <v>0.0</v>
      </c>
    </row>
    <row r="109" ht="14.25" customHeight="1">
      <c r="D109" s="51"/>
      <c r="E109" s="51"/>
      <c r="AD109" s="31" t="s">
        <v>117</v>
      </c>
      <c r="AE109" s="32" t="s">
        <v>11</v>
      </c>
      <c r="AF109" s="32">
        <v>2647.0</v>
      </c>
      <c r="AG109" s="33">
        <v>0.0</v>
      </c>
    </row>
    <row r="110" ht="14.25" customHeight="1">
      <c r="D110" s="51"/>
      <c r="E110" s="51"/>
      <c r="AD110" s="53" t="s">
        <v>118</v>
      </c>
      <c r="AE110" s="54" t="s">
        <v>11</v>
      </c>
      <c r="AF110" s="54">
        <v>2520.0</v>
      </c>
      <c r="AG110" s="55">
        <v>0.0</v>
      </c>
    </row>
    <row r="111" ht="14.25" customHeight="1">
      <c r="D111" s="51"/>
      <c r="E111" s="51"/>
      <c r="AD111" s="31" t="s">
        <v>119</v>
      </c>
      <c r="AE111" s="32" t="s">
        <v>8</v>
      </c>
      <c r="AF111" s="32">
        <v>235242.0</v>
      </c>
      <c r="AG111" s="33">
        <v>0.0</v>
      </c>
    </row>
    <row r="112" ht="14.25" customHeight="1">
      <c r="D112" s="51"/>
      <c r="E112" s="51"/>
      <c r="AD112" s="53" t="s">
        <v>120</v>
      </c>
      <c r="AE112" s="54" t="s">
        <v>18</v>
      </c>
      <c r="AF112" s="54">
        <v>1974.0</v>
      </c>
      <c r="AG112" s="55">
        <v>0.0</v>
      </c>
    </row>
    <row r="113" ht="14.25" customHeight="1">
      <c r="D113" s="51"/>
      <c r="E113" s="51"/>
      <c r="AD113" s="31" t="s">
        <v>121</v>
      </c>
      <c r="AE113" s="32" t="s">
        <v>18</v>
      </c>
      <c r="AF113" s="32">
        <v>2361.0</v>
      </c>
      <c r="AG113" s="33">
        <v>0.0</v>
      </c>
    </row>
    <row r="114" ht="14.25" customHeight="1">
      <c r="D114" s="51"/>
      <c r="E114" s="51"/>
      <c r="AD114" s="53" t="s">
        <v>122</v>
      </c>
      <c r="AE114" s="54" t="s">
        <v>18</v>
      </c>
      <c r="AF114" s="54">
        <v>5088.0</v>
      </c>
      <c r="AG114" s="55">
        <v>0.0</v>
      </c>
    </row>
    <row r="115" ht="14.25" customHeight="1">
      <c r="D115" s="51"/>
      <c r="E115" s="51"/>
      <c r="AD115" s="31" t="s">
        <v>123</v>
      </c>
      <c r="AE115" s="32" t="s">
        <v>18</v>
      </c>
      <c r="AF115" s="32">
        <v>5090.0</v>
      </c>
      <c r="AG115" s="33">
        <v>0.0</v>
      </c>
    </row>
    <row r="116" ht="14.25" customHeight="1">
      <c r="D116" s="51"/>
      <c r="E116" s="51"/>
      <c r="AD116" s="53" t="s">
        <v>124</v>
      </c>
      <c r="AE116" s="54" t="s">
        <v>11</v>
      </c>
      <c r="AF116" s="54">
        <v>2319.0</v>
      </c>
      <c r="AG116" s="55">
        <v>0.0</v>
      </c>
    </row>
    <row r="117" ht="14.25" customHeight="1">
      <c r="D117" s="51"/>
      <c r="E117" s="51"/>
      <c r="AD117" s="31" t="s">
        <v>125</v>
      </c>
      <c r="AE117" s="32" t="s">
        <v>11</v>
      </c>
      <c r="AF117" s="32">
        <v>2439.0</v>
      </c>
      <c r="AG117" s="33">
        <v>0.0</v>
      </c>
    </row>
    <row r="118" ht="14.25" customHeight="1">
      <c r="D118" s="51"/>
      <c r="E118" s="51"/>
      <c r="AD118" s="53" t="s">
        <v>126</v>
      </c>
      <c r="AE118" s="54" t="s">
        <v>11</v>
      </c>
      <c r="AF118" s="54">
        <v>2801.0</v>
      </c>
      <c r="AG118" s="55">
        <v>0.0</v>
      </c>
    </row>
    <row r="119" ht="14.25" customHeight="1">
      <c r="D119" s="51"/>
      <c r="E119" s="51"/>
      <c r="AD119" s="31" t="s">
        <v>127</v>
      </c>
      <c r="AE119" s="32" t="s">
        <v>11</v>
      </c>
      <c r="AF119" s="32">
        <v>5913.0</v>
      </c>
      <c r="AG119" s="33">
        <v>0.0</v>
      </c>
    </row>
    <row r="120" ht="14.25" customHeight="1">
      <c r="D120" s="51"/>
      <c r="E120" s="51"/>
      <c r="AD120" s="53" t="s">
        <v>128</v>
      </c>
      <c r="AE120" s="54" t="s">
        <v>11</v>
      </c>
      <c r="AF120" s="54">
        <v>4414.0</v>
      </c>
      <c r="AG120" s="55">
        <v>0.0</v>
      </c>
    </row>
    <row r="121" ht="14.25" customHeight="1">
      <c r="D121" s="51"/>
      <c r="E121" s="51"/>
      <c r="AD121" s="31" t="s">
        <v>129</v>
      </c>
      <c r="AE121" s="32" t="s">
        <v>11</v>
      </c>
      <c r="AF121" s="32">
        <v>2550.0</v>
      </c>
      <c r="AG121" s="33">
        <v>0.0</v>
      </c>
    </row>
    <row r="122" ht="14.25" customHeight="1">
      <c r="D122" s="51"/>
      <c r="E122" s="51"/>
      <c r="AD122" s="53" t="s">
        <v>130</v>
      </c>
      <c r="AE122" s="54" t="s">
        <v>11</v>
      </c>
      <c r="AF122" s="54">
        <v>2221.0</v>
      </c>
      <c r="AG122" s="55">
        <v>2.4</v>
      </c>
    </row>
    <row r="123" ht="14.25" customHeight="1">
      <c r="D123" s="51"/>
      <c r="E123" s="51"/>
      <c r="AD123" s="31" t="s">
        <v>131</v>
      </c>
      <c r="AE123" s="32" t="s">
        <v>11</v>
      </c>
      <c r="AF123" s="32">
        <v>2033.0</v>
      </c>
      <c r="AG123" s="33">
        <v>0.0</v>
      </c>
    </row>
    <row r="124" ht="14.25" customHeight="1">
      <c r="D124" s="51"/>
      <c r="E124" s="51"/>
      <c r="AD124" s="53" t="s">
        <v>132</v>
      </c>
      <c r="AE124" s="54" t="s">
        <v>11</v>
      </c>
      <c r="AF124" s="54">
        <v>3436.0</v>
      </c>
      <c r="AG124" s="55">
        <v>0.0</v>
      </c>
    </row>
    <row r="125" ht="14.25" customHeight="1">
      <c r="D125" s="51"/>
      <c r="E125" s="51"/>
      <c r="AD125" s="31" t="s">
        <v>133</v>
      </c>
      <c r="AE125" s="32" t="s">
        <v>11</v>
      </c>
      <c r="AF125" s="32">
        <v>2342.0</v>
      </c>
      <c r="AG125" s="33">
        <v>0.0</v>
      </c>
    </row>
    <row r="126" ht="14.25" customHeight="1">
      <c r="D126" s="51"/>
      <c r="E126" s="51"/>
      <c r="AD126" s="53" t="s">
        <v>134</v>
      </c>
      <c r="AE126" s="54" t="s">
        <v>11</v>
      </c>
      <c r="AF126" s="54">
        <v>2515.0</v>
      </c>
      <c r="AG126" s="55">
        <v>0.0</v>
      </c>
    </row>
    <row r="127" ht="14.25" customHeight="1">
      <c r="D127" s="51"/>
      <c r="E127" s="51"/>
      <c r="AD127" s="31" t="s">
        <v>135</v>
      </c>
      <c r="AE127" s="32" t="s">
        <v>11</v>
      </c>
      <c r="AF127" s="32">
        <v>2343.0</v>
      </c>
      <c r="AG127" s="33">
        <v>0.0</v>
      </c>
    </row>
    <row r="128" ht="14.25" customHeight="1">
      <c r="D128" s="51"/>
      <c r="E128" s="51"/>
      <c r="AD128" s="53" t="s">
        <v>136</v>
      </c>
      <c r="AE128" s="54" t="s">
        <v>11</v>
      </c>
      <c r="AF128" s="54">
        <v>2484.0</v>
      </c>
      <c r="AG128" s="55">
        <v>0.0</v>
      </c>
    </row>
    <row r="129" ht="14.25" customHeight="1">
      <c r="D129" s="51"/>
      <c r="E129" s="51"/>
      <c r="AD129" s="31" t="s">
        <v>137</v>
      </c>
      <c r="AE129" s="32" t="s">
        <v>11</v>
      </c>
      <c r="AF129" s="32">
        <v>2519.0</v>
      </c>
      <c r="AG129" s="33">
        <v>0.0</v>
      </c>
    </row>
    <row r="130" ht="14.25" customHeight="1">
      <c r="D130" s="51"/>
      <c r="E130" s="51"/>
      <c r="AD130" s="53" t="s">
        <v>138</v>
      </c>
      <c r="AE130" s="54" t="s">
        <v>11</v>
      </c>
      <c r="AF130" s="54">
        <v>5329.0</v>
      </c>
      <c r="AG130" s="55">
        <v>0.0</v>
      </c>
    </row>
    <row r="131" ht="14.25" customHeight="1">
      <c r="D131" s="51"/>
      <c r="E131" s="51"/>
      <c r="AD131" s="31" t="s">
        <v>139</v>
      </c>
      <c r="AE131" s="32" t="s">
        <v>11</v>
      </c>
      <c r="AF131" s="32">
        <v>5330.0</v>
      </c>
      <c r="AG131" s="33">
        <v>0.0</v>
      </c>
    </row>
    <row r="132" ht="14.25" customHeight="1">
      <c r="D132" s="51"/>
      <c r="E132" s="51"/>
      <c r="AD132" s="53" t="s">
        <v>140</v>
      </c>
      <c r="AE132" s="54" t="s">
        <v>11</v>
      </c>
      <c r="AF132" s="54">
        <v>6473.0</v>
      </c>
      <c r="AG132" s="55">
        <v>34.35</v>
      </c>
    </row>
    <row r="133" ht="14.25" customHeight="1">
      <c r="D133" s="51"/>
      <c r="E133" s="51"/>
      <c r="AD133" s="31" t="s">
        <v>141</v>
      </c>
      <c r="AE133" s="32" t="s">
        <v>11</v>
      </c>
      <c r="AF133" s="32">
        <v>2405.0</v>
      </c>
      <c r="AG133" s="33">
        <v>0.0</v>
      </c>
    </row>
    <row r="134" ht="14.25" customHeight="1">
      <c r="D134" s="51"/>
      <c r="E134" s="51"/>
      <c r="AD134" s="53" t="s">
        <v>142</v>
      </c>
      <c r="AE134" s="54" t="s">
        <v>11</v>
      </c>
      <c r="AF134" s="54">
        <v>5943.0</v>
      </c>
      <c r="AG134" s="55">
        <v>0.0</v>
      </c>
    </row>
    <row r="135" ht="14.25" customHeight="1">
      <c r="D135" s="51"/>
      <c r="E135" s="51"/>
      <c r="AD135" s="31" t="s">
        <v>143</v>
      </c>
      <c r="AE135" s="32" t="s">
        <v>11</v>
      </c>
      <c r="AF135" s="32">
        <v>2216.0</v>
      </c>
      <c r="AG135" s="33">
        <v>18.5</v>
      </c>
    </row>
    <row r="136" ht="14.25" customHeight="1">
      <c r="D136" s="51"/>
      <c r="E136" s="51"/>
      <c r="AD136" s="53" t="s">
        <v>144</v>
      </c>
      <c r="AE136" s="54" t="s">
        <v>11</v>
      </c>
      <c r="AF136" s="54">
        <v>2412.0</v>
      </c>
      <c r="AG136" s="55">
        <v>0.0</v>
      </c>
    </row>
    <row r="137" ht="14.25" customHeight="1">
      <c r="D137" s="51"/>
      <c r="E137" s="51"/>
      <c r="AD137" s="31" t="s">
        <v>145</v>
      </c>
      <c r="AE137" s="32" t="s">
        <v>11</v>
      </c>
      <c r="AF137" s="32">
        <v>6468.0</v>
      </c>
      <c r="AG137" s="33">
        <v>0.0</v>
      </c>
    </row>
    <row r="138" ht="14.25" customHeight="1">
      <c r="D138" s="51"/>
      <c r="E138" s="51"/>
      <c r="AD138" s="53" t="s">
        <v>146</v>
      </c>
      <c r="AE138" s="54" t="s">
        <v>11</v>
      </c>
      <c r="AF138" s="54">
        <v>2419.0</v>
      </c>
      <c r="AG138" s="55">
        <v>0.0</v>
      </c>
    </row>
    <row r="139" ht="14.25" customHeight="1">
      <c r="D139" s="51"/>
      <c r="E139" s="51"/>
      <c r="AD139" s="31" t="s">
        <v>147</v>
      </c>
      <c r="AE139" s="32" t="s">
        <v>11</v>
      </c>
      <c r="AF139" s="32">
        <v>2406.0</v>
      </c>
      <c r="AG139" s="33">
        <v>0.0</v>
      </c>
    </row>
    <row r="140" ht="14.25" customHeight="1">
      <c r="D140" s="51"/>
      <c r="E140" s="51"/>
      <c r="AD140" s="53" t="s">
        <v>148</v>
      </c>
      <c r="AE140" s="54" t="s">
        <v>11</v>
      </c>
      <c r="AF140" s="54">
        <v>2407.0</v>
      </c>
      <c r="AG140" s="55">
        <v>0.0</v>
      </c>
    </row>
    <row r="141" ht="14.25" customHeight="1">
      <c r="D141" s="51"/>
      <c r="E141" s="51"/>
      <c r="AD141" s="31" t="s">
        <v>149</v>
      </c>
      <c r="AE141" s="32" t="s">
        <v>11</v>
      </c>
      <c r="AF141" s="32">
        <v>2196.0</v>
      </c>
      <c r="AG141" s="33">
        <v>0.0</v>
      </c>
    </row>
    <row r="142" ht="14.25" customHeight="1">
      <c r="D142" s="51"/>
      <c r="E142" s="51"/>
      <c r="AD142" s="53" t="s">
        <v>150</v>
      </c>
      <c r="AE142" s="54" t="s">
        <v>11</v>
      </c>
      <c r="AF142" s="54">
        <v>5269.0</v>
      </c>
      <c r="AG142" s="55">
        <v>0.0</v>
      </c>
    </row>
    <row r="143" ht="14.25" customHeight="1">
      <c r="D143" s="51"/>
      <c r="E143" s="51"/>
      <c r="AD143" s="31" t="s">
        <v>151</v>
      </c>
      <c r="AE143" s="32" t="s">
        <v>11</v>
      </c>
      <c r="AF143" s="32">
        <v>2687.0</v>
      </c>
      <c r="AG143" s="33">
        <v>0.0</v>
      </c>
    </row>
    <row r="144" ht="14.25" customHeight="1">
      <c r="D144" s="51"/>
      <c r="E144" s="51"/>
      <c r="AD144" s="53" t="s">
        <v>152</v>
      </c>
      <c r="AE144" s="54" t="s">
        <v>11</v>
      </c>
      <c r="AF144" s="54">
        <v>6780.0</v>
      </c>
      <c r="AG144" s="55">
        <v>0.0</v>
      </c>
    </row>
    <row r="145" ht="14.25" customHeight="1">
      <c r="D145" s="51"/>
      <c r="E145" s="51"/>
      <c r="AD145" s="31" t="s">
        <v>153</v>
      </c>
      <c r="AE145" s="32" t="s">
        <v>11</v>
      </c>
      <c r="AF145" s="32">
        <v>3747.0</v>
      </c>
      <c r="AG145" s="33">
        <v>0.0</v>
      </c>
    </row>
    <row r="146" ht="14.25" customHeight="1">
      <c r="D146" s="51"/>
      <c r="E146" s="51"/>
      <c r="AD146" s="53" t="s">
        <v>154</v>
      </c>
      <c r="AE146" s="54" t="s">
        <v>11</v>
      </c>
      <c r="AF146" s="54">
        <v>5258.0</v>
      </c>
      <c r="AG146" s="55">
        <v>0.0</v>
      </c>
    </row>
    <row r="147" ht="14.25" customHeight="1">
      <c r="D147" s="51"/>
      <c r="E147" s="51"/>
      <c r="AD147" s="31" t="s">
        <v>155</v>
      </c>
      <c r="AE147" s="32" t="s">
        <v>11</v>
      </c>
      <c r="AF147" s="32">
        <v>2300.0</v>
      </c>
      <c r="AG147" s="33">
        <v>0.0</v>
      </c>
    </row>
    <row r="148" ht="14.25" customHeight="1">
      <c r="D148" s="51"/>
      <c r="E148" s="51"/>
      <c r="AD148" s="53" t="s">
        <v>156</v>
      </c>
      <c r="AE148" s="54" t="s">
        <v>11</v>
      </c>
      <c r="AF148" s="54">
        <v>4576.0</v>
      </c>
      <c r="AG148" s="55">
        <v>0.0</v>
      </c>
    </row>
    <row r="149" ht="14.25" customHeight="1">
      <c r="D149" s="51"/>
      <c r="E149" s="51"/>
      <c r="AD149" s="31" t="s">
        <v>157</v>
      </c>
      <c r="AE149" s="32" t="s">
        <v>11</v>
      </c>
      <c r="AF149" s="32">
        <v>3153.0</v>
      </c>
      <c r="AG149" s="33">
        <v>0.0</v>
      </c>
    </row>
    <row r="150" ht="14.25" customHeight="1">
      <c r="D150" s="51"/>
      <c r="E150" s="51"/>
      <c r="AD150" s="53" t="s">
        <v>158</v>
      </c>
      <c r="AE150" s="54" t="s">
        <v>11</v>
      </c>
      <c r="AF150" s="54">
        <v>3140.0</v>
      </c>
      <c r="AG150" s="55">
        <v>0.0</v>
      </c>
    </row>
    <row r="151" ht="14.25" customHeight="1">
      <c r="D151" s="51"/>
      <c r="E151" s="51"/>
      <c r="AD151" s="31" t="s">
        <v>159</v>
      </c>
      <c r="AE151" s="32" t="s">
        <v>11</v>
      </c>
      <c r="AF151" s="32">
        <v>5265.0</v>
      </c>
      <c r="AG151" s="33">
        <v>0.0</v>
      </c>
    </row>
    <row r="152" ht="14.25" customHeight="1">
      <c r="D152" s="51"/>
      <c r="E152" s="51"/>
      <c r="AD152" s="53" t="s">
        <v>160</v>
      </c>
      <c r="AE152" s="54" t="s">
        <v>11</v>
      </c>
      <c r="AF152" s="54">
        <v>2480.0</v>
      </c>
      <c r="AG152" s="55">
        <v>0.0</v>
      </c>
    </row>
    <row r="153" ht="14.25" customHeight="1">
      <c r="D153" s="51"/>
      <c r="E153" s="51"/>
      <c r="AD153" s="31" t="s">
        <v>161</v>
      </c>
      <c r="AE153" s="32" t="s">
        <v>11</v>
      </c>
      <c r="AF153" s="32">
        <v>6081.0</v>
      </c>
      <c r="AG153" s="33">
        <v>0.0</v>
      </c>
    </row>
    <row r="154" ht="14.25" customHeight="1">
      <c r="D154" s="51"/>
      <c r="E154" s="51"/>
      <c r="AD154" s="53" t="s">
        <v>162</v>
      </c>
      <c r="AE154" s="54" t="s">
        <v>11</v>
      </c>
      <c r="AF154" s="54">
        <v>6082.0</v>
      </c>
      <c r="AG154" s="55">
        <v>0.0</v>
      </c>
    </row>
    <row r="155" ht="14.25" customHeight="1">
      <c r="D155" s="51"/>
      <c r="E155" s="51"/>
      <c r="AD155" s="31" t="s">
        <v>163</v>
      </c>
      <c r="AE155" s="32" t="s">
        <v>164</v>
      </c>
      <c r="AF155" s="32">
        <v>2017.0</v>
      </c>
      <c r="AG155" s="33">
        <v>0.0</v>
      </c>
    </row>
    <row r="156" ht="14.25" customHeight="1">
      <c r="D156" s="51"/>
      <c r="E156" s="51"/>
      <c r="AD156" s="53" t="s">
        <v>165</v>
      </c>
      <c r="AE156" s="54" t="s">
        <v>11</v>
      </c>
      <c r="AF156" s="54">
        <v>3125.0</v>
      </c>
      <c r="AG156" s="55">
        <v>0.0</v>
      </c>
    </row>
    <row r="157" ht="14.25" customHeight="1">
      <c r="D157" s="51"/>
      <c r="E157" s="51"/>
      <c r="AD157" s="31" t="s">
        <v>166</v>
      </c>
      <c r="AE157" s="32" t="s">
        <v>11</v>
      </c>
      <c r="AF157" s="32">
        <v>3130.0</v>
      </c>
      <c r="AG157" s="33">
        <v>0.0</v>
      </c>
    </row>
    <row r="158" ht="14.25" customHeight="1">
      <c r="D158" s="51"/>
      <c r="E158" s="51"/>
      <c r="AD158" s="53" t="s">
        <v>167</v>
      </c>
      <c r="AE158" s="54" t="s">
        <v>11</v>
      </c>
      <c r="AF158" s="54">
        <v>2616.0</v>
      </c>
      <c r="AG158" s="55">
        <v>0.0</v>
      </c>
    </row>
    <row r="159" ht="14.25" customHeight="1">
      <c r="D159" s="51"/>
      <c r="E159" s="51"/>
      <c r="AD159" s="31" t="s">
        <v>168</v>
      </c>
      <c r="AE159" s="32" t="s">
        <v>11</v>
      </c>
      <c r="AF159" s="32">
        <v>2222.0</v>
      </c>
      <c r="AG159" s="33">
        <v>3.72</v>
      </c>
    </row>
    <row r="160" ht="14.25" customHeight="1">
      <c r="D160" s="51"/>
      <c r="E160" s="51"/>
      <c r="AD160" s="53" t="s">
        <v>169</v>
      </c>
      <c r="AE160" s="54" t="s">
        <v>11</v>
      </c>
      <c r="AF160" s="54">
        <v>5434.0</v>
      </c>
      <c r="AG160" s="55">
        <v>0.0</v>
      </c>
    </row>
    <row r="161" ht="14.25" customHeight="1">
      <c r="D161" s="51"/>
      <c r="E161" s="51"/>
      <c r="AD161" s="31" t="s">
        <v>170</v>
      </c>
      <c r="AE161" s="32" t="s">
        <v>11</v>
      </c>
      <c r="AF161" s="32">
        <v>2601.0</v>
      </c>
      <c r="AG161" s="33">
        <v>0.0</v>
      </c>
    </row>
    <row r="162" ht="14.25" customHeight="1">
      <c r="D162" s="51"/>
      <c r="E162" s="51"/>
      <c r="AD162" s="53" t="s">
        <v>171</v>
      </c>
      <c r="AE162" s="54" t="s">
        <v>11</v>
      </c>
      <c r="AF162" s="54">
        <v>2339.0</v>
      </c>
      <c r="AG162" s="55">
        <v>0.0</v>
      </c>
    </row>
    <row r="163" ht="14.25" customHeight="1">
      <c r="D163" s="51"/>
      <c r="E163" s="51"/>
      <c r="AD163" s="31" t="s">
        <v>172</v>
      </c>
      <c r="AE163" s="32" t="s">
        <v>11</v>
      </c>
      <c r="AF163" s="32">
        <v>3143.0</v>
      </c>
      <c r="AG163" s="33">
        <v>0.0</v>
      </c>
    </row>
    <row r="164" ht="14.25" customHeight="1">
      <c r="D164" s="51"/>
      <c r="E164" s="51"/>
      <c r="AD164" s="53" t="s">
        <v>173</v>
      </c>
      <c r="AE164" s="54" t="s">
        <v>11</v>
      </c>
      <c r="AF164" s="54">
        <v>3120.0</v>
      </c>
      <c r="AG164" s="55">
        <v>0.0</v>
      </c>
    </row>
    <row r="165" ht="14.25" customHeight="1">
      <c r="D165" s="51"/>
      <c r="E165" s="51"/>
      <c r="AD165" s="31" t="s">
        <v>174</v>
      </c>
      <c r="AE165" s="32" t="s">
        <v>175</v>
      </c>
      <c r="AF165" s="32">
        <v>3404.0</v>
      </c>
      <c r="AG165" s="33">
        <v>0.0</v>
      </c>
    </row>
    <row r="166" ht="14.25" customHeight="1">
      <c r="D166" s="51"/>
      <c r="E166" s="51"/>
      <c r="AD166" s="53" t="s">
        <v>176</v>
      </c>
      <c r="AE166" s="54" t="s">
        <v>11</v>
      </c>
      <c r="AF166" s="54">
        <v>2205.0</v>
      </c>
      <c r="AG166" s="55">
        <v>0.0</v>
      </c>
    </row>
    <row r="167" ht="14.25" customHeight="1">
      <c r="D167" s="51"/>
      <c r="E167" s="51"/>
      <c r="AD167" s="31" t="s">
        <v>177</v>
      </c>
      <c r="AE167" s="32" t="s">
        <v>11</v>
      </c>
      <c r="AF167" s="32">
        <v>3654.0</v>
      </c>
      <c r="AG167" s="33">
        <v>0.0</v>
      </c>
    </row>
    <row r="168" ht="14.25" customHeight="1">
      <c r="D168" s="51"/>
      <c r="E168" s="51"/>
      <c r="AD168" s="53" t="s">
        <v>178</v>
      </c>
      <c r="AE168" s="54" t="s">
        <v>11</v>
      </c>
      <c r="AF168" s="54">
        <v>5392.0</v>
      </c>
      <c r="AG168" s="55">
        <v>0.0</v>
      </c>
    </row>
    <row r="169" ht="14.25" customHeight="1">
      <c r="D169" s="51"/>
      <c r="E169" s="51"/>
      <c r="AD169" s="31" t="s">
        <v>179</v>
      </c>
      <c r="AE169" s="32" t="s">
        <v>11</v>
      </c>
      <c r="AF169" s="32">
        <v>2580.0</v>
      </c>
      <c r="AG169" s="33">
        <v>0.0</v>
      </c>
    </row>
    <row r="170" ht="14.25" customHeight="1">
      <c r="D170" s="51"/>
      <c r="E170" s="51"/>
      <c r="AD170" s="53" t="s">
        <v>180</v>
      </c>
      <c r="AE170" s="54" t="s">
        <v>11</v>
      </c>
      <c r="AF170" s="54">
        <v>5719.0</v>
      </c>
      <c r="AG170" s="55">
        <v>0.0</v>
      </c>
    </row>
    <row r="171" ht="14.25" customHeight="1">
      <c r="D171" s="51"/>
      <c r="E171" s="51"/>
      <c r="AD171" s="31" t="s">
        <v>181</v>
      </c>
      <c r="AE171" s="32" t="s">
        <v>11</v>
      </c>
      <c r="AF171" s="32">
        <v>5408.0</v>
      </c>
      <c r="AG171" s="33">
        <v>0.0</v>
      </c>
    </row>
    <row r="172" ht="14.25" customHeight="1">
      <c r="D172" s="51"/>
      <c r="E172" s="51"/>
      <c r="AD172" s="53" t="s">
        <v>182</v>
      </c>
      <c r="AE172" s="54" t="s">
        <v>11</v>
      </c>
      <c r="AF172" s="54">
        <v>3470.0</v>
      </c>
      <c r="AG172" s="55">
        <v>0.0</v>
      </c>
    </row>
    <row r="173" ht="14.25" customHeight="1">
      <c r="D173" s="51"/>
      <c r="E173" s="51"/>
      <c r="AD173" s="31" t="s">
        <v>183</v>
      </c>
      <c r="AE173" s="32" t="s">
        <v>11</v>
      </c>
      <c r="AF173" s="32">
        <v>5011.0</v>
      </c>
      <c r="AG173" s="33">
        <v>0.0</v>
      </c>
    </row>
    <row r="174" ht="14.25" customHeight="1">
      <c r="D174" s="51"/>
      <c r="E174" s="51"/>
      <c r="AD174" s="53" t="s">
        <v>184</v>
      </c>
      <c r="AE174" s="54" t="s">
        <v>11</v>
      </c>
      <c r="AF174" s="54">
        <v>6466.0</v>
      </c>
      <c r="AG174" s="55">
        <v>0.0</v>
      </c>
    </row>
    <row r="175" ht="14.25" customHeight="1">
      <c r="D175" s="51"/>
      <c r="E175" s="51"/>
      <c r="AD175" s="31" t="s">
        <v>185</v>
      </c>
      <c r="AE175" s="32" t="s">
        <v>11</v>
      </c>
      <c r="AF175" s="32">
        <v>2195.0</v>
      </c>
      <c r="AG175" s="33">
        <v>0.0</v>
      </c>
    </row>
    <row r="176" ht="14.25" customHeight="1">
      <c r="D176" s="51"/>
      <c r="E176" s="51"/>
      <c r="AD176" s="53" t="s">
        <v>186</v>
      </c>
      <c r="AE176" s="54" t="s">
        <v>11</v>
      </c>
      <c r="AF176" s="54">
        <v>2938.0</v>
      </c>
      <c r="AG176" s="55">
        <v>0.05</v>
      </c>
    </row>
    <row r="177" ht="14.25" customHeight="1">
      <c r="D177" s="51"/>
      <c r="E177" s="51"/>
      <c r="AD177" s="31" t="s">
        <v>187</v>
      </c>
      <c r="AE177" s="32" t="s">
        <v>11</v>
      </c>
      <c r="AF177" s="32">
        <v>6465.0</v>
      </c>
      <c r="AG177" s="33">
        <v>15.29</v>
      </c>
    </row>
    <row r="178" ht="14.25" customHeight="1">
      <c r="D178" s="51"/>
      <c r="E178" s="51"/>
      <c r="AD178" s="53" t="s">
        <v>188</v>
      </c>
      <c r="AE178" s="54" t="s">
        <v>11</v>
      </c>
      <c r="AF178" s="54">
        <v>2597.0</v>
      </c>
      <c r="AG178" s="55">
        <v>0.0</v>
      </c>
    </row>
    <row r="179" ht="14.25" customHeight="1">
      <c r="D179" s="51"/>
      <c r="E179" s="51"/>
      <c r="AD179" s="31" t="s">
        <v>189</v>
      </c>
      <c r="AE179" s="32" t="s">
        <v>11</v>
      </c>
      <c r="AF179" s="32">
        <v>2465.0</v>
      </c>
      <c r="AG179" s="33">
        <v>0.0</v>
      </c>
    </row>
    <row r="180" ht="14.25" customHeight="1">
      <c r="D180" s="51"/>
      <c r="E180" s="51"/>
      <c r="AD180" s="53" t="s">
        <v>190</v>
      </c>
      <c r="AE180" s="54" t="s">
        <v>175</v>
      </c>
      <c r="AF180" s="54">
        <v>2124.0</v>
      </c>
      <c r="AG180" s="55">
        <v>0.0</v>
      </c>
    </row>
    <row r="181" ht="14.25" customHeight="1">
      <c r="D181" s="51"/>
      <c r="E181" s="51"/>
      <c r="AD181" s="31" t="s">
        <v>191</v>
      </c>
      <c r="AE181" s="32" t="s">
        <v>11</v>
      </c>
      <c r="AF181" s="32">
        <v>6244.0</v>
      </c>
      <c r="AG181" s="33">
        <v>0.0</v>
      </c>
    </row>
    <row r="182" ht="14.25" customHeight="1">
      <c r="D182" s="51"/>
      <c r="E182" s="51"/>
      <c r="AD182" s="53" t="s">
        <v>192</v>
      </c>
      <c r="AE182" s="54" t="s">
        <v>11</v>
      </c>
      <c r="AF182" s="54">
        <v>6685.0</v>
      </c>
      <c r="AG182" s="55">
        <v>0.0</v>
      </c>
    </row>
    <row r="183" ht="14.25" customHeight="1">
      <c r="D183" s="51"/>
      <c r="E183" s="51"/>
      <c r="AD183" s="31" t="s">
        <v>193</v>
      </c>
      <c r="AE183" s="32" t="s">
        <v>8</v>
      </c>
      <c r="AF183" s="32">
        <v>233712.0</v>
      </c>
      <c r="AG183" s="33">
        <v>0.0</v>
      </c>
    </row>
    <row r="184" ht="14.25" customHeight="1">
      <c r="D184" s="51"/>
      <c r="E184" s="51"/>
      <c r="AD184" s="53" t="s">
        <v>194</v>
      </c>
      <c r="AE184" s="54" t="s">
        <v>11</v>
      </c>
      <c r="AF184" s="54">
        <v>2979.0</v>
      </c>
      <c r="AG184" s="55">
        <v>0.0</v>
      </c>
    </row>
    <row r="185" ht="14.25" customHeight="1">
      <c r="D185" s="51"/>
      <c r="E185" s="51"/>
      <c r="AD185" s="31" t="s">
        <v>195</v>
      </c>
      <c r="AE185" s="32" t="s">
        <v>11</v>
      </c>
      <c r="AF185" s="32">
        <v>2125.0</v>
      </c>
      <c r="AG185" s="33">
        <v>0.0</v>
      </c>
    </row>
    <row r="186" ht="14.25" customHeight="1">
      <c r="D186" s="51"/>
      <c r="E186" s="51"/>
      <c r="AD186" s="53" t="s">
        <v>196</v>
      </c>
      <c r="AE186" s="54" t="s">
        <v>11</v>
      </c>
      <c r="AF186" s="54">
        <v>4289.0</v>
      </c>
      <c r="AG186" s="55">
        <v>0.0</v>
      </c>
    </row>
    <row r="187" ht="14.25" customHeight="1">
      <c r="D187" s="51"/>
      <c r="E187" s="51"/>
      <c r="AD187" s="31" t="s">
        <v>197</v>
      </c>
      <c r="AE187" s="32" t="s">
        <v>11</v>
      </c>
      <c r="AF187" s="32">
        <v>3730.0</v>
      </c>
      <c r="AG187" s="33">
        <v>0.0</v>
      </c>
    </row>
    <row r="188" ht="14.25" customHeight="1">
      <c r="D188" s="51"/>
      <c r="E188" s="51"/>
      <c r="AD188" s="53" t="s">
        <v>198</v>
      </c>
      <c r="AE188" s="54" t="s">
        <v>11</v>
      </c>
      <c r="AF188" s="54">
        <v>2518.0</v>
      </c>
      <c r="AG188" s="55">
        <v>0.0</v>
      </c>
    </row>
    <row r="189" ht="14.25" customHeight="1">
      <c r="D189" s="51"/>
      <c r="E189" s="51"/>
      <c r="AD189" s="31" t="s">
        <v>199</v>
      </c>
      <c r="AE189" s="32" t="s">
        <v>200</v>
      </c>
      <c r="AF189" s="32">
        <v>3578.0</v>
      </c>
      <c r="AG189" s="33">
        <v>0.0</v>
      </c>
    </row>
    <row r="190" ht="14.25" customHeight="1">
      <c r="D190" s="51"/>
      <c r="E190" s="51"/>
      <c r="AD190" s="53" t="s">
        <v>201</v>
      </c>
      <c r="AE190" s="54" t="s">
        <v>200</v>
      </c>
      <c r="AF190" s="54">
        <v>2098.0</v>
      </c>
      <c r="AG190" s="55">
        <v>0.0</v>
      </c>
    </row>
    <row r="191" ht="14.25" customHeight="1">
      <c r="D191" s="51"/>
      <c r="E191" s="51"/>
      <c r="AD191" s="31" t="s">
        <v>202</v>
      </c>
      <c r="AE191" s="32" t="s">
        <v>11</v>
      </c>
      <c r="AF191" s="32">
        <v>2099.0</v>
      </c>
      <c r="AG191" s="33">
        <v>0.0</v>
      </c>
    </row>
    <row r="192" ht="14.25" customHeight="1">
      <c r="D192" s="51"/>
      <c r="E192" s="51"/>
      <c r="AD192" s="53" t="s">
        <v>203</v>
      </c>
      <c r="AE192" s="54" t="s">
        <v>11</v>
      </c>
      <c r="AF192" s="54">
        <v>2564.0</v>
      </c>
      <c r="AG192" s="55">
        <v>0.0</v>
      </c>
    </row>
    <row r="193" ht="14.25" customHeight="1">
      <c r="D193" s="51"/>
      <c r="E193" s="51"/>
      <c r="AD193" s="31" t="s">
        <v>204</v>
      </c>
      <c r="AE193" s="32" t="s">
        <v>11</v>
      </c>
      <c r="AF193" s="32">
        <v>2024.0</v>
      </c>
      <c r="AG193" s="33">
        <v>0.0</v>
      </c>
    </row>
    <row r="194" ht="14.25" customHeight="1">
      <c r="D194" s="51"/>
      <c r="E194" s="51"/>
      <c r="AD194" s="53" t="s">
        <v>205</v>
      </c>
      <c r="AE194" s="54" t="s">
        <v>11</v>
      </c>
      <c r="AF194" s="54">
        <v>2020.0</v>
      </c>
      <c r="AG194" s="55">
        <v>0.0</v>
      </c>
    </row>
    <row r="195" ht="14.25" customHeight="1">
      <c r="D195" s="51"/>
      <c r="E195" s="51"/>
      <c r="AD195" s="31" t="s">
        <v>206</v>
      </c>
      <c r="AE195" s="32" t="s">
        <v>200</v>
      </c>
      <c r="AF195" s="32">
        <v>4575.0</v>
      </c>
      <c r="AG195" s="33">
        <v>0.0</v>
      </c>
    </row>
    <row r="196" ht="14.25" customHeight="1">
      <c r="D196" s="51"/>
      <c r="E196" s="51"/>
      <c r="AD196" s="53" t="s">
        <v>207</v>
      </c>
      <c r="AE196" s="54" t="s">
        <v>11</v>
      </c>
      <c r="AF196" s="54">
        <v>3145.0</v>
      </c>
      <c r="AG196" s="55">
        <v>0.0</v>
      </c>
    </row>
    <row r="197" ht="14.25" customHeight="1">
      <c r="D197" s="51"/>
      <c r="E197" s="51"/>
      <c r="AD197" s="31" t="s">
        <v>208</v>
      </c>
      <c r="AE197" s="32" t="s">
        <v>11</v>
      </c>
      <c r="AF197" s="32">
        <v>2499.0</v>
      </c>
      <c r="AG197" s="33">
        <v>0.0</v>
      </c>
    </row>
    <row r="198" ht="14.25" customHeight="1">
      <c r="D198" s="51"/>
      <c r="E198" s="51"/>
      <c r="AD198" s="53" t="s">
        <v>209</v>
      </c>
      <c r="AE198" s="54" t="s">
        <v>11</v>
      </c>
      <c r="AF198" s="54">
        <v>5328.0</v>
      </c>
      <c r="AG198" s="55">
        <v>0.0</v>
      </c>
    </row>
    <row r="199" ht="14.25" customHeight="1">
      <c r="D199" s="51"/>
      <c r="E199" s="51"/>
      <c r="AD199" s="31" t="s">
        <v>210</v>
      </c>
      <c r="AE199" s="32" t="s">
        <v>11</v>
      </c>
      <c r="AF199" s="32">
        <v>2250.0</v>
      </c>
      <c r="AG199" s="33">
        <v>0.0</v>
      </c>
    </row>
    <row r="200" ht="14.25" customHeight="1">
      <c r="D200" s="51"/>
      <c r="E200" s="51"/>
      <c r="AD200" s="53" t="s">
        <v>211</v>
      </c>
      <c r="AE200" s="54" t="s">
        <v>11</v>
      </c>
      <c r="AF200" s="54">
        <v>2420.0</v>
      </c>
      <c r="AG200" s="55">
        <v>0.0</v>
      </c>
    </row>
    <row r="201" ht="14.25" customHeight="1">
      <c r="D201" s="51"/>
      <c r="E201" s="51"/>
      <c r="AD201" s="31" t="s">
        <v>212</v>
      </c>
      <c r="AE201" s="32" t="s">
        <v>11</v>
      </c>
      <c r="AF201" s="32">
        <v>1897.0</v>
      </c>
      <c r="AG201" s="33">
        <v>0.0</v>
      </c>
    </row>
    <row r="202" ht="14.25" customHeight="1">
      <c r="D202" s="51"/>
      <c r="E202" s="51"/>
      <c r="AD202" s="53" t="s">
        <v>213</v>
      </c>
      <c r="AE202" s="54" t="s">
        <v>11</v>
      </c>
      <c r="AF202" s="54">
        <v>5054.0</v>
      </c>
      <c r="AG202" s="55">
        <v>0.0</v>
      </c>
    </row>
    <row r="203" ht="14.25" customHeight="1">
      <c r="D203" s="51"/>
      <c r="E203" s="51"/>
      <c r="AD203" s="31" t="s">
        <v>214</v>
      </c>
      <c r="AE203" s="32" t="s">
        <v>11</v>
      </c>
      <c r="AF203" s="32">
        <v>4353.0</v>
      </c>
      <c r="AG203" s="33">
        <v>0.0</v>
      </c>
    </row>
    <row r="204" ht="14.25" customHeight="1">
      <c r="D204" s="51"/>
      <c r="E204" s="51"/>
      <c r="AD204" s="53" t="s">
        <v>215</v>
      </c>
      <c r="AE204" s="54" t="s">
        <v>175</v>
      </c>
      <c r="AF204" s="54">
        <v>3138.0</v>
      </c>
      <c r="AG204" s="55">
        <v>0.0</v>
      </c>
    </row>
    <row r="205" ht="14.25" customHeight="1">
      <c r="D205" s="51"/>
      <c r="E205" s="51"/>
      <c r="AD205" s="31" t="s">
        <v>216</v>
      </c>
      <c r="AE205" s="32" t="s">
        <v>164</v>
      </c>
      <c r="AF205" s="32">
        <v>2301.0</v>
      </c>
      <c r="AG205" s="33">
        <v>0.0</v>
      </c>
    </row>
    <row r="206" ht="14.25" customHeight="1">
      <c r="D206" s="51"/>
      <c r="E206" s="51"/>
      <c r="AD206" s="53" t="s">
        <v>217</v>
      </c>
      <c r="AE206" s="54" t="s">
        <v>11</v>
      </c>
      <c r="AF206" s="54">
        <v>5888.0</v>
      </c>
      <c r="AG206" s="55">
        <v>0.0</v>
      </c>
    </row>
    <row r="207" ht="14.25" customHeight="1">
      <c r="D207" s="51"/>
      <c r="E207" s="51"/>
      <c r="AD207" s="31" t="s">
        <v>218</v>
      </c>
      <c r="AE207" s="32" t="s">
        <v>11</v>
      </c>
      <c r="AF207" s="32">
        <v>2614.0</v>
      </c>
      <c r="AG207" s="33">
        <v>0.0</v>
      </c>
    </row>
    <row r="208" ht="14.25" customHeight="1">
      <c r="D208" s="51"/>
      <c r="E208" s="51"/>
      <c r="AD208" s="53" t="s">
        <v>219</v>
      </c>
      <c r="AE208" s="54" t="s">
        <v>11</v>
      </c>
      <c r="AF208" s="54">
        <v>6034.0</v>
      </c>
      <c r="AG208" s="55">
        <v>0.0</v>
      </c>
    </row>
    <row r="209" ht="14.25" customHeight="1">
      <c r="D209" s="51"/>
      <c r="E209" s="51"/>
      <c r="AD209" s="31" t="s">
        <v>220</v>
      </c>
      <c r="AE209" s="32" t="s">
        <v>11</v>
      </c>
      <c r="AF209" s="32">
        <v>2505.0</v>
      </c>
      <c r="AG209" s="33">
        <v>0.0</v>
      </c>
    </row>
    <row r="210" ht="14.25" customHeight="1">
      <c r="D210" s="51"/>
      <c r="E210" s="51"/>
      <c r="AD210" s="53" t="s">
        <v>221</v>
      </c>
      <c r="AE210" s="54" t="s">
        <v>11</v>
      </c>
      <c r="AF210" s="54">
        <v>5209.0</v>
      </c>
      <c r="AG210" s="55">
        <v>0.0</v>
      </c>
    </row>
    <row r="211" ht="14.25" customHeight="1">
      <c r="D211" s="51"/>
      <c r="E211" s="51"/>
      <c r="AD211" s="31" t="s">
        <v>222</v>
      </c>
      <c r="AE211" s="32" t="s">
        <v>11</v>
      </c>
      <c r="AF211" s="32">
        <v>2493.0</v>
      </c>
      <c r="AG211" s="33">
        <v>0.0</v>
      </c>
    </row>
    <row r="212" ht="14.25" customHeight="1">
      <c r="D212" s="51"/>
      <c r="E212" s="51"/>
      <c r="AD212" s="53" t="s">
        <v>223</v>
      </c>
      <c r="AE212" s="54" t="s">
        <v>11</v>
      </c>
      <c r="AF212" s="54">
        <v>3331.0</v>
      </c>
      <c r="AG212" s="55">
        <v>0.0</v>
      </c>
    </row>
    <row r="213" ht="14.25" customHeight="1">
      <c r="D213" s="51"/>
      <c r="E213" s="51"/>
      <c r="AD213" s="31" t="s">
        <v>224</v>
      </c>
      <c r="AE213" s="32" t="s">
        <v>225</v>
      </c>
      <c r="AF213" s="32">
        <v>2565.0</v>
      </c>
      <c r="AG213" s="33">
        <v>0.0</v>
      </c>
    </row>
    <row r="214" ht="14.25" customHeight="1">
      <c r="D214" s="51"/>
      <c r="E214" s="51"/>
      <c r="AD214" s="53" t="s">
        <v>226</v>
      </c>
      <c r="AE214" s="54" t="s">
        <v>11</v>
      </c>
      <c r="AF214" s="54">
        <v>2136.0</v>
      </c>
      <c r="AG214" s="55">
        <v>0.0</v>
      </c>
    </row>
    <row r="215" ht="14.25" customHeight="1">
      <c r="D215" s="51"/>
      <c r="E215" s="51"/>
      <c r="AD215" s="31" t="s">
        <v>227</v>
      </c>
      <c r="AE215" s="32" t="s">
        <v>11</v>
      </c>
      <c r="AF215" s="32">
        <v>5393.0</v>
      </c>
      <c r="AG215" s="33">
        <v>0.0</v>
      </c>
    </row>
    <row r="216" ht="14.25" customHeight="1">
      <c r="D216" s="51"/>
      <c r="E216" s="51"/>
      <c r="AD216" s="53" t="s">
        <v>228</v>
      </c>
      <c r="AE216" s="54" t="s">
        <v>11</v>
      </c>
      <c r="AF216" s="54">
        <v>3265.0</v>
      </c>
      <c r="AG216" s="55">
        <v>0.0</v>
      </c>
    </row>
    <row r="217" ht="14.25" customHeight="1">
      <c r="D217" s="51"/>
      <c r="E217" s="51"/>
      <c r="AD217" s="31" t="s">
        <v>229</v>
      </c>
      <c r="AE217" s="32" t="s">
        <v>11</v>
      </c>
      <c r="AF217" s="32">
        <v>2454.0</v>
      </c>
      <c r="AG217" s="33">
        <v>0.0</v>
      </c>
    </row>
    <row r="218" ht="14.25" customHeight="1">
      <c r="D218" s="51"/>
      <c r="E218" s="51"/>
      <c r="AD218" s="53" t="s">
        <v>230</v>
      </c>
      <c r="AE218" s="54" t="s">
        <v>11</v>
      </c>
      <c r="AF218" s="54">
        <v>2019.0</v>
      </c>
      <c r="AG218" s="55">
        <v>0.0</v>
      </c>
    </row>
    <row r="219" ht="14.25" customHeight="1">
      <c r="D219" s="51"/>
      <c r="E219" s="51"/>
      <c r="AD219" s="31" t="s">
        <v>231</v>
      </c>
      <c r="AE219" s="32" t="s">
        <v>11</v>
      </c>
      <c r="AF219" s="32">
        <v>6431.0</v>
      </c>
      <c r="AG219" s="33">
        <v>0.0</v>
      </c>
    </row>
    <row r="220" ht="14.25" customHeight="1">
      <c r="D220" s="51"/>
      <c r="E220" s="51"/>
      <c r="AD220" s="53" t="s">
        <v>232</v>
      </c>
      <c r="AE220" s="54" t="s">
        <v>11</v>
      </c>
      <c r="AF220" s="54">
        <v>5230.0</v>
      </c>
      <c r="AG220" s="55">
        <v>0.0</v>
      </c>
    </row>
    <row r="221" ht="14.25" customHeight="1">
      <c r="D221" s="51"/>
      <c r="E221" s="51"/>
      <c r="AD221" s="31" t="s">
        <v>233</v>
      </c>
      <c r="AE221" s="32" t="s">
        <v>11</v>
      </c>
      <c r="AF221" s="32">
        <v>2018.0</v>
      </c>
      <c r="AG221" s="33">
        <v>0.0</v>
      </c>
    </row>
    <row r="222" ht="14.25" customHeight="1">
      <c r="D222" s="51"/>
      <c r="E222" s="51"/>
      <c r="AD222" s="53" t="s">
        <v>234</v>
      </c>
      <c r="AE222" s="54" t="s">
        <v>11</v>
      </c>
      <c r="AF222" s="54">
        <v>3162.0</v>
      </c>
      <c r="AG222" s="55">
        <v>0.0</v>
      </c>
    </row>
    <row r="223" ht="14.25" customHeight="1">
      <c r="D223" s="51"/>
      <c r="E223" s="51"/>
      <c r="AD223" s="31" t="s">
        <v>235</v>
      </c>
      <c r="AE223" s="32" t="s">
        <v>11</v>
      </c>
      <c r="AF223" s="32">
        <v>2021.0</v>
      </c>
      <c r="AG223" s="33">
        <v>0.0</v>
      </c>
    </row>
    <row r="224" ht="14.25" customHeight="1">
      <c r="D224" s="51"/>
      <c r="E224" s="51"/>
      <c r="AD224" s="53" t="s">
        <v>236</v>
      </c>
      <c r="AE224" s="54" t="s">
        <v>11</v>
      </c>
      <c r="AF224" s="54">
        <v>2533.0</v>
      </c>
      <c r="AG224" s="55">
        <v>0.0</v>
      </c>
    </row>
    <row r="225" ht="14.25" customHeight="1">
      <c r="D225" s="51"/>
      <c r="E225" s="51"/>
      <c r="AD225" s="31" t="s">
        <v>237</v>
      </c>
      <c r="AE225" s="32" t="s">
        <v>11</v>
      </c>
      <c r="AF225" s="32">
        <v>3853.0</v>
      </c>
      <c r="AG225" s="33">
        <v>0.0</v>
      </c>
    </row>
    <row r="226" ht="14.25" customHeight="1">
      <c r="D226" s="51"/>
      <c r="E226" s="51"/>
      <c r="AD226" s="53" t="s">
        <v>238</v>
      </c>
      <c r="AE226" s="54" t="s">
        <v>110</v>
      </c>
      <c r="AF226" s="54">
        <v>2817.0</v>
      </c>
      <c r="AG226" s="55">
        <v>0.0</v>
      </c>
    </row>
    <row r="227" ht="14.25" customHeight="1">
      <c r="D227" s="51"/>
      <c r="E227" s="51"/>
      <c r="AD227" s="31" t="s">
        <v>239</v>
      </c>
      <c r="AE227" s="32" t="s">
        <v>11</v>
      </c>
      <c r="AF227" s="32">
        <v>2901.0</v>
      </c>
      <c r="AG227" s="33">
        <v>0.0</v>
      </c>
    </row>
    <row r="228" ht="14.25" customHeight="1">
      <c r="D228" s="51"/>
      <c r="E228" s="51"/>
      <c r="AD228" s="53" t="s">
        <v>240</v>
      </c>
      <c r="AE228" s="54" t="s">
        <v>11</v>
      </c>
      <c r="AF228" s="54">
        <v>2316.0</v>
      </c>
      <c r="AG228" s="55">
        <v>0.0</v>
      </c>
    </row>
    <row r="229" ht="14.25" customHeight="1">
      <c r="D229" s="51"/>
      <c r="E229" s="51"/>
      <c r="AD229" s="31" t="s">
        <v>241</v>
      </c>
      <c r="AE229" s="32" t="s">
        <v>11</v>
      </c>
      <c r="AF229" s="32">
        <v>2095.0</v>
      </c>
      <c r="AG229" s="33">
        <v>0.0</v>
      </c>
    </row>
    <row r="230" ht="14.25" customHeight="1">
      <c r="D230" s="51"/>
      <c r="E230" s="51"/>
      <c r="AD230" s="53" t="s">
        <v>242</v>
      </c>
      <c r="AE230" s="54" t="s">
        <v>11</v>
      </c>
      <c r="AF230" s="54">
        <v>3746.0</v>
      </c>
      <c r="AG230" s="55">
        <v>0.0</v>
      </c>
    </row>
    <row r="231" ht="14.25" customHeight="1">
      <c r="D231" s="51"/>
      <c r="E231" s="51"/>
      <c r="AD231" s="31" t="s">
        <v>243</v>
      </c>
      <c r="AE231" s="32" t="s">
        <v>11</v>
      </c>
      <c r="AF231" s="32">
        <v>2094.0</v>
      </c>
      <c r="AG231" s="33">
        <v>0.0</v>
      </c>
    </row>
    <row r="232" ht="14.25" customHeight="1">
      <c r="D232" s="51"/>
      <c r="E232" s="51"/>
      <c r="AD232" s="53" t="s">
        <v>244</v>
      </c>
      <c r="AE232" s="54" t="s">
        <v>11</v>
      </c>
      <c r="AF232" s="54">
        <v>5843.0</v>
      </c>
      <c r="AG232" s="55">
        <v>0.0</v>
      </c>
    </row>
    <row r="233" ht="14.25" customHeight="1">
      <c r="D233" s="51"/>
      <c r="E233" s="51"/>
      <c r="AD233" s="31" t="s">
        <v>245</v>
      </c>
      <c r="AE233" s="32" t="s">
        <v>11</v>
      </c>
      <c r="AF233" s="32">
        <v>2127.0</v>
      </c>
      <c r="AG233" s="33">
        <v>0.0</v>
      </c>
    </row>
    <row r="234" ht="14.25" customHeight="1">
      <c r="D234" s="51"/>
      <c r="E234" s="51"/>
      <c r="AD234" s="53" t="s">
        <v>246</v>
      </c>
      <c r="AE234" s="54" t="s">
        <v>11</v>
      </c>
      <c r="AF234" s="54">
        <v>6809.0</v>
      </c>
      <c r="AG234" s="55">
        <v>0.0</v>
      </c>
    </row>
    <row r="235" ht="14.25" customHeight="1">
      <c r="D235" s="51"/>
      <c r="E235" s="51"/>
      <c r="AD235" s="31" t="s">
        <v>247</v>
      </c>
      <c r="AE235" s="32" t="s">
        <v>248</v>
      </c>
      <c r="AF235" s="32">
        <v>2695.0</v>
      </c>
      <c r="AG235" s="33">
        <v>0.0</v>
      </c>
    </row>
    <row r="236" ht="14.25" customHeight="1">
      <c r="D236" s="51"/>
      <c r="E236" s="51"/>
      <c r="AD236" s="53" t="s">
        <v>249</v>
      </c>
      <c r="AE236" s="54" t="s">
        <v>11</v>
      </c>
      <c r="AF236" s="54">
        <v>2317.0</v>
      </c>
      <c r="AG236" s="55">
        <v>0.0</v>
      </c>
    </row>
    <row r="237" ht="14.25" customHeight="1">
      <c r="D237" s="51"/>
      <c r="E237" s="51"/>
      <c r="AD237" s="31" t="s">
        <v>250</v>
      </c>
      <c r="AE237" s="32" t="s">
        <v>11</v>
      </c>
      <c r="AF237" s="32">
        <v>3054.0</v>
      </c>
      <c r="AG237" s="33">
        <v>0.0</v>
      </c>
    </row>
    <row r="238" ht="14.25" customHeight="1">
      <c r="D238" s="51"/>
      <c r="E238" s="51"/>
      <c r="AD238" s="53" t="s">
        <v>251</v>
      </c>
      <c r="AE238" s="54" t="s">
        <v>248</v>
      </c>
      <c r="AF238" s="54">
        <v>2128.0</v>
      </c>
      <c r="AG238" s="55">
        <v>0.0</v>
      </c>
    </row>
    <row r="239" ht="14.25" customHeight="1">
      <c r="D239" s="51"/>
      <c r="E239" s="51"/>
      <c r="AD239" s="31" t="s">
        <v>252</v>
      </c>
      <c r="AE239" s="32" t="s">
        <v>11</v>
      </c>
      <c r="AF239" s="32">
        <v>2129.0</v>
      </c>
      <c r="AG239" s="33">
        <v>0.0</v>
      </c>
    </row>
    <row r="240" ht="14.25" customHeight="1">
      <c r="D240" s="51"/>
      <c r="E240" s="51"/>
      <c r="AD240" s="53" t="s">
        <v>253</v>
      </c>
      <c r="AE240" s="54" t="s">
        <v>11</v>
      </c>
      <c r="AF240" s="54">
        <v>2673.0</v>
      </c>
      <c r="AG240" s="55">
        <v>0.0</v>
      </c>
    </row>
    <row r="241" ht="14.25" customHeight="1">
      <c r="D241" s="51"/>
      <c r="E241" s="51"/>
      <c r="AD241" s="31" t="s">
        <v>254</v>
      </c>
      <c r="AE241" s="32" t="s">
        <v>11</v>
      </c>
      <c r="AF241" s="32">
        <v>3339.0</v>
      </c>
      <c r="AG241" s="33">
        <v>0.0</v>
      </c>
    </row>
    <row r="242" ht="14.25" customHeight="1">
      <c r="D242" s="51"/>
      <c r="E242" s="51"/>
      <c r="AD242" s="53" t="s">
        <v>255</v>
      </c>
      <c r="AE242" s="54" t="s">
        <v>11</v>
      </c>
      <c r="AF242" s="54">
        <v>2076.0</v>
      </c>
      <c r="AG242" s="55">
        <v>19.9</v>
      </c>
    </row>
    <row r="243" ht="14.25" customHeight="1">
      <c r="D243" s="51"/>
      <c r="E243" s="51"/>
      <c r="AD243" s="31" t="s">
        <v>256</v>
      </c>
      <c r="AE243" s="32" t="s">
        <v>11</v>
      </c>
      <c r="AF243" s="32">
        <v>2507.0</v>
      </c>
      <c r="AG243" s="33">
        <v>0.0</v>
      </c>
    </row>
    <row r="244" ht="14.25" customHeight="1">
      <c r="D244" s="51"/>
      <c r="E244" s="51"/>
      <c r="AD244" s="53" t="s">
        <v>257</v>
      </c>
      <c r="AE244" s="54" t="s">
        <v>258</v>
      </c>
      <c r="AF244" s="54">
        <v>2122.0</v>
      </c>
      <c r="AG244" s="55">
        <v>0.0</v>
      </c>
    </row>
    <row r="245" ht="14.25" customHeight="1">
      <c r="D245" s="51"/>
      <c r="E245" s="51"/>
      <c r="AD245" s="31" t="s">
        <v>259</v>
      </c>
      <c r="AE245" s="32" t="s">
        <v>11</v>
      </c>
      <c r="AF245" s="32">
        <v>2344.0</v>
      </c>
      <c r="AG245" s="33">
        <v>0.0</v>
      </c>
    </row>
    <row r="246" ht="14.25" customHeight="1">
      <c r="D246" s="51"/>
      <c r="E246" s="51"/>
      <c r="AD246" s="53" t="s">
        <v>260</v>
      </c>
      <c r="AE246" s="54" t="s">
        <v>11</v>
      </c>
      <c r="AF246" s="54">
        <v>2568.0</v>
      </c>
      <c r="AG246" s="55">
        <v>0.0</v>
      </c>
    </row>
    <row r="247" ht="14.25" customHeight="1">
      <c r="D247" s="51"/>
      <c r="E247" s="51"/>
      <c r="AD247" s="31" t="s">
        <v>261</v>
      </c>
      <c r="AE247" s="32" t="s">
        <v>11</v>
      </c>
      <c r="AF247" s="32">
        <v>2627.0</v>
      </c>
      <c r="AG247" s="33">
        <v>0.0</v>
      </c>
    </row>
    <row r="248" ht="14.25" customHeight="1">
      <c r="D248" s="51"/>
      <c r="E248" s="51"/>
      <c r="AD248" s="53" t="s">
        <v>262</v>
      </c>
      <c r="AE248" s="54" t="s">
        <v>18</v>
      </c>
      <c r="AF248" s="54">
        <v>2123.0</v>
      </c>
      <c r="AG248" s="55">
        <v>5.99</v>
      </c>
    </row>
    <row r="249" ht="14.25" customHeight="1">
      <c r="D249" s="51"/>
      <c r="E249" s="51"/>
      <c r="AD249" s="31" t="s">
        <v>263</v>
      </c>
      <c r="AE249" s="32" t="s">
        <v>11</v>
      </c>
      <c r="AF249" s="32">
        <v>6488.0</v>
      </c>
      <c r="AG249" s="33">
        <v>39.9</v>
      </c>
    </row>
    <row r="250" ht="14.25" customHeight="1">
      <c r="D250" s="51"/>
      <c r="E250" s="51"/>
      <c r="AD250" s="53" t="s">
        <v>264</v>
      </c>
      <c r="AE250" s="54" t="s">
        <v>8</v>
      </c>
      <c r="AF250" s="54">
        <v>335553.0</v>
      </c>
      <c r="AG250" s="55">
        <v>1.99</v>
      </c>
    </row>
    <row r="251" ht="14.25" customHeight="1">
      <c r="D251" s="51"/>
      <c r="E251" s="51"/>
      <c r="AD251" s="31" t="s">
        <v>265</v>
      </c>
      <c r="AE251" s="32" t="s">
        <v>266</v>
      </c>
      <c r="AF251" s="32">
        <v>2163.0</v>
      </c>
      <c r="AG251" s="33">
        <v>0.0</v>
      </c>
    </row>
    <row r="252" ht="14.25" customHeight="1">
      <c r="D252" s="51"/>
      <c r="E252" s="51"/>
      <c r="AD252" s="53" t="s">
        <v>267</v>
      </c>
      <c r="AE252" s="54" t="s">
        <v>11</v>
      </c>
      <c r="AF252" s="54">
        <v>2023.0</v>
      </c>
      <c r="AG252" s="55">
        <v>0.0</v>
      </c>
    </row>
    <row r="253" ht="14.25" customHeight="1">
      <c r="D253" s="51"/>
      <c r="E253" s="51"/>
      <c r="AD253" s="31" t="s">
        <v>268</v>
      </c>
      <c r="AE253" s="32" t="s">
        <v>8</v>
      </c>
      <c r="AF253" s="32">
        <v>218467.0</v>
      </c>
      <c r="AG253" s="33">
        <v>0.0</v>
      </c>
    </row>
    <row r="254" ht="14.25" customHeight="1">
      <c r="D254" s="51"/>
      <c r="E254" s="51"/>
      <c r="AD254" s="53" t="s">
        <v>269</v>
      </c>
      <c r="AE254" s="54" t="s">
        <v>18</v>
      </c>
      <c r="AF254" s="54">
        <v>2699.0</v>
      </c>
      <c r="AG254" s="55">
        <v>0.0</v>
      </c>
    </row>
    <row r="255" ht="14.25" customHeight="1">
      <c r="D255" s="51"/>
      <c r="E255" s="51"/>
      <c r="AD255" s="31" t="s">
        <v>270</v>
      </c>
      <c r="AE255" s="32" t="s">
        <v>11</v>
      </c>
      <c r="AF255" s="32">
        <v>6456.0</v>
      </c>
      <c r="AG255" s="33">
        <v>39.9</v>
      </c>
    </row>
    <row r="256" ht="14.25" customHeight="1">
      <c r="D256" s="51"/>
      <c r="E256" s="51"/>
      <c r="AD256" s="53" t="s">
        <v>271</v>
      </c>
      <c r="AE256" s="54" t="s">
        <v>11</v>
      </c>
      <c r="AF256" s="54">
        <v>2506.0</v>
      </c>
      <c r="AG256" s="55">
        <v>0.0</v>
      </c>
    </row>
    <row r="257" ht="14.25" customHeight="1">
      <c r="D257" s="51"/>
      <c r="E257" s="51"/>
      <c r="AD257" s="31" t="s">
        <v>272</v>
      </c>
      <c r="AE257" s="32" t="s">
        <v>11</v>
      </c>
      <c r="AF257" s="32">
        <v>6457.0</v>
      </c>
      <c r="AG257" s="33">
        <v>29.9</v>
      </c>
    </row>
    <row r="258" ht="14.25" customHeight="1">
      <c r="D258" s="51"/>
      <c r="E258" s="51"/>
      <c r="AD258" s="53" t="s">
        <v>273</v>
      </c>
      <c r="AE258" s="54" t="s">
        <v>11</v>
      </c>
      <c r="AF258" s="54">
        <v>6521.0</v>
      </c>
      <c r="AG258" s="55">
        <v>29.9</v>
      </c>
    </row>
    <row r="259" ht="14.25" customHeight="1">
      <c r="D259" s="51"/>
      <c r="E259" s="51"/>
      <c r="AD259" s="31" t="s">
        <v>274</v>
      </c>
      <c r="AE259" s="32" t="s">
        <v>11</v>
      </c>
      <c r="AF259" s="32">
        <v>2482.0</v>
      </c>
      <c r="AG259" s="33">
        <v>0.0</v>
      </c>
    </row>
    <row r="260" ht="14.25" customHeight="1">
      <c r="D260" s="51"/>
      <c r="E260" s="51"/>
      <c r="AD260" s="53" t="s">
        <v>275</v>
      </c>
      <c r="AE260" s="54" t="s">
        <v>11</v>
      </c>
      <c r="AF260" s="54">
        <v>6177.0</v>
      </c>
      <c r="AG260" s="55">
        <v>39.9</v>
      </c>
    </row>
    <row r="261" ht="14.25" customHeight="1">
      <c r="D261" s="51"/>
      <c r="E261" s="51"/>
      <c r="AD261" s="31" t="s">
        <v>276</v>
      </c>
      <c r="AE261" s="32" t="s">
        <v>11</v>
      </c>
      <c r="AF261" s="32">
        <v>5962.0</v>
      </c>
      <c r="AG261" s="33">
        <v>0.0</v>
      </c>
    </row>
    <row r="262" ht="14.25" customHeight="1">
      <c r="D262" s="51"/>
      <c r="E262" s="51"/>
      <c r="AD262" s="53" t="s">
        <v>277</v>
      </c>
      <c r="AE262" s="54" t="s">
        <v>11</v>
      </c>
      <c r="AF262" s="54">
        <v>5527.0</v>
      </c>
      <c r="AG262" s="55">
        <v>29.9</v>
      </c>
    </row>
    <row r="263" ht="14.25" customHeight="1">
      <c r="D263" s="51"/>
      <c r="E263" s="51"/>
      <c r="AD263" s="31" t="s">
        <v>278</v>
      </c>
      <c r="AE263" s="32" t="s">
        <v>11</v>
      </c>
      <c r="AF263" s="32">
        <v>2096.0</v>
      </c>
      <c r="AG263" s="33">
        <v>0.0</v>
      </c>
    </row>
    <row r="264" ht="14.25" customHeight="1">
      <c r="D264" s="51"/>
      <c r="E264" s="51"/>
      <c r="AD264" s="53" t="s">
        <v>279</v>
      </c>
      <c r="AE264" s="54" t="s">
        <v>11</v>
      </c>
      <c r="AF264" s="54">
        <v>2137.0</v>
      </c>
      <c r="AG264" s="55">
        <v>0.0</v>
      </c>
    </row>
    <row r="265" ht="14.25" customHeight="1">
      <c r="D265" s="51"/>
      <c r="E265" s="51"/>
      <c r="AD265" s="31" t="s">
        <v>280</v>
      </c>
      <c r="AE265" s="32" t="s">
        <v>11</v>
      </c>
      <c r="AF265" s="32">
        <v>6447.0</v>
      </c>
      <c r="AG265" s="33">
        <v>19.9</v>
      </c>
    </row>
    <row r="266" ht="14.25" customHeight="1">
      <c r="D266" s="51"/>
      <c r="E266" s="51"/>
      <c r="AD266" s="53" t="s">
        <v>281</v>
      </c>
      <c r="AE266" s="54" t="s">
        <v>11</v>
      </c>
      <c r="AF266" s="54">
        <v>7.891132009305E12</v>
      </c>
      <c r="AG266" s="55">
        <v>0.0</v>
      </c>
    </row>
    <row r="267" ht="14.25" customHeight="1">
      <c r="D267" s="51"/>
      <c r="E267" s="51"/>
      <c r="AD267" s="31" t="s">
        <v>282</v>
      </c>
      <c r="AE267" s="32" t="s">
        <v>11</v>
      </c>
      <c r="AF267" s="32">
        <v>6463.0</v>
      </c>
      <c r="AG267" s="33">
        <v>39.9</v>
      </c>
    </row>
    <row r="268" ht="14.25" customHeight="1">
      <c r="D268" s="51"/>
      <c r="E268" s="51"/>
      <c r="AD268" s="53" t="s">
        <v>283</v>
      </c>
      <c r="AE268" s="54" t="s">
        <v>11</v>
      </c>
      <c r="AF268" s="54">
        <v>5987.0</v>
      </c>
      <c r="AG268" s="55">
        <v>0.0</v>
      </c>
    </row>
    <row r="269" ht="14.25" customHeight="1">
      <c r="D269" s="51"/>
      <c r="E269" s="51"/>
      <c r="AD269" s="31" t="s">
        <v>284</v>
      </c>
      <c r="AE269" s="32" t="s">
        <v>11</v>
      </c>
      <c r="AF269" s="32">
        <v>2238.0</v>
      </c>
      <c r="AG269" s="33">
        <v>10.08</v>
      </c>
    </row>
    <row r="270" ht="14.25" customHeight="1">
      <c r="D270" s="51"/>
      <c r="E270" s="51"/>
      <c r="AD270" s="53" t="s">
        <v>285</v>
      </c>
      <c r="AE270" s="54" t="s">
        <v>11</v>
      </c>
      <c r="AF270" s="54">
        <v>2126.0</v>
      </c>
      <c r="AG270" s="55">
        <v>0.0</v>
      </c>
    </row>
    <row r="271" ht="14.25" customHeight="1">
      <c r="D271" s="51"/>
      <c r="E271" s="51"/>
      <c r="AD271" s="31" t="s">
        <v>286</v>
      </c>
      <c r="AE271" s="32" t="s">
        <v>11</v>
      </c>
      <c r="AF271" s="32">
        <v>2349.0</v>
      </c>
      <c r="AG271" s="33">
        <v>0.0</v>
      </c>
    </row>
    <row r="272" ht="14.25" customHeight="1">
      <c r="D272" s="51"/>
      <c r="E272" s="51"/>
      <c r="AD272" s="53" t="s">
        <v>287</v>
      </c>
      <c r="AE272" s="54" t="s">
        <v>11</v>
      </c>
      <c r="AF272" s="54">
        <v>2083.0</v>
      </c>
      <c r="AG272" s="55">
        <v>0.0</v>
      </c>
    </row>
    <row r="273" ht="14.25" customHeight="1">
      <c r="D273" s="51"/>
      <c r="E273" s="51"/>
      <c r="AD273" s="31" t="s">
        <v>288</v>
      </c>
      <c r="AE273" s="32" t="s">
        <v>11</v>
      </c>
      <c r="AF273" s="32">
        <v>3084.0</v>
      </c>
      <c r="AG273" s="33">
        <v>0.0</v>
      </c>
    </row>
    <row r="274" ht="14.25" customHeight="1">
      <c r="D274" s="51"/>
      <c r="E274" s="51"/>
      <c r="AD274" s="53" t="s">
        <v>289</v>
      </c>
      <c r="AE274" s="54" t="s">
        <v>11</v>
      </c>
      <c r="AF274" s="54">
        <v>2803.0</v>
      </c>
      <c r="AG274" s="55">
        <v>0.0</v>
      </c>
    </row>
    <row r="275" ht="14.25" customHeight="1">
      <c r="D275" s="51"/>
      <c r="E275" s="51"/>
      <c r="AD275" s="31" t="s">
        <v>290</v>
      </c>
      <c r="AE275" s="32" t="s">
        <v>11</v>
      </c>
      <c r="AF275" s="32">
        <v>7524.0</v>
      </c>
      <c r="AG275" s="33">
        <v>145.0</v>
      </c>
    </row>
    <row r="276" ht="14.25" customHeight="1">
      <c r="D276" s="51"/>
      <c r="E276" s="51"/>
      <c r="AD276" s="53" t="s">
        <v>291</v>
      </c>
      <c r="AE276" s="54" t="s">
        <v>11</v>
      </c>
      <c r="AF276" s="54">
        <v>2566.0</v>
      </c>
      <c r="AG276" s="55">
        <v>0.0</v>
      </c>
    </row>
    <row r="277" ht="14.25" customHeight="1">
      <c r="D277" s="51"/>
      <c r="E277" s="51"/>
      <c r="AD277" s="131" t="s">
        <v>292</v>
      </c>
      <c r="AE277" s="132" t="s">
        <v>8</v>
      </c>
      <c r="AF277" s="132">
        <v>297851.0</v>
      </c>
      <c r="AG277" s="133">
        <v>0.0</v>
      </c>
    </row>
    <row r="278" ht="14.25" customHeight="1">
      <c r="D278" s="51"/>
      <c r="E278" s="51"/>
      <c r="AD278" s="53" t="s">
        <v>293</v>
      </c>
      <c r="AE278" s="54" t="s">
        <v>11</v>
      </c>
      <c r="AF278" s="54">
        <v>2223.0</v>
      </c>
      <c r="AG278" s="55">
        <v>6.0</v>
      </c>
    </row>
    <row r="279" ht="14.25" customHeight="1">
      <c r="D279" s="51"/>
      <c r="E279" s="51"/>
      <c r="AD279" s="31" t="s">
        <v>294</v>
      </c>
      <c r="AE279" s="32" t="s">
        <v>8</v>
      </c>
      <c r="AF279" s="32">
        <v>214803.0</v>
      </c>
      <c r="AG279" s="33">
        <v>0.0</v>
      </c>
    </row>
    <row r="280" ht="14.25" customHeight="1">
      <c r="D280" s="51"/>
      <c r="E280" s="51"/>
      <c r="AD280" s="53" t="s">
        <v>295</v>
      </c>
      <c r="AE280" s="54" t="s">
        <v>11</v>
      </c>
      <c r="AF280" s="54">
        <v>6474.0</v>
      </c>
      <c r="AG280" s="55">
        <v>25.39</v>
      </c>
    </row>
    <row r="281" ht="14.25" customHeight="1">
      <c r="D281" s="51"/>
      <c r="E281" s="51"/>
      <c r="AD281" s="31" t="s">
        <v>296</v>
      </c>
      <c r="AE281" s="32" t="s">
        <v>297</v>
      </c>
      <c r="AF281" s="32">
        <v>2224.0</v>
      </c>
      <c r="AG281" s="33">
        <v>0.0</v>
      </c>
    </row>
    <row r="282" ht="14.25" customHeight="1">
      <c r="D282" s="51"/>
      <c r="E282" s="51"/>
      <c r="AD282" s="53" t="s">
        <v>298</v>
      </c>
      <c r="AE282" s="54" t="s">
        <v>11</v>
      </c>
      <c r="AF282" s="54">
        <v>2366.0</v>
      </c>
      <c r="AG282" s="55">
        <v>0.0</v>
      </c>
    </row>
    <row r="283" ht="14.25" customHeight="1">
      <c r="D283" s="51"/>
      <c r="E283" s="51"/>
      <c r="AD283" s="31" t="s">
        <v>299</v>
      </c>
      <c r="AE283" s="32" t="s">
        <v>11</v>
      </c>
      <c r="AF283" s="32">
        <v>5980.0</v>
      </c>
      <c r="AG283" s="33">
        <v>0.0</v>
      </c>
    </row>
    <row r="284" ht="14.25" customHeight="1">
      <c r="D284" s="51"/>
      <c r="E284" s="51"/>
      <c r="AD284" s="53" t="s">
        <v>300</v>
      </c>
      <c r="AE284" s="54" t="s">
        <v>11</v>
      </c>
      <c r="AF284" s="54">
        <v>2225.0</v>
      </c>
      <c r="AG284" s="55">
        <v>29.9</v>
      </c>
    </row>
    <row r="285" ht="14.25" customHeight="1">
      <c r="D285" s="51"/>
      <c r="E285" s="51"/>
      <c r="AD285" s="31" t="s">
        <v>301</v>
      </c>
      <c r="AE285" s="32" t="s">
        <v>11</v>
      </c>
      <c r="AF285" s="32">
        <v>2436.0</v>
      </c>
      <c r="AG285" s="33">
        <v>0.0</v>
      </c>
    </row>
    <row r="286" ht="14.25" customHeight="1">
      <c r="D286" s="51"/>
      <c r="E286" s="51"/>
      <c r="AD286" s="53" t="s">
        <v>302</v>
      </c>
      <c r="AE286" s="54" t="s">
        <v>11</v>
      </c>
      <c r="AF286" s="54">
        <v>2437.0</v>
      </c>
      <c r="AG286" s="55">
        <v>0.0</v>
      </c>
    </row>
    <row r="287" ht="14.25" customHeight="1">
      <c r="D287" s="51"/>
      <c r="E287" s="51"/>
      <c r="AD287" s="31" t="s">
        <v>303</v>
      </c>
      <c r="AE287" s="32" t="s">
        <v>11</v>
      </c>
      <c r="AF287" s="32">
        <v>4785.0</v>
      </c>
      <c r="AG287" s="33">
        <v>0.0</v>
      </c>
    </row>
    <row r="288" ht="14.25" customHeight="1">
      <c r="D288" s="51"/>
      <c r="E288" s="51"/>
      <c r="AD288" s="53" t="s">
        <v>304</v>
      </c>
      <c r="AE288" s="54" t="s">
        <v>11</v>
      </c>
      <c r="AF288" s="54">
        <v>5847.0</v>
      </c>
      <c r="AG288" s="55">
        <v>23.2</v>
      </c>
    </row>
    <row r="289" ht="14.25" customHeight="1">
      <c r="D289" s="51"/>
      <c r="E289" s="51"/>
      <c r="AD289" s="31" t="s">
        <v>305</v>
      </c>
      <c r="AE289" s="32" t="s">
        <v>11</v>
      </c>
      <c r="AF289" s="32">
        <v>4025.0</v>
      </c>
      <c r="AG289" s="33">
        <v>0.0</v>
      </c>
    </row>
    <row r="290" ht="14.25" customHeight="1">
      <c r="D290" s="51"/>
      <c r="E290" s="51"/>
      <c r="AD290" s="53" t="s">
        <v>306</v>
      </c>
      <c r="AE290" s="54" t="s">
        <v>11</v>
      </c>
      <c r="AF290" s="54">
        <v>2735.0</v>
      </c>
      <c r="AG290" s="55">
        <v>0.0</v>
      </c>
    </row>
    <row r="291" ht="14.25" customHeight="1">
      <c r="D291" s="51"/>
      <c r="E291" s="51"/>
      <c r="AD291" s="31" t="s">
        <v>307</v>
      </c>
      <c r="AE291" s="32" t="s">
        <v>11</v>
      </c>
      <c r="AF291" s="32">
        <v>2457.0</v>
      </c>
      <c r="AG291" s="33">
        <v>0.0</v>
      </c>
    </row>
    <row r="292" ht="14.25" customHeight="1">
      <c r="D292" s="51"/>
      <c r="E292" s="51"/>
      <c r="AD292" s="53" t="s">
        <v>308</v>
      </c>
      <c r="AE292" s="54" t="s">
        <v>11</v>
      </c>
      <c r="AF292" s="54">
        <v>3146.0</v>
      </c>
      <c r="AG292" s="55">
        <v>0.0</v>
      </c>
    </row>
    <row r="293" ht="14.25" customHeight="1">
      <c r="D293" s="51"/>
      <c r="E293" s="51"/>
      <c r="AD293" s="31" t="s">
        <v>309</v>
      </c>
      <c r="AE293" s="32" t="s">
        <v>11</v>
      </c>
      <c r="AF293" s="32">
        <v>7.898598810582E12</v>
      </c>
      <c r="AG293" s="33">
        <v>51.9</v>
      </c>
    </row>
    <row r="294" ht="14.25" customHeight="1">
      <c r="D294" s="51"/>
      <c r="E294" s="51"/>
      <c r="AD294" s="53" t="s">
        <v>310</v>
      </c>
      <c r="AE294" s="54" t="s">
        <v>11</v>
      </c>
      <c r="AF294" s="54">
        <v>2097.0</v>
      </c>
      <c r="AG294" s="55">
        <v>0.0</v>
      </c>
    </row>
    <row r="295" ht="14.25" customHeight="1">
      <c r="D295" s="51"/>
      <c r="E295" s="51"/>
      <c r="AD295" s="31" t="s">
        <v>311</v>
      </c>
      <c r="AE295" s="32" t="s">
        <v>11</v>
      </c>
      <c r="AF295" s="32">
        <v>2691.0</v>
      </c>
      <c r="AG295" s="33">
        <v>0.0</v>
      </c>
    </row>
    <row r="296" ht="14.25" customHeight="1">
      <c r="D296" s="51"/>
      <c r="E296" s="51"/>
      <c r="AD296" s="53" t="s">
        <v>312</v>
      </c>
      <c r="AE296" s="54" t="s">
        <v>11</v>
      </c>
      <c r="AF296" s="54">
        <v>2084.0</v>
      </c>
      <c r="AG296" s="55">
        <v>0.0</v>
      </c>
    </row>
    <row r="297" ht="14.25" customHeight="1">
      <c r="D297" s="51"/>
      <c r="E297" s="51"/>
      <c r="AD297" s="31" t="s">
        <v>313</v>
      </c>
      <c r="AE297" s="32" t="s">
        <v>11</v>
      </c>
      <c r="AF297" s="32">
        <v>2226.0</v>
      </c>
      <c r="AG297" s="33">
        <v>8.5</v>
      </c>
    </row>
    <row r="298" ht="14.25" customHeight="1">
      <c r="D298" s="51"/>
      <c r="E298" s="51"/>
      <c r="AD298" s="53" t="s">
        <v>314</v>
      </c>
      <c r="AE298" s="54" t="s">
        <v>11</v>
      </c>
      <c r="AF298" s="54">
        <v>4881.0</v>
      </c>
      <c r="AG298" s="55">
        <v>0.0</v>
      </c>
    </row>
    <row r="299" ht="14.25" customHeight="1">
      <c r="D299" s="51"/>
      <c r="E299" s="51"/>
      <c r="AD299" s="31" t="s">
        <v>315</v>
      </c>
      <c r="AE299" s="32" t="s">
        <v>11</v>
      </c>
      <c r="AF299" s="32">
        <v>2516.0</v>
      </c>
      <c r="AG299" s="33">
        <v>0.0</v>
      </c>
    </row>
    <row r="300" ht="14.25" customHeight="1">
      <c r="D300" s="51"/>
      <c r="E300" s="51"/>
      <c r="AD300" s="53" t="s">
        <v>316</v>
      </c>
      <c r="AE300" s="54" t="s">
        <v>11</v>
      </c>
      <c r="AF300" s="54">
        <v>2227.0</v>
      </c>
      <c r="AG300" s="55">
        <v>10.93</v>
      </c>
    </row>
    <row r="301" ht="14.25" customHeight="1">
      <c r="D301" s="51"/>
      <c r="E301" s="51"/>
      <c r="AD301" s="31" t="s">
        <v>317</v>
      </c>
      <c r="AE301" s="32" t="s">
        <v>11</v>
      </c>
      <c r="AF301" s="32">
        <v>2085.0</v>
      </c>
      <c r="AG301" s="33">
        <v>0.0</v>
      </c>
    </row>
    <row r="302" ht="14.25" customHeight="1">
      <c r="D302" s="51"/>
      <c r="E302" s="51"/>
      <c r="AD302" s="53" t="s">
        <v>318</v>
      </c>
      <c r="AE302" s="54" t="s">
        <v>11</v>
      </c>
      <c r="AF302" s="54">
        <v>2914.0</v>
      </c>
      <c r="AG302" s="55">
        <v>0.0</v>
      </c>
    </row>
    <row r="303" ht="14.25" customHeight="1">
      <c r="D303" s="51"/>
      <c r="E303" s="51"/>
      <c r="AD303" s="31" t="s">
        <v>319</v>
      </c>
      <c r="AE303" s="32" t="s">
        <v>11</v>
      </c>
      <c r="AF303" s="32">
        <v>6391.0</v>
      </c>
      <c r="AG303" s="33">
        <v>10.99</v>
      </c>
    </row>
    <row r="304" ht="14.25" customHeight="1">
      <c r="D304" s="51"/>
      <c r="E304" s="51"/>
      <c r="AD304" s="53" t="s">
        <v>320</v>
      </c>
      <c r="AE304" s="54" t="s">
        <v>11</v>
      </c>
      <c r="AF304" s="54">
        <v>2363.0</v>
      </c>
      <c r="AG304" s="55">
        <v>0.0</v>
      </c>
    </row>
    <row r="305" ht="14.25" customHeight="1">
      <c r="D305" s="51"/>
      <c r="E305" s="51"/>
      <c r="AD305" s="31" t="s">
        <v>321</v>
      </c>
      <c r="AE305" s="32" t="s">
        <v>11</v>
      </c>
      <c r="AF305" s="32">
        <v>2535.0</v>
      </c>
      <c r="AG305" s="33">
        <v>0.0</v>
      </c>
    </row>
    <row r="306" ht="14.25" customHeight="1">
      <c r="D306" s="51"/>
      <c r="E306" s="51"/>
      <c r="AD306" s="53" t="s">
        <v>322</v>
      </c>
      <c r="AE306" s="54" t="s">
        <v>11</v>
      </c>
      <c r="AF306" s="54">
        <v>2251.0</v>
      </c>
      <c r="AG306" s="55">
        <v>0.0</v>
      </c>
    </row>
    <row r="307" ht="14.25" customHeight="1">
      <c r="D307" s="51"/>
      <c r="E307" s="51"/>
      <c r="AD307" s="31" t="s">
        <v>323</v>
      </c>
      <c r="AE307" s="32" t="s">
        <v>11</v>
      </c>
      <c r="AF307" s="32">
        <v>3074.0</v>
      </c>
      <c r="AG307" s="33">
        <v>0.0</v>
      </c>
    </row>
    <row r="308" ht="14.25" customHeight="1">
      <c r="D308" s="51"/>
      <c r="E308" s="51"/>
      <c r="AD308" s="53" t="s">
        <v>324</v>
      </c>
      <c r="AE308" s="54" t="s">
        <v>11</v>
      </c>
      <c r="AF308" s="54">
        <v>2951.0</v>
      </c>
      <c r="AG308" s="55">
        <v>0.0</v>
      </c>
    </row>
    <row r="309" ht="14.25" customHeight="1">
      <c r="D309" s="51"/>
      <c r="E309" s="51"/>
      <c r="AD309" s="31" t="s">
        <v>325</v>
      </c>
      <c r="AE309" s="32" t="s">
        <v>11</v>
      </c>
      <c r="AF309" s="32">
        <v>2888.0</v>
      </c>
      <c r="AG309" s="33">
        <v>0.0</v>
      </c>
    </row>
    <row r="310" ht="14.25" customHeight="1">
      <c r="D310" s="51"/>
      <c r="E310" s="51"/>
      <c r="AD310" s="53" t="s">
        <v>326</v>
      </c>
      <c r="AE310" s="54" t="s">
        <v>11</v>
      </c>
      <c r="AF310" s="54">
        <v>2926.0</v>
      </c>
      <c r="AG310" s="55">
        <v>0.0</v>
      </c>
    </row>
    <row r="311" ht="14.25" customHeight="1">
      <c r="D311" s="51"/>
      <c r="E311" s="51"/>
      <c r="AD311" s="31" t="s">
        <v>327</v>
      </c>
      <c r="AE311" s="32" t="s">
        <v>11</v>
      </c>
      <c r="AF311" s="32">
        <v>2318.0</v>
      </c>
      <c r="AG311" s="33">
        <v>0.0</v>
      </c>
    </row>
    <row r="312" ht="14.25" customHeight="1">
      <c r="D312" s="51"/>
      <c r="E312" s="51"/>
      <c r="AD312" s="53" t="s">
        <v>328</v>
      </c>
      <c r="AE312" s="54" t="s">
        <v>11</v>
      </c>
      <c r="AF312" s="54">
        <v>2345.0</v>
      </c>
      <c r="AG312" s="55">
        <v>0.0</v>
      </c>
    </row>
    <row r="313" ht="14.25" customHeight="1">
      <c r="D313" s="51"/>
      <c r="E313" s="51"/>
      <c r="AD313" s="31" t="s">
        <v>329</v>
      </c>
      <c r="AE313" s="32" t="s">
        <v>11</v>
      </c>
      <c r="AF313" s="32">
        <v>2675.0</v>
      </c>
      <c r="AG313" s="33">
        <v>0.0</v>
      </c>
    </row>
    <row r="314" ht="14.25" customHeight="1">
      <c r="D314" s="51"/>
      <c r="E314" s="51"/>
      <c r="AD314" s="53" t="s">
        <v>330</v>
      </c>
      <c r="AE314" s="54" t="s">
        <v>11</v>
      </c>
      <c r="AF314" s="54">
        <v>3840.0</v>
      </c>
      <c r="AG314" s="55">
        <v>0.0</v>
      </c>
    </row>
    <row r="315" ht="14.25" customHeight="1">
      <c r="D315" s="51"/>
      <c r="E315" s="51"/>
      <c r="AD315" s="31" t="s">
        <v>331</v>
      </c>
      <c r="AE315" s="32" t="s">
        <v>11</v>
      </c>
      <c r="AF315" s="32">
        <v>4345.0</v>
      </c>
      <c r="AG315" s="33">
        <v>0.0</v>
      </c>
    </row>
    <row r="316" ht="14.25" customHeight="1">
      <c r="D316" s="51"/>
      <c r="E316" s="51"/>
      <c r="AD316" s="53" t="s">
        <v>332</v>
      </c>
      <c r="AE316" s="54" t="s">
        <v>11</v>
      </c>
      <c r="AF316" s="54">
        <v>2341.0</v>
      </c>
      <c r="AG316" s="55">
        <v>0.0</v>
      </c>
    </row>
    <row r="317" ht="14.25" customHeight="1">
      <c r="D317" s="51"/>
      <c r="E317" s="51"/>
      <c r="AD317" s="31" t="s">
        <v>333</v>
      </c>
      <c r="AE317" s="32" t="s">
        <v>11</v>
      </c>
      <c r="AF317" s="32">
        <v>6445.0</v>
      </c>
      <c r="AG317" s="33">
        <v>0.0</v>
      </c>
    </row>
    <row r="318" ht="14.25" customHeight="1">
      <c r="D318" s="51"/>
      <c r="E318" s="51"/>
      <c r="AD318" s="53" t="s">
        <v>334</v>
      </c>
      <c r="AE318" s="54" t="s">
        <v>11</v>
      </c>
      <c r="AF318" s="54">
        <v>2561.0</v>
      </c>
      <c r="AG318" s="55">
        <v>0.0</v>
      </c>
    </row>
    <row r="319" ht="14.25" customHeight="1">
      <c r="D319" s="51"/>
      <c r="E319" s="51"/>
      <c r="AD319" s="31" t="s">
        <v>335</v>
      </c>
      <c r="AE319" s="32" t="s">
        <v>11</v>
      </c>
      <c r="AF319" s="32">
        <v>2491.0</v>
      </c>
      <c r="AG319" s="33">
        <v>0.0</v>
      </c>
    </row>
    <row r="320" ht="14.25" customHeight="1">
      <c r="D320" s="51"/>
      <c r="E320" s="51"/>
      <c r="AD320" s="53" t="s">
        <v>336</v>
      </c>
      <c r="AE320" s="54" t="s">
        <v>11</v>
      </c>
      <c r="AF320" s="54">
        <v>2121.0</v>
      </c>
      <c r="AG320" s="55">
        <v>0.0</v>
      </c>
    </row>
    <row r="321" ht="14.25" customHeight="1">
      <c r="D321" s="51"/>
      <c r="E321" s="51"/>
      <c r="AD321" s="31" t="s">
        <v>337</v>
      </c>
      <c r="AE321" s="32" t="s">
        <v>11</v>
      </c>
      <c r="AF321" s="32">
        <v>3148.0</v>
      </c>
      <c r="AG321" s="33">
        <v>0.0</v>
      </c>
    </row>
    <row r="322" ht="14.25" customHeight="1">
      <c r="D322" s="51"/>
      <c r="E322" s="51"/>
      <c r="AD322" s="53" t="s">
        <v>338</v>
      </c>
      <c r="AE322" s="54" t="s">
        <v>11</v>
      </c>
      <c r="AF322" s="54">
        <v>5025.0</v>
      </c>
      <c r="AG322" s="55">
        <v>0.0</v>
      </c>
    </row>
    <row r="323" ht="14.25" customHeight="1">
      <c r="D323" s="51"/>
      <c r="E323" s="51"/>
      <c r="AD323" s="31" t="s">
        <v>339</v>
      </c>
      <c r="AE323" s="32" t="s">
        <v>11</v>
      </c>
      <c r="AF323" s="32">
        <v>2138.0</v>
      </c>
      <c r="AG323" s="33">
        <v>0.0</v>
      </c>
    </row>
    <row r="324" ht="14.25" customHeight="1">
      <c r="D324" s="51"/>
      <c r="E324" s="51"/>
      <c r="AD324" s="53" t="s">
        <v>340</v>
      </c>
      <c r="AE324" s="54" t="s">
        <v>11</v>
      </c>
      <c r="AF324" s="54">
        <v>2456.0</v>
      </c>
      <c r="AG324" s="55">
        <v>0.0</v>
      </c>
    </row>
    <row r="325" ht="14.25" customHeight="1">
      <c r="D325" s="51"/>
      <c r="E325" s="51"/>
      <c r="AD325" s="31" t="s">
        <v>341</v>
      </c>
      <c r="AE325" s="32" t="s">
        <v>11</v>
      </c>
      <c r="AF325" s="32">
        <v>2022.0</v>
      </c>
      <c r="AG325" s="33">
        <v>0.0</v>
      </c>
    </row>
    <row r="326" ht="14.25" customHeight="1">
      <c r="D326" s="51"/>
      <c r="E326" s="51"/>
      <c r="AD326" s="53" t="s">
        <v>342</v>
      </c>
      <c r="AE326" s="54" t="s">
        <v>11</v>
      </c>
      <c r="AF326" s="54">
        <v>1898.0</v>
      </c>
      <c r="AG326" s="55">
        <v>0.0</v>
      </c>
    </row>
    <row r="327" ht="14.25" customHeight="1">
      <c r="D327" s="51"/>
      <c r="E327" s="51"/>
      <c r="AD327" s="31" t="s">
        <v>343</v>
      </c>
      <c r="AE327" s="32" t="s">
        <v>11</v>
      </c>
      <c r="AF327" s="32">
        <v>2466.0</v>
      </c>
      <c r="AG327" s="33">
        <v>0.0</v>
      </c>
    </row>
    <row r="328" ht="14.25" customHeight="1">
      <c r="D328" s="51"/>
      <c r="E328" s="51"/>
      <c r="AD328" s="53" t="s">
        <v>344</v>
      </c>
      <c r="AE328" s="54" t="s">
        <v>11</v>
      </c>
      <c r="AF328" s="54">
        <v>4603.0</v>
      </c>
      <c r="AG328" s="55">
        <v>0.0</v>
      </c>
    </row>
    <row r="329" ht="14.25" customHeight="1">
      <c r="D329" s="51"/>
      <c r="E329" s="51"/>
      <c r="AD329" s="31" t="s">
        <v>345</v>
      </c>
      <c r="AE329" s="32" t="s">
        <v>11</v>
      </c>
      <c r="AF329" s="32">
        <v>5203.0</v>
      </c>
      <c r="AG329" s="33">
        <v>0.0</v>
      </c>
    </row>
    <row r="330" ht="14.25" customHeight="1">
      <c r="D330" s="51"/>
      <c r="E330" s="51"/>
      <c r="AD330" s="53" t="s">
        <v>346</v>
      </c>
      <c r="AE330" s="54" t="s">
        <v>11</v>
      </c>
      <c r="AF330" s="54">
        <v>2562.0</v>
      </c>
      <c r="AG330" s="55">
        <v>0.0</v>
      </c>
    </row>
    <row r="331" ht="14.25" customHeight="1">
      <c r="D331" s="51"/>
      <c r="E331" s="51"/>
      <c r="AD331" s="31" t="s">
        <v>347</v>
      </c>
      <c r="AE331" s="32" t="s">
        <v>11</v>
      </c>
      <c r="AF331" s="32">
        <v>2782.0</v>
      </c>
      <c r="AG331" s="33">
        <v>0.0</v>
      </c>
    </row>
    <row r="332" ht="14.25" customHeight="1">
      <c r="D332" s="51"/>
      <c r="E332" s="51"/>
      <c r="AD332" s="53" t="s">
        <v>348</v>
      </c>
      <c r="AE332" s="54" t="s">
        <v>11</v>
      </c>
      <c r="AF332" s="54">
        <v>2045.0</v>
      </c>
      <c r="AG332" s="55">
        <v>0.0</v>
      </c>
    </row>
    <row r="333" ht="14.25" customHeight="1">
      <c r="D333" s="51"/>
      <c r="E333" s="51"/>
      <c r="AD333" s="31" t="s">
        <v>349</v>
      </c>
      <c r="AE333" s="32" t="s">
        <v>11</v>
      </c>
      <c r="AF333" s="32">
        <v>6246.0</v>
      </c>
      <c r="AG333" s="33">
        <v>49.9</v>
      </c>
    </row>
    <row r="334" ht="14.25" customHeight="1">
      <c r="D334" s="51"/>
      <c r="E334" s="51"/>
      <c r="AD334" s="53" t="s">
        <v>350</v>
      </c>
      <c r="AE334" s="54" t="s">
        <v>11</v>
      </c>
      <c r="AF334" s="54">
        <v>3261.0</v>
      </c>
      <c r="AG334" s="55">
        <v>0.0</v>
      </c>
    </row>
    <row r="335" ht="14.25" customHeight="1">
      <c r="D335" s="51"/>
      <c r="E335" s="51"/>
      <c r="AD335" s="31" t="s">
        <v>351</v>
      </c>
      <c r="AE335" s="32" t="s">
        <v>11</v>
      </c>
      <c r="AF335" s="32">
        <v>4140.0</v>
      </c>
      <c r="AG335" s="33">
        <v>1.0</v>
      </c>
    </row>
    <row r="336" ht="14.25" customHeight="1">
      <c r="D336" s="51"/>
      <c r="E336" s="51"/>
      <c r="AD336" s="53" t="s">
        <v>352</v>
      </c>
      <c r="AE336" s="54" t="s">
        <v>225</v>
      </c>
      <c r="AF336" s="54">
        <v>2483.0</v>
      </c>
      <c r="AG336" s="55">
        <v>0.0</v>
      </c>
    </row>
    <row r="337" ht="14.25" customHeight="1">
      <c r="D337" s="51"/>
      <c r="E337" s="51"/>
      <c r="AD337" s="31" t="s">
        <v>353</v>
      </c>
      <c r="AE337" s="32" t="s">
        <v>11</v>
      </c>
      <c r="AF337" s="32">
        <v>3507.0</v>
      </c>
      <c r="AG337" s="33">
        <v>10.9</v>
      </c>
    </row>
    <row r="338" ht="14.25" customHeight="1">
      <c r="D338" s="51"/>
      <c r="E338" s="51"/>
      <c r="AD338" s="53" t="s">
        <v>354</v>
      </c>
      <c r="AE338" s="54" t="s">
        <v>11</v>
      </c>
      <c r="AF338" s="54">
        <v>6533.0</v>
      </c>
      <c r="AG338" s="55">
        <v>0.0</v>
      </c>
    </row>
    <row r="339" ht="14.25" customHeight="1">
      <c r="D339" s="51"/>
      <c r="E339" s="51"/>
      <c r="AD339" s="31" t="s">
        <v>355</v>
      </c>
      <c r="AE339" s="32" t="s">
        <v>11</v>
      </c>
      <c r="AF339" s="32">
        <v>2240.0</v>
      </c>
      <c r="AG339" s="33">
        <v>14.9</v>
      </c>
    </row>
    <row r="340" ht="14.25" customHeight="1">
      <c r="D340" s="51"/>
      <c r="E340" s="51"/>
      <c r="AD340" s="53" t="s">
        <v>356</v>
      </c>
      <c r="AE340" s="54" t="s">
        <v>11</v>
      </c>
      <c r="AF340" s="54">
        <v>6469.0</v>
      </c>
      <c r="AG340" s="55">
        <v>59.9</v>
      </c>
    </row>
    <row r="341" ht="14.25" customHeight="1">
      <c r="D341" s="51"/>
      <c r="E341" s="51"/>
      <c r="AD341" s="31" t="s">
        <v>357</v>
      </c>
      <c r="AE341" s="32" t="s">
        <v>11</v>
      </c>
      <c r="AF341" s="32">
        <v>2556.0</v>
      </c>
      <c r="AG341" s="33">
        <v>0.0</v>
      </c>
    </row>
    <row r="342" ht="14.25" customHeight="1">
      <c r="D342" s="51"/>
      <c r="E342" s="51"/>
      <c r="AD342" s="53" t="s">
        <v>358</v>
      </c>
      <c r="AE342" s="54" t="s">
        <v>11</v>
      </c>
      <c r="AF342" s="54">
        <v>3161.0</v>
      </c>
      <c r="AG342" s="55">
        <v>0.0</v>
      </c>
    </row>
    <row r="343" ht="14.25" customHeight="1">
      <c r="D343" s="51"/>
      <c r="E343" s="51"/>
      <c r="AD343" s="31" t="s">
        <v>359</v>
      </c>
      <c r="AE343" s="32" t="s">
        <v>11</v>
      </c>
      <c r="AF343" s="32">
        <v>2418.0</v>
      </c>
      <c r="AG343" s="33">
        <v>59.9</v>
      </c>
    </row>
    <row r="344" ht="14.25" customHeight="1">
      <c r="D344" s="51"/>
      <c r="E344" s="51"/>
      <c r="AD344" s="53" t="s">
        <v>360</v>
      </c>
      <c r="AE344" s="54" t="s">
        <v>11</v>
      </c>
      <c r="AF344" s="54">
        <v>2242.0</v>
      </c>
      <c r="AG344" s="55">
        <v>70.74</v>
      </c>
    </row>
    <row r="345" ht="14.25" customHeight="1">
      <c r="D345" s="51"/>
      <c r="E345" s="51"/>
      <c r="AD345" s="31" t="s">
        <v>361</v>
      </c>
      <c r="AE345" s="32" t="s">
        <v>11</v>
      </c>
      <c r="AF345" s="32">
        <v>2485.0</v>
      </c>
      <c r="AG345" s="33">
        <v>0.0</v>
      </c>
    </row>
    <row r="346" ht="14.25" customHeight="1">
      <c r="D346" s="51"/>
      <c r="E346" s="51"/>
      <c r="AD346" s="53" t="s">
        <v>362</v>
      </c>
      <c r="AE346" s="54" t="s">
        <v>11</v>
      </c>
      <c r="AF346" s="54">
        <v>2722.0</v>
      </c>
      <c r="AG346" s="55">
        <v>0.0</v>
      </c>
    </row>
    <row r="347" ht="14.25" customHeight="1">
      <c r="D347" s="51"/>
      <c r="E347" s="51"/>
      <c r="AD347" s="31" t="s">
        <v>363</v>
      </c>
      <c r="AE347" s="32" t="s">
        <v>11</v>
      </c>
      <c r="AF347" s="32">
        <v>3101.0</v>
      </c>
      <c r="AG347" s="33">
        <v>0.0</v>
      </c>
    </row>
    <row r="348" ht="14.25" customHeight="1">
      <c r="D348" s="51"/>
      <c r="E348" s="51"/>
      <c r="AD348" s="53" t="s">
        <v>364</v>
      </c>
      <c r="AE348" s="54" t="s">
        <v>11</v>
      </c>
      <c r="AF348" s="54">
        <v>4466.0</v>
      </c>
      <c r="AG348" s="55">
        <v>0.0</v>
      </c>
    </row>
    <row r="349" ht="14.25" customHeight="1">
      <c r="D349" s="51"/>
      <c r="E349" s="51"/>
      <c r="AD349" s="31" t="s">
        <v>365</v>
      </c>
      <c r="AE349" s="32" t="s">
        <v>11</v>
      </c>
      <c r="AF349" s="32">
        <v>2557.0</v>
      </c>
      <c r="AG349" s="33">
        <v>0.0</v>
      </c>
    </row>
    <row r="350" ht="14.25" customHeight="1">
      <c r="D350" s="51"/>
      <c r="E350" s="51"/>
      <c r="AD350" s="53" t="s">
        <v>366</v>
      </c>
      <c r="AE350" s="54" t="s">
        <v>11</v>
      </c>
      <c r="AF350" s="54">
        <v>3137.0</v>
      </c>
      <c r="AG350" s="55">
        <v>0.0</v>
      </c>
    </row>
    <row r="351" ht="14.25" customHeight="1">
      <c r="D351" s="51"/>
      <c r="E351" s="51"/>
      <c r="AD351" s="31" t="s">
        <v>367</v>
      </c>
      <c r="AE351" s="32" t="s">
        <v>11</v>
      </c>
      <c r="AF351" s="32">
        <v>4061.0</v>
      </c>
      <c r="AG351" s="33">
        <v>0.0</v>
      </c>
    </row>
    <row r="352" ht="14.25" customHeight="1">
      <c r="D352" s="51"/>
      <c r="E352" s="51"/>
      <c r="AD352" s="53" t="s">
        <v>368</v>
      </c>
      <c r="AE352" s="54" t="s">
        <v>11</v>
      </c>
      <c r="AF352" s="54">
        <v>4290.0</v>
      </c>
      <c r="AG352" s="55">
        <v>0.0</v>
      </c>
    </row>
    <row r="353" ht="14.25" customHeight="1">
      <c r="D353" s="51"/>
      <c r="E353" s="51"/>
      <c r="AD353" s="31" t="s">
        <v>369</v>
      </c>
      <c r="AE353" s="32" t="s">
        <v>11</v>
      </c>
      <c r="AF353" s="32">
        <v>6472.0</v>
      </c>
      <c r="AG353" s="33">
        <v>39.9</v>
      </c>
    </row>
    <row r="354" ht="14.25" customHeight="1">
      <c r="D354" s="51"/>
      <c r="E354" s="51"/>
      <c r="AD354" s="53" t="s">
        <v>370</v>
      </c>
      <c r="AE354" s="54" t="s">
        <v>11</v>
      </c>
      <c r="AF354" s="54">
        <v>6782.0</v>
      </c>
      <c r="AG354" s="55">
        <v>0.0</v>
      </c>
    </row>
    <row r="355" ht="14.25" customHeight="1">
      <c r="D355" s="51"/>
      <c r="E355" s="51"/>
      <c r="AD355" s="31" t="s">
        <v>371</v>
      </c>
      <c r="AE355" s="32" t="s">
        <v>11</v>
      </c>
      <c r="AF355" s="32">
        <v>4354.0</v>
      </c>
      <c r="AG355" s="33">
        <v>0.0</v>
      </c>
    </row>
    <row r="356" ht="14.25" customHeight="1">
      <c r="D356" s="51"/>
      <c r="E356" s="51"/>
      <c r="AD356" s="53" t="s">
        <v>372</v>
      </c>
      <c r="AE356" s="54" t="s">
        <v>11</v>
      </c>
      <c r="AF356" s="54">
        <v>3344.0</v>
      </c>
      <c r="AG356" s="55">
        <v>0.0</v>
      </c>
    </row>
    <row r="357" ht="14.25" customHeight="1">
      <c r="D357" s="51"/>
      <c r="E357" s="51"/>
      <c r="AD357" s="31" t="s">
        <v>373</v>
      </c>
      <c r="AE357" s="32" t="s">
        <v>11</v>
      </c>
      <c r="AF357" s="32">
        <v>4168.0</v>
      </c>
      <c r="AG357" s="33">
        <v>0.0</v>
      </c>
    </row>
    <row r="358" ht="14.25" customHeight="1">
      <c r="D358" s="51"/>
      <c r="E358" s="51"/>
      <c r="AD358" s="53" t="s">
        <v>374</v>
      </c>
      <c r="AE358" s="54" t="s">
        <v>11</v>
      </c>
      <c r="AF358" s="54">
        <v>5420.0</v>
      </c>
      <c r="AG358" s="55">
        <v>0.0</v>
      </c>
    </row>
    <row r="359" ht="14.25" customHeight="1">
      <c r="D359" s="51"/>
      <c r="E359" s="51"/>
      <c r="AD359" s="31" t="s">
        <v>375</v>
      </c>
      <c r="AE359" s="32" t="s">
        <v>11</v>
      </c>
      <c r="AF359" s="32">
        <v>6207.0</v>
      </c>
      <c r="AG359" s="33">
        <v>12.62</v>
      </c>
    </row>
    <row r="360" ht="14.25" customHeight="1">
      <c r="D360" s="51"/>
      <c r="E360" s="51"/>
      <c r="AD360" s="53" t="s">
        <v>376</v>
      </c>
      <c r="AE360" s="54" t="s">
        <v>11</v>
      </c>
      <c r="AF360" s="54">
        <v>2455.0</v>
      </c>
      <c r="AG360" s="55">
        <v>0.0</v>
      </c>
    </row>
    <row r="361" ht="14.25" customHeight="1">
      <c r="D361" s="51"/>
      <c r="E361" s="51"/>
      <c r="AD361" s="31" t="s">
        <v>377</v>
      </c>
      <c r="AE361" s="32" t="s">
        <v>11</v>
      </c>
      <c r="AF361" s="32">
        <v>2239.0</v>
      </c>
      <c r="AG361" s="33">
        <v>6.75</v>
      </c>
    </row>
    <row r="362" ht="14.25" customHeight="1">
      <c r="D362" s="51"/>
      <c r="E362" s="51"/>
      <c r="AD362" s="53" t="s">
        <v>378</v>
      </c>
      <c r="AE362" s="54" t="s">
        <v>200</v>
      </c>
      <c r="AF362" s="54">
        <v>3190.0</v>
      </c>
      <c r="AG362" s="55">
        <v>0.0</v>
      </c>
    </row>
    <row r="363" ht="14.25" customHeight="1">
      <c r="D363" s="51"/>
      <c r="E363" s="51"/>
      <c r="AD363" s="134" t="s">
        <v>379</v>
      </c>
      <c r="AE363" s="134" t="s">
        <v>11</v>
      </c>
      <c r="AF363" s="134">
        <v>3160.0</v>
      </c>
      <c r="AG363" s="134">
        <v>0.0</v>
      </c>
    </row>
    <row r="364" ht="14.25" customHeight="1">
      <c r="D364" s="51"/>
      <c r="E364" s="51"/>
      <c r="AD364" s="134" t="s">
        <v>380</v>
      </c>
      <c r="AE364" s="134" t="s">
        <v>11</v>
      </c>
      <c r="AF364" s="134">
        <v>2365.0</v>
      </c>
      <c r="AG364" s="134">
        <v>0.0</v>
      </c>
    </row>
    <row r="365" ht="14.25" customHeight="1">
      <c r="D365" s="51"/>
      <c r="E365" s="51"/>
      <c r="AD365" s="134" t="s">
        <v>381</v>
      </c>
      <c r="AE365" s="134" t="s">
        <v>11</v>
      </c>
      <c r="AF365" s="134">
        <v>2364.0</v>
      </c>
      <c r="AG365" s="134">
        <v>0.0</v>
      </c>
    </row>
    <row r="366" ht="14.25" customHeight="1">
      <c r="D366" s="51"/>
      <c r="E366" s="51"/>
      <c r="AD366" s="134" t="s">
        <v>382</v>
      </c>
      <c r="AE366" s="134" t="s">
        <v>11</v>
      </c>
      <c r="AF366" s="134">
        <v>2340.0</v>
      </c>
      <c r="AG366" s="134">
        <v>0.0</v>
      </c>
    </row>
    <row r="367" ht="14.25" customHeight="1">
      <c r="D367" s="51"/>
      <c r="E367" s="51"/>
      <c r="AD367" s="134" t="s">
        <v>383</v>
      </c>
      <c r="AE367" s="134" t="s">
        <v>11</v>
      </c>
      <c r="AF367" s="134">
        <v>2293.0</v>
      </c>
      <c r="AG367" s="134">
        <v>0.0</v>
      </c>
    </row>
    <row r="368" ht="14.25" customHeight="1">
      <c r="D368" s="51"/>
      <c r="E368" s="51"/>
      <c r="AD368" s="134" t="s">
        <v>384</v>
      </c>
      <c r="AE368" s="134" t="s">
        <v>18</v>
      </c>
      <c r="AF368" s="134">
        <v>2101.0</v>
      </c>
      <c r="AG368" s="134">
        <v>0.0</v>
      </c>
    </row>
    <row r="369" ht="14.25" customHeight="1">
      <c r="D369" s="51"/>
      <c r="E369" s="51"/>
      <c r="AD369" s="134" t="s">
        <v>385</v>
      </c>
      <c r="AE369" s="134" t="s">
        <v>18</v>
      </c>
      <c r="AF369" s="134">
        <v>2130.0</v>
      </c>
      <c r="AG369" s="134">
        <v>0.0</v>
      </c>
    </row>
    <row r="370" ht="14.25" customHeight="1">
      <c r="D370" s="51"/>
      <c r="E370" s="51"/>
      <c r="AD370" s="134" t="s">
        <v>386</v>
      </c>
      <c r="AE370" s="134" t="s">
        <v>11</v>
      </c>
      <c r="AF370" s="134">
        <v>2324.0</v>
      </c>
      <c r="AG370" s="134">
        <v>0.0</v>
      </c>
    </row>
    <row r="371" ht="14.25" customHeight="1">
      <c r="D371" s="51"/>
      <c r="E371" s="51"/>
      <c r="AD371" s="134" t="s">
        <v>387</v>
      </c>
      <c r="AE371" s="134" t="s">
        <v>11</v>
      </c>
      <c r="AF371" s="134">
        <v>7960.0</v>
      </c>
      <c r="AG371" s="134">
        <v>43.9</v>
      </c>
    </row>
    <row r="372" ht="14.25" customHeight="1">
      <c r="D372" s="51"/>
      <c r="E372" s="51"/>
      <c r="AD372" s="134" t="s">
        <v>388</v>
      </c>
      <c r="AE372" s="134" t="s">
        <v>8</v>
      </c>
      <c r="AF372" s="134">
        <v>8321.0</v>
      </c>
      <c r="AG372" s="134">
        <v>25.9</v>
      </c>
    </row>
    <row r="373" ht="14.25" customHeight="1">
      <c r="D373" s="51"/>
      <c r="E373" s="51"/>
      <c r="AD373" s="134" t="s">
        <v>389</v>
      </c>
      <c r="AE373" s="134" t="s">
        <v>11</v>
      </c>
      <c r="AF373" s="134">
        <v>8945.0</v>
      </c>
      <c r="AG373" s="134">
        <v>64.9</v>
      </c>
    </row>
    <row r="374" ht="14.25" customHeight="1">
      <c r="D374" s="51"/>
      <c r="E374" s="51"/>
      <c r="AD374" s="134" t="s">
        <v>390</v>
      </c>
      <c r="AE374" s="134" t="s">
        <v>11</v>
      </c>
      <c r="AF374" s="134">
        <v>7990.0</v>
      </c>
      <c r="AG374" s="134">
        <v>39.9</v>
      </c>
    </row>
    <row r="375" ht="14.25" customHeight="1">
      <c r="D375" s="51"/>
      <c r="E375" s="51"/>
      <c r="AD375" s="134" t="s">
        <v>391</v>
      </c>
      <c r="AE375" s="134" t="s">
        <v>11</v>
      </c>
      <c r="AF375" s="134">
        <v>8000.0</v>
      </c>
      <c r="AG375" s="134">
        <v>24.9</v>
      </c>
    </row>
    <row r="376" ht="14.25" customHeight="1">
      <c r="D376" s="51"/>
      <c r="E376" s="51"/>
      <c r="AD376" s="134" t="s">
        <v>392</v>
      </c>
      <c r="AE376" s="134" t="s">
        <v>11</v>
      </c>
      <c r="AF376" s="134">
        <v>8006.0</v>
      </c>
      <c r="AG376" s="134">
        <v>42.9</v>
      </c>
    </row>
    <row r="377" ht="14.25" customHeight="1">
      <c r="D377" s="51"/>
      <c r="E377" s="51"/>
      <c r="AD377" s="134" t="s">
        <v>393</v>
      </c>
      <c r="AE377" s="134" t="s">
        <v>11</v>
      </c>
      <c r="AF377" s="134">
        <v>8015.0</v>
      </c>
      <c r="AG377" s="134">
        <v>39.9</v>
      </c>
    </row>
    <row r="378" ht="14.25" customHeight="1">
      <c r="D378" s="51"/>
      <c r="E378" s="51"/>
      <c r="AD378" s="134" t="s">
        <v>394</v>
      </c>
      <c r="AE378" s="134" t="s">
        <v>11</v>
      </c>
      <c r="AF378" s="134">
        <v>8019.0</v>
      </c>
      <c r="AG378" s="134">
        <v>44.9</v>
      </c>
    </row>
    <row r="379" ht="14.25" customHeight="1">
      <c r="D379" s="51"/>
      <c r="E379" s="51"/>
      <c r="AD379" s="134" t="s">
        <v>395</v>
      </c>
      <c r="AE379" s="134" t="s">
        <v>11</v>
      </c>
      <c r="AF379" s="134">
        <v>8023.0</v>
      </c>
      <c r="AG379" s="134">
        <v>39.9</v>
      </c>
    </row>
    <row r="380" ht="14.25" customHeight="1">
      <c r="D380" s="51"/>
      <c r="E380" s="51"/>
      <c r="AD380" s="134" t="s">
        <v>396</v>
      </c>
      <c r="AE380" s="134" t="s">
        <v>11</v>
      </c>
      <c r="AF380" s="134">
        <v>8028.0</v>
      </c>
      <c r="AG380" s="134">
        <v>28.9</v>
      </c>
    </row>
    <row r="381" ht="14.25" customHeight="1">
      <c r="D381" s="51"/>
      <c r="E381" s="51"/>
      <c r="AD381" s="134" t="s">
        <v>397</v>
      </c>
      <c r="AE381" s="134" t="s">
        <v>11</v>
      </c>
      <c r="AF381" s="134">
        <v>8037.0</v>
      </c>
      <c r="AG381" s="134">
        <v>54.9</v>
      </c>
    </row>
    <row r="382" ht="14.25" customHeight="1">
      <c r="D382" s="51"/>
      <c r="E382" s="51"/>
      <c r="AD382" s="134" t="s">
        <v>398</v>
      </c>
      <c r="AE382" s="134" t="s">
        <v>11</v>
      </c>
      <c r="AF382" s="134">
        <v>8039.0</v>
      </c>
      <c r="AG382" s="134">
        <v>39.9</v>
      </c>
    </row>
    <row r="383" ht="14.25" customHeight="1">
      <c r="D383" s="51"/>
      <c r="E383" s="51"/>
      <c r="AD383" s="134" t="s">
        <v>399</v>
      </c>
      <c r="AE383" s="134" t="s">
        <v>11</v>
      </c>
      <c r="AF383" s="134">
        <v>8040.0</v>
      </c>
      <c r="AG383" s="134">
        <v>39.9</v>
      </c>
    </row>
    <row r="384" ht="14.25" customHeight="1">
      <c r="D384" s="51"/>
      <c r="E384" s="51"/>
      <c r="AD384" s="134" t="s">
        <v>400</v>
      </c>
      <c r="AE384" s="134" t="s">
        <v>11</v>
      </c>
      <c r="AF384" s="134">
        <v>8046.0</v>
      </c>
      <c r="AG384" s="134">
        <v>39.9</v>
      </c>
    </row>
    <row r="385" ht="14.25" customHeight="1">
      <c r="D385" s="51"/>
      <c r="E385" s="51"/>
      <c r="AD385" s="134" t="s">
        <v>401</v>
      </c>
      <c r="AE385" s="134" t="s">
        <v>11</v>
      </c>
      <c r="AF385" s="134">
        <v>8047.0</v>
      </c>
      <c r="AG385" s="134">
        <v>39.9</v>
      </c>
    </row>
    <row r="386" ht="14.25" customHeight="1">
      <c r="D386" s="51"/>
      <c r="E386" s="51"/>
      <c r="AD386" s="134" t="s">
        <v>402</v>
      </c>
      <c r="AE386" s="134" t="s">
        <v>11</v>
      </c>
      <c r="AF386" s="134">
        <v>8048.0</v>
      </c>
      <c r="AG386" s="134">
        <v>39.9</v>
      </c>
    </row>
    <row r="387" ht="14.25" customHeight="1">
      <c r="D387" s="51"/>
      <c r="E387" s="51"/>
      <c r="AD387" s="134" t="s">
        <v>403</v>
      </c>
      <c r="AE387" s="134" t="s">
        <v>11</v>
      </c>
      <c r="AF387" s="134">
        <v>93908.0</v>
      </c>
      <c r="AG387" s="134">
        <v>39.9</v>
      </c>
    </row>
    <row r="388" ht="14.25" customHeight="1">
      <c r="D388" s="51"/>
      <c r="E388" s="51"/>
      <c r="AD388" s="134" t="s">
        <v>404</v>
      </c>
      <c r="AE388" s="134" t="s">
        <v>11</v>
      </c>
      <c r="AF388" s="134">
        <v>8051.0</v>
      </c>
      <c r="AG388" s="134">
        <v>29.9</v>
      </c>
    </row>
    <row r="389" ht="14.25" customHeight="1">
      <c r="D389" s="51"/>
      <c r="E389" s="51"/>
      <c r="AD389" s="134" t="s">
        <v>405</v>
      </c>
      <c r="AE389" s="134" t="s">
        <v>11</v>
      </c>
      <c r="AF389" s="134">
        <v>8064.0</v>
      </c>
      <c r="AG389" s="134">
        <v>99.9</v>
      </c>
    </row>
    <row r="390" ht="14.25" customHeight="1">
      <c r="D390" s="51"/>
      <c r="E390" s="51"/>
      <c r="AD390" s="134" t="s">
        <v>406</v>
      </c>
      <c r="AE390" s="134" t="s">
        <v>11</v>
      </c>
      <c r="AF390" s="134">
        <v>8080.0</v>
      </c>
      <c r="AG390" s="134">
        <v>31.9</v>
      </c>
    </row>
    <row r="391" ht="14.25" customHeight="1">
      <c r="D391" s="51"/>
      <c r="E391" s="51"/>
      <c r="AD391" s="134" t="s">
        <v>407</v>
      </c>
      <c r="AE391" s="134" t="s">
        <v>11</v>
      </c>
      <c r="AF391" s="134">
        <v>8089.0</v>
      </c>
      <c r="AG391" s="134">
        <v>49.9</v>
      </c>
    </row>
    <row r="392" ht="14.25" customHeight="1">
      <c r="D392" s="51"/>
      <c r="E392" s="51"/>
      <c r="AD392" s="134" t="s">
        <v>408</v>
      </c>
      <c r="AE392" s="134" t="s">
        <v>11</v>
      </c>
      <c r="AF392" s="134">
        <v>8090.0</v>
      </c>
      <c r="AG392" s="134">
        <v>34.9</v>
      </c>
    </row>
    <row r="393" ht="14.25" customHeight="1">
      <c r="D393" s="51"/>
      <c r="E393" s="51"/>
      <c r="AD393" s="134" t="s">
        <v>409</v>
      </c>
      <c r="AE393" s="134" t="s">
        <v>11</v>
      </c>
      <c r="AF393" s="134">
        <v>8093.0</v>
      </c>
      <c r="AG393" s="134">
        <v>37.9</v>
      </c>
    </row>
    <row r="394" ht="14.25" customHeight="1">
      <c r="D394" s="51"/>
      <c r="E394" s="51"/>
      <c r="AD394" s="134" t="s">
        <v>410</v>
      </c>
      <c r="AE394" s="134" t="s">
        <v>11</v>
      </c>
      <c r="AF394" s="134">
        <v>8098.0</v>
      </c>
      <c r="AG394" s="134">
        <v>33.9</v>
      </c>
    </row>
    <row r="395" ht="14.25" customHeight="1">
      <c r="D395" s="51"/>
      <c r="E395" s="51"/>
      <c r="AD395" s="134" t="s">
        <v>411</v>
      </c>
      <c r="AE395" s="134" t="s">
        <v>11</v>
      </c>
      <c r="AF395" s="134">
        <v>8104.0</v>
      </c>
      <c r="AG395" s="134">
        <v>29.9</v>
      </c>
    </row>
    <row r="396" ht="14.25" customHeight="1">
      <c r="D396" s="51"/>
      <c r="E396" s="51"/>
      <c r="AD396" s="134" t="s">
        <v>412</v>
      </c>
      <c r="AE396" s="134" t="s">
        <v>11</v>
      </c>
      <c r="AF396" s="134">
        <v>8333.0</v>
      </c>
      <c r="AG396" s="134">
        <v>49.9</v>
      </c>
    </row>
    <row r="397" ht="14.25" customHeight="1">
      <c r="D397" s="51"/>
      <c r="E397" s="51"/>
      <c r="AD397" s="134" t="s">
        <v>413</v>
      </c>
      <c r="AE397" s="134" t="s">
        <v>11</v>
      </c>
      <c r="AF397" s="134">
        <v>8332.0</v>
      </c>
      <c r="AG397" s="134">
        <v>49.9</v>
      </c>
    </row>
    <row r="398" ht="14.25" customHeight="1">
      <c r="D398" s="51"/>
      <c r="E398" s="51"/>
      <c r="AD398" s="134" t="s">
        <v>414</v>
      </c>
      <c r="AE398" s="134" t="s">
        <v>11</v>
      </c>
      <c r="AF398" s="134">
        <v>8111.0</v>
      </c>
      <c r="AG398" s="134">
        <v>49.9</v>
      </c>
    </row>
    <row r="399" ht="14.25" customHeight="1">
      <c r="D399" s="51"/>
      <c r="E399" s="51"/>
      <c r="AD399" s="134" t="s">
        <v>415</v>
      </c>
      <c r="AE399" s="134" t="s">
        <v>11</v>
      </c>
      <c r="AF399" s="134">
        <v>8133.0</v>
      </c>
      <c r="AG399" s="134">
        <v>46.9</v>
      </c>
    </row>
    <row r="400" ht="14.25" customHeight="1">
      <c r="D400" s="51"/>
      <c r="E400" s="51"/>
      <c r="AD400" s="134" t="s">
        <v>416</v>
      </c>
      <c r="AE400" s="134" t="s">
        <v>11</v>
      </c>
      <c r="AF400" s="134">
        <v>8148.0</v>
      </c>
      <c r="AG400" s="134">
        <v>59.9</v>
      </c>
    </row>
    <row r="401" ht="14.25" customHeight="1">
      <c r="D401" s="51"/>
      <c r="E401" s="51"/>
      <c r="AD401" s="134" t="s">
        <v>417</v>
      </c>
      <c r="AE401" s="134" t="s">
        <v>11</v>
      </c>
      <c r="AF401" s="134">
        <v>8149.0</v>
      </c>
      <c r="AG401" s="134">
        <v>49.9</v>
      </c>
    </row>
    <row r="402" ht="14.25" customHeight="1">
      <c r="D402" s="51"/>
      <c r="E402" s="51"/>
      <c r="AD402" s="134" t="s">
        <v>418</v>
      </c>
      <c r="AE402" s="134" t="s">
        <v>11</v>
      </c>
      <c r="AF402" s="134">
        <v>8151.0</v>
      </c>
      <c r="AG402" s="134">
        <v>39.9</v>
      </c>
    </row>
    <row r="403" ht="14.25" customHeight="1">
      <c r="D403" s="51"/>
      <c r="E403" s="51"/>
      <c r="AD403" s="134" t="s">
        <v>419</v>
      </c>
      <c r="AE403" s="134" t="s">
        <v>11</v>
      </c>
      <c r="AF403" s="134">
        <v>8153.0</v>
      </c>
      <c r="AG403" s="134">
        <v>42.9</v>
      </c>
    </row>
    <row r="404" ht="14.25" customHeight="1">
      <c r="D404" s="51"/>
      <c r="E404" s="51"/>
      <c r="AD404" s="134" t="s">
        <v>420</v>
      </c>
      <c r="AE404" s="134" t="s">
        <v>11</v>
      </c>
      <c r="AF404" s="134">
        <v>8154.0</v>
      </c>
      <c r="AG404" s="134">
        <v>39.9</v>
      </c>
    </row>
    <row r="405" ht="14.25" customHeight="1">
      <c r="D405" s="51"/>
      <c r="E405" s="51"/>
      <c r="AD405" s="134" t="s">
        <v>421</v>
      </c>
      <c r="AE405" s="134" t="s">
        <v>11</v>
      </c>
      <c r="AF405" s="134">
        <v>8155.0</v>
      </c>
      <c r="AG405" s="134">
        <v>93.9</v>
      </c>
    </row>
    <row r="406" ht="14.25" customHeight="1">
      <c r="D406" s="51"/>
      <c r="E406" s="51"/>
      <c r="AD406" s="134" t="s">
        <v>422</v>
      </c>
      <c r="AE406" s="134" t="s">
        <v>11</v>
      </c>
      <c r="AF406" s="134">
        <v>8156.0</v>
      </c>
      <c r="AG406" s="134">
        <v>89.9</v>
      </c>
    </row>
    <row r="407" ht="14.25" customHeight="1">
      <c r="D407" s="51"/>
      <c r="E407" s="51"/>
      <c r="AD407" s="134" t="s">
        <v>423</v>
      </c>
      <c r="AE407" s="134" t="s">
        <v>11</v>
      </c>
      <c r="AF407" s="134">
        <v>8157.0</v>
      </c>
      <c r="AG407" s="134">
        <v>79.9</v>
      </c>
    </row>
    <row r="408" ht="14.25" customHeight="1">
      <c r="D408" s="51"/>
      <c r="E408" s="51"/>
      <c r="AD408" s="134" t="s">
        <v>424</v>
      </c>
      <c r="AE408" s="134" t="s">
        <v>11</v>
      </c>
      <c r="AF408" s="134">
        <v>8158.0</v>
      </c>
      <c r="AG408" s="134">
        <v>79.9</v>
      </c>
    </row>
    <row r="409" ht="14.25" customHeight="1">
      <c r="D409" s="51"/>
      <c r="E409" s="51"/>
      <c r="AD409" s="134" t="s">
        <v>425</v>
      </c>
      <c r="AE409" s="134" t="s">
        <v>11</v>
      </c>
      <c r="AF409" s="134">
        <v>8159.0</v>
      </c>
      <c r="AG409" s="134">
        <v>54.9</v>
      </c>
    </row>
    <row r="410" ht="14.25" customHeight="1">
      <c r="D410" s="51"/>
      <c r="E410" s="51"/>
      <c r="AD410" s="134" t="s">
        <v>426</v>
      </c>
      <c r="AE410" s="134" t="s">
        <v>11</v>
      </c>
      <c r="AF410" s="134">
        <v>8160.0</v>
      </c>
      <c r="AG410" s="134">
        <v>49.9</v>
      </c>
    </row>
    <row r="411" ht="14.25" customHeight="1">
      <c r="D411" s="51"/>
      <c r="E411" s="51"/>
      <c r="AD411" s="134" t="s">
        <v>427</v>
      </c>
      <c r="AE411" s="134" t="s">
        <v>11</v>
      </c>
      <c r="AF411" s="134">
        <v>8161.0</v>
      </c>
      <c r="AG411" s="134">
        <v>49.9</v>
      </c>
    </row>
    <row r="412" ht="14.25" customHeight="1">
      <c r="D412" s="51"/>
      <c r="E412" s="51"/>
      <c r="AD412" s="134" t="s">
        <v>428</v>
      </c>
      <c r="AE412" s="134" t="s">
        <v>11</v>
      </c>
      <c r="AF412" s="134">
        <v>8162.0</v>
      </c>
      <c r="AG412" s="134">
        <v>69.9</v>
      </c>
    </row>
    <row r="413" ht="14.25" customHeight="1">
      <c r="D413" s="51"/>
      <c r="E413" s="51"/>
      <c r="AD413" s="134" t="s">
        <v>429</v>
      </c>
      <c r="AE413" s="134" t="s">
        <v>11</v>
      </c>
      <c r="AF413" s="134">
        <v>8163.0</v>
      </c>
      <c r="AG413" s="134">
        <v>79.9</v>
      </c>
    </row>
    <row r="414" ht="14.25" customHeight="1">
      <c r="D414" s="51"/>
      <c r="E414" s="51"/>
      <c r="AD414" s="134" t="s">
        <v>430</v>
      </c>
      <c r="AE414" s="134" t="s">
        <v>11</v>
      </c>
      <c r="AF414" s="134">
        <v>8164.0</v>
      </c>
      <c r="AG414" s="134">
        <v>79.9</v>
      </c>
    </row>
    <row r="415" ht="14.25" customHeight="1">
      <c r="D415" s="51"/>
      <c r="E415" s="51"/>
      <c r="AD415" s="134" t="s">
        <v>431</v>
      </c>
      <c r="AE415" s="134" t="s">
        <v>11</v>
      </c>
      <c r="AF415" s="134">
        <v>9016.0</v>
      </c>
      <c r="AG415" s="134">
        <v>59.9</v>
      </c>
    </row>
    <row r="416" ht="14.25" customHeight="1">
      <c r="D416" s="51"/>
      <c r="E416" s="51"/>
      <c r="AD416" s="134" t="s">
        <v>432</v>
      </c>
      <c r="AE416" s="134" t="s">
        <v>11</v>
      </c>
      <c r="AF416" s="134">
        <v>8165.0</v>
      </c>
      <c r="AG416" s="134">
        <v>49.9</v>
      </c>
    </row>
    <row r="417" ht="14.25" customHeight="1">
      <c r="D417" s="51"/>
      <c r="E417" s="51"/>
      <c r="AD417" s="134" t="s">
        <v>433</v>
      </c>
      <c r="AE417" s="134" t="s">
        <v>11</v>
      </c>
      <c r="AF417" s="134">
        <v>8166.0</v>
      </c>
      <c r="AG417" s="134">
        <v>44.9</v>
      </c>
    </row>
    <row r="418" ht="14.25" customHeight="1">
      <c r="D418" s="51"/>
      <c r="E418" s="51"/>
      <c r="AD418" s="134" t="s">
        <v>434</v>
      </c>
      <c r="AE418" s="134" t="s">
        <v>11</v>
      </c>
      <c r="AF418" s="134">
        <v>8167.0</v>
      </c>
      <c r="AG418" s="134">
        <v>99.9</v>
      </c>
    </row>
    <row r="419" ht="14.25" customHeight="1">
      <c r="D419" s="51"/>
      <c r="E419" s="51"/>
      <c r="AD419" s="134" t="s">
        <v>435</v>
      </c>
      <c r="AE419" s="134" t="s">
        <v>11</v>
      </c>
      <c r="AF419" s="134">
        <v>8168.0</v>
      </c>
      <c r="AG419" s="134">
        <v>49.9</v>
      </c>
    </row>
    <row r="420" ht="14.25" customHeight="1">
      <c r="D420" s="51"/>
      <c r="E420" s="51"/>
      <c r="AD420" s="134" t="s">
        <v>436</v>
      </c>
      <c r="AE420" s="134" t="s">
        <v>11</v>
      </c>
      <c r="AF420" s="134">
        <v>8169.0</v>
      </c>
      <c r="AG420" s="134">
        <v>59.9</v>
      </c>
    </row>
    <row r="421" ht="14.25" customHeight="1">
      <c r="D421" s="51"/>
      <c r="E421" s="51"/>
      <c r="AD421" s="134" t="s">
        <v>437</v>
      </c>
      <c r="AE421" s="134" t="s">
        <v>11</v>
      </c>
      <c r="AF421" s="134">
        <v>8170.0</v>
      </c>
      <c r="AG421" s="134">
        <v>149.9</v>
      </c>
    </row>
    <row r="422" ht="14.25" customHeight="1">
      <c r="D422" s="51"/>
      <c r="E422" s="51"/>
      <c r="AD422" s="134" t="s">
        <v>438</v>
      </c>
      <c r="AE422" s="134" t="s">
        <v>11</v>
      </c>
      <c r="AF422" s="134">
        <v>8171.0</v>
      </c>
      <c r="AG422" s="134">
        <v>39.9</v>
      </c>
    </row>
    <row r="423" ht="14.25" customHeight="1">
      <c r="D423" s="51"/>
      <c r="E423" s="51"/>
      <c r="AD423" s="134" t="s">
        <v>439</v>
      </c>
      <c r="AE423" s="134" t="s">
        <v>11</v>
      </c>
      <c r="AF423" s="134">
        <v>8172.0</v>
      </c>
      <c r="AG423" s="134">
        <v>39.9</v>
      </c>
    </row>
    <row r="424" ht="14.25" customHeight="1">
      <c r="D424" s="51"/>
      <c r="E424" s="51"/>
      <c r="AD424" s="134" t="s">
        <v>440</v>
      </c>
      <c r="AE424" s="134" t="s">
        <v>11</v>
      </c>
      <c r="AF424" s="134">
        <v>8174.0</v>
      </c>
      <c r="AG424" s="134">
        <v>39.9</v>
      </c>
    </row>
    <row r="425" ht="14.25" customHeight="1">
      <c r="D425" s="51"/>
      <c r="E425" s="51"/>
      <c r="AD425" s="134" t="s">
        <v>441</v>
      </c>
      <c r="AE425" s="134" t="s">
        <v>11</v>
      </c>
      <c r="AF425" s="134">
        <v>8173.0</v>
      </c>
      <c r="AG425" s="134">
        <v>48.9</v>
      </c>
    </row>
    <row r="426" ht="14.25" customHeight="1">
      <c r="D426" s="51"/>
      <c r="E426" s="51"/>
      <c r="AD426" s="134" t="s">
        <v>442</v>
      </c>
      <c r="AE426" s="134" t="s">
        <v>11</v>
      </c>
      <c r="AF426" s="134">
        <v>8176.0</v>
      </c>
      <c r="AG426" s="134">
        <v>34.9</v>
      </c>
    </row>
    <row r="427" ht="14.25" customHeight="1">
      <c r="D427" s="51"/>
      <c r="E427" s="51"/>
      <c r="AD427" s="134" t="s">
        <v>443</v>
      </c>
      <c r="AE427" s="134" t="s">
        <v>11</v>
      </c>
      <c r="AF427" s="134">
        <v>8175.0</v>
      </c>
      <c r="AG427" s="134">
        <v>46.9</v>
      </c>
    </row>
    <row r="428" ht="14.25" customHeight="1">
      <c r="D428" s="51"/>
      <c r="E428" s="51"/>
      <c r="AD428" s="134" t="s">
        <v>444</v>
      </c>
      <c r="AE428" s="134" t="s">
        <v>11</v>
      </c>
      <c r="AF428" s="134">
        <v>8178.0</v>
      </c>
      <c r="AG428" s="134">
        <v>34.9</v>
      </c>
    </row>
    <row r="429" ht="14.25" customHeight="1">
      <c r="D429" s="51"/>
      <c r="E429" s="51"/>
      <c r="AD429" s="134" t="s">
        <v>445</v>
      </c>
      <c r="AE429" s="134" t="s">
        <v>11</v>
      </c>
      <c r="AF429" s="134">
        <v>8177.0</v>
      </c>
      <c r="AG429" s="134">
        <v>9.9</v>
      </c>
    </row>
    <row r="430" ht="14.25" customHeight="1">
      <c r="D430" s="51"/>
      <c r="E430" s="51"/>
      <c r="AD430" s="134" t="s">
        <v>446</v>
      </c>
      <c r="AE430" s="134" t="s">
        <v>11</v>
      </c>
      <c r="AF430" s="134">
        <v>8179.0</v>
      </c>
      <c r="AG430" s="134">
        <v>43.9</v>
      </c>
    </row>
    <row r="431" ht="14.25" customHeight="1">
      <c r="D431" s="51"/>
      <c r="E431" s="51"/>
      <c r="AD431" s="134" t="s">
        <v>447</v>
      </c>
      <c r="AE431" s="134" t="s">
        <v>11</v>
      </c>
      <c r="AF431" s="134">
        <v>8197.0</v>
      </c>
      <c r="AG431" s="134">
        <v>43.9</v>
      </c>
    </row>
    <row r="432" ht="14.25" customHeight="1">
      <c r="D432" s="51"/>
      <c r="E432" s="51"/>
      <c r="AD432" s="134" t="s">
        <v>448</v>
      </c>
      <c r="AE432" s="134" t="s">
        <v>8</v>
      </c>
      <c r="AF432" s="134">
        <v>9119.0</v>
      </c>
      <c r="AG432" s="134">
        <v>19.9</v>
      </c>
    </row>
    <row r="433" ht="14.25" customHeight="1">
      <c r="D433" s="51"/>
      <c r="E433" s="51"/>
      <c r="AD433" s="134" t="s">
        <v>449</v>
      </c>
      <c r="AE433" s="134" t="s">
        <v>11</v>
      </c>
      <c r="AF433" s="134">
        <v>8201.0</v>
      </c>
      <c r="AG433" s="134">
        <v>69.9</v>
      </c>
    </row>
    <row r="434" ht="14.25" customHeight="1">
      <c r="D434" s="51"/>
      <c r="E434" s="51"/>
      <c r="AD434" s="134" t="s">
        <v>450</v>
      </c>
      <c r="AE434" s="134" t="s">
        <v>11</v>
      </c>
      <c r="AF434" s="134">
        <v>8204.0</v>
      </c>
      <c r="AG434" s="134">
        <v>69.9</v>
      </c>
    </row>
    <row r="435" ht="14.25" customHeight="1">
      <c r="D435" s="51"/>
      <c r="E435" s="51"/>
      <c r="AD435" s="134" t="s">
        <v>451</v>
      </c>
      <c r="AE435" s="134" t="s">
        <v>11</v>
      </c>
      <c r="AF435" s="134">
        <v>8206.0</v>
      </c>
      <c r="AG435" s="134">
        <v>69.9</v>
      </c>
    </row>
    <row r="436" ht="14.25" customHeight="1">
      <c r="D436" s="51"/>
      <c r="E436" s="51"/>
      <c r="AD436" s="134" t="s">
        <v>452</v>
      </c>
      <c r="AE436" s="134" t="s">
        <v>11</v>
      </c>
      <c r="AF436" s="134">
        <v>8221.0</v>
      </c>
      <c r="AG436" s="134">
        <v>39.9</v>
      </c>
    </row>
    <row r="437" ht="14.25" customHeight="1">
      <c r="D437" s="51"/>
      <c r="E437" s="51"/>
      <c r="AD437" s="134" t="s">
        <v>453</v>
      </c>
      <c r="AE437" s="134" t="s">
        <v>11</v>
      </c>
      <c r="AF437" s="134">
        <v>8222.0</v>
      </c>
      <c r="AG437" s="134">
        <v>49.9</v>
      </c>
    </row>
    <row r="438" ht="14.25" customHeight="1">
      <c r="D438" s="51"/>
      <c r="E438" s="51"/>
      <c r="AD438" s="134" t="s">
        <v>454</v>
      </c>
      <c r="AE438" s="134" t="s">
        <v>11</v>
      </c>
      <c r="AF438" s="134">
        <v>8223.0</v>
      </c>
      <c r="AG438" s="134">
        <v>57.9</v>
      </c>
    </row>
    <row r="439" ht="14.25" customHeight="1">
      <c r="D439" s="51"/>
      <c r="E439" s="51"/>
      <c r="AD439" s="134" t="s">
        <v>455</v>
      </c>
      <c r="AE439" s="134" t="s">
        <v>11</v>
      </c>
      <c r="AF439" s="134">
        <v>8224.0</v>
      </c>
      <c r="AG439" s="134">
        <v>54.9</v>
      </c>
    </row>
    <row r="440" ht="14.25" customHeight="1">
      <c r="D440" s="51"/>
      <c r="E440" s="51"/>
      <c r="AD440" s="134" t="s">
        <v>456</v>
      </c>
      <c r="AE440" s="134" t="s">
        <v>11</v>
      </c>
      <c r="AF440" s="134">
        <v>8226.0</v>
      </c>
      <c r="AG440" s="134">
        <v>49.9</v>
      </c>
    </row>
    <row r="441" ht="14.25" customHeight="1">
      <c r="D441" s="51"/>
      <c r="E441" s="51"/>
      <c r="AD441" s="134" t="s">
        <v>457</v>
      </c>
      <c r="AE441" s="134" t="s">
        <v>11</v>
      </c>
      <c r="AF441" s="134">
        <v>8228.0</v>
      </c>
      <c r="AG441" s="134">
        <v>49.9</v>
      </c>
    </row>
    <row r="442" ht="14.25" customHeight="1">
      <c r="D442" s="51"/>
      <c r="E442" s="51"/>
      <c r="AD442" s="134" t="s">
        <v>458</v>
      </c>
      <c r="AE442" s="134" t="s">
        <v>11</v>
      </c>
      <c r="AF442" s="134">
        <v>8229.0</v>
      </c>
      <c r="AG442" s="134">
        <v>39.9</v>
      </c>
    </row>
    <row r="443" ht="14.25" customHeight="1">
      <c r="D443" s="51"/>
      <c r="E443" s="51"/>
      <c r="AD443" s="134" t="s">
        <v>459</v>
      </c>
      <c r="AE443" s="134" t="s">
        <v>11</v>
      </c>
      <c r="AF443" s="134">
        <v>8231.0</v>
      </c>
      <c r="AG443" s="134">
        <v>59.9</v>
      </c>
    </row>
    <row r="444" ht="14.25" customHeight="1">
      <c r="D444" s="51"/>
      <c r="E444" s="51"/>
      <c r="AD444" s="134" t="s">
        <v>460</v>
      </c>
      <c r="AE444" s="134" t="s">
        <v>8</v>
      </c>
      <c r="AF444" s="134">
        <v>8232.0</v>
      </c>
      <c r="AG444" s="134">
        <v>19.99</v>
      </c>
    </row>
    <row r="445" ht="14.25" customHeight="1">
      <c r="D445" s="51"/>
      <c r="E445" s="51"/>
      <c r="AD445" s="134" t="s">
        <v>461</v>
      </c>
      <c r="AE445" s="134" t="s">
        <v>11</v>
      </c>
      <c r="AF445" s="134">
        <v>8235.0</v>
      </c>
      <c r="AG445" s="134">
        <v>69.9</v>
      </c>
    </row>
    <row r="446" ht="14.25" customHeight="1">
      <c r="D446" s="51"/>
      <c r="E446" s="51"/>
      <c r="AD446" s="134" t="s">
        <v>462</v>
      </c>
      <c r="AE446" s="134" t="s">
        <v>11</v>
      </c>
      <c r="AF446" s="134">
        <v>8237.0</v>
      </c>
      <c r="AG446" s="134">
        <v>79.9</v>
      </c>
    </row>
    <row r="447" ht="14.25" customHeight="1">
      <c r="D447" s="51"/>
      <c r="E447" s="51"/>
      <c r="AD447" s="134" t="s">
        <v>463</v>
      </c>
      <c r="AE447" s="134" t="s">
        <v>11</v>
      </c>
      <c r="AF447" s="134">
        <v>8239.0</v>
      </c>
      <c r="AG447" s="134">
        <v>69.9</v>
      </c>
    </row>
    <row r="448" ht="14.25" customHeight="1">
      <c r="D448" s="51"/>
      <c r="E448" s="51"/>
      <c r="AD448" s="134" t="s">
        <v>464</v>
      </c>
      <c r="AE448" s="134" t="s">
        <v>11</v>
      </c>
      <c r="AF448" s="134">
        <v>8240.0</v>
      </c>
      <c r="AG448" s="134">
        <v>69.9</v>
      </c>
    </row>
    <row r="449" ht="14.25" customHeight="1">
      <c r="D449" s="51"/>
      <c r="E449" s="51"/>
      <c r="AD449" s="134" t="s">
        <v>465</v>
      </c>
      <c r="AE449" s="134" t="s">
        <v>11</v>
      </c>
      <c r="AF449" s="134">
        <v>8247.0</v>
      </c>
      <c r="AG449" s="134">
        <v>59.9</v>
      </c>
    </row>
    <row r="450" ht="14.25" customHeight="1">
      <c r="D450" s="51"/>
      <c r="E450" s="51"/>
      <c r="AD450" s="134" t="s">
        <v>466</v>
      </c>
      <c r="AE450" s="134" t="s">
        <v>8</v>
      </c>
      <c r="AF450" s="134">
        <v>8259.0</v>
      </c>
      <c r="AG450" s="134">
        <v>49.9</v>
      </c>
    </row>
    <row r="451" ht="14.25" customHeight="1">
      <c r="D451" s="51"/>
      <c r="E451" s="51"/>
      <c r="AD451" s="134" t="s">
        <v>467</v>
      </c>
      <c r="AE451" s="134" t="s">
        <v>8</v>
      </c>
      <c r="AF451" s="134">
        <v>360258.0</v>
      </c>
      <c r="AG451" s="134">
        <v>49.9</v>
      </c>
    </row>
    <row r="452" ht="14.25" customHeight="1">
      <c r="D452" s="51"/>
      <c r="E452" s="51"/>
      <c r="AD452" s="134" t="s">
        <v>468</v>
      </c>
      <c r="AE452" s="134" t="s">
        <v>11</v>
      </c>
      <c r="AF452" s="134">
        <v>8251.0</v>
      </c>
      <c r="AG452" s="134">
        <v>59.9</v>
      </c>
    </row>
    <row r="453" ht="14.25" customHeight="1">
      <c r="D453" s="51"/>
      <c r="E453" s="51"/>
      <c r="AD453" s="134" t="s">
        <v>469</v>
      </c>
      <c r="AE453" s="134" t="s">
        <v>11</v>
      </c>
      <c r="AF453" s="134">
        <v>8267.0</v>
      </c>
      <c r="AG453" s="134">
        <v>54.9</v>
      </c>
    </row>
    <row r="454" ht="14.25" customHeight="1">
      <c r="D454" s="51"/>
      <c r="E454" s="51"/>
      <c r="AD454" s="134" t="s">
        <v>470</v>
      </c>
      <c r="AE454" s="134" t="s">
        <v>11</v>
      </c>
      <c r="AF454" s="134">
        <v>93693.0</v>
      </c>
      <c r="AG454" s="134">
        <v>79.9</v>
      </c>
    </row>
    <row r="455" ht="14.25" customHeight="1">
      <c r="D455" s="51"/>
      <c r="E455" s="51"/>
      <c r="AD455" s="134" t="s">
        <v>471</v>
      </c>
      <c r="AE455" s="134" t="s">
        <v>11</v>
      </c>
      <c r="AF455" s="134">
        <v>8273.0</v>
      </c>
      <c r="AG455" s="134">
        <v>79.9</v>
      </c>
    </row>
    <row r="456" ht="14.25" customHeight="1">
      <c r="D456" s="51"/>
      <c r="E456" s="51"/>
      <c r="AD456" s="134" t="s">
        <v>472</v>
      </c>
      <c r="AE456" s="134" t="s">
        <v>11</v>
      </c>
      <c r="AF456" s="134">
        <v>8274.0</v>
      </c>
      <c r="AG456" s="134">
        <v>84.9</v>
      </c>
    </row>
    <row r="457" ht="14.25" customHeight="1">
      <c r="D457" s="51"/>
      <c r="E457" s="51"/>
      <c r="AD457" s="134" t="s">
        <v>473</v>
      </c>
      <c r="AE457" s="134" t="s">
        <v>11</v>
      </c>
      <c r="AF457" s="134">
        <v>8276.0</v>
      </c>
      <c r="AG457" s="134">
        <v>29.9</v>
      </c>
    </row>
    <row r="458" ht="14.25" customHeight="1">
      <c r="D458" s="51"/>
      <c r="E458" s="51"/>
      <c r="AD458" s="134" t="s">
        <v>474</v>
      </c>
      <c r="AE458" s="134" t="s">
        <v>11</v>
      </c>
      <c r="AF458" s="134">
        <v>8279.0</v>
      </c>
      <c r="AG458" s="134">
        <v>34.9</v>
      </c>
    </row>
    <row r="459" ht="14.25" customHeight="1">
      <c r="D459" s="51"/>
      <c r="E459" s="51"/>
      <c r="AD459" s="134" t="s">
        <v>475</v>
      </c>
      <c r="AE459" s="134" t="s">
        <v>11</v>
      </c>
      <c r="AF459" s="134">
        <v>8281.0</v>
      </c>
      <c r="AG459" s="134">
        <v>49.9</v>
      </c>
    </row>
    <row r="460" ht="14.25" customHeight="1">
      <c r="D460" s="51"/>
      <c r="E460" s="51"/>
      <c r="AD460" s="134" t="s">
        <v>476</v>
      </c>
      <c r="AE460" s="134" t="s">
        <v>11</v>
      </c>
      <c r="AF460" s="134">
        <v>8282.0</v>
      </c>
      <c r="AG460" s="134">
        <v>49.9</v>
      </c>
    </row>
    <row r="461" ht="14.25" customHeight="1">
      <c r="D461" s="51"/>
      <c r="E461" s="51"/>
      <c r="AD461" s="134" t="s">
        <v>477</v>
      </c>
      <c r="AE461" s="134" t="s">
        <v>11</v>
      </c>
      <c r="AF461" s="134">
        <v>8284.0</v>
      </c>
      <c r="AG461" s="134">
        <v>61.9</v>
      </c>
    </row>
    <row r="462" ht="14.25" customHeight="1">
      <c r="D462" s="51"/>
      <c r="E462" s="51"/>
      <c r="AD462" s="134" t="s">
        <v>478</v>
      </c>
      <c r="AE462" s="134" t="s">
        <v>11</v>
      </c>
      <c r="AF462" s="134">
        <v>8287.0</v>
      </c>
      <c r="AG462" s="134">
        <v>58.9</v>
      </c>
    </row>
    <row r="463" ht="14.25" customHeight="1">
      <c r="D463" s="51"/>
      <c r="E463" s="51"/>
      <c r="AD463" s="134" t="s">
        <v>479</v>
      </c>
      <c r="AE463" s="134" t="s">
        <v>11</v>
      </c>
      <c r="AF463" s="134">
        <v>8290.0</v>
      </c>
      <c r="AG463" s="134">
        <v>54.9</v>
      </c>
    </row>
    <row r="464" ht="14.25" customHeight="1">
      <c r="D464" s="51"/>
      <c r="E464" s="51"/>
      <c r="AD464" s="134" t="s">
        <v>480</v>
      </c>
      <c r="AE464" s="134" t="s">
        <v>11</v>
      </c>
      <c r="AF464" s="134">
        <v>8519.0</v>
      </c>
      <c r="AG464" s="134">
        <v>54.9</v>
      </c>
    </row>
    <row r="465" ht="14.25" customHeight="1">
      <c r="D465" s="51"/>
      <c r="E465" s="51"/>
      <c r="AD465" s="134" t="s">
        <v>481</v>
      </c>
      <c r="AE465" s="134" t="s">
        <v>11</v>
      </c>
      <c r="AF465" s="134">
        <v>8291.0</v>
      </c>
      <c r="AG465" s="134">
        <v>39.9</v>
      </c>
    </row>
    <row r="466" ht="14.25" customHeight="1">
      <c r="D466" s="51"/>
      <c r="E466" s="51"/>
      <c r="AD466" s="134" t="s">
        <v>482</v>
      </c>
      <c r="AE466" s="134" t="s">
        <v>11</v>
      </c>
      <c r="AF466" s="134">
        <v>8292.0</v>
      </c>
      <c r="AG466" s="134">
        <v>41.9</v>
      </c>
    </row>
    <row r="467" ht="14.25" customHeight="1">
      <c r="D467" s="51"/>
      <c r="E467" s="51"/>
      <c r="AD467" s="134" t="s">
        <v>483</v>
      </c>
      <c r="AE467" s="134" t="s">
        <v>11</v>
      </c>
      <c r="AF467" s="134">
        <v>1717.0</v>
      </c>
      <c r="AG467" s="134">
        <v>44.9</v>
      </c>
    </row>
    <row r="468" ht="14.25" customHeight="1">
      <c r="D468" s="51"/>
      <c r="E468" s="51"/>
      <c r="AD468" s="134" t="s">
        <v>484</v>
      </c>
      <c r="AE468" s="134" t="s">
        <v>11</v>
      </c>
      <c r="AF468" s="134">
        <v>93966.0</v>
      </c>
      <c r="AG468" s="134">
        <v>34.9</v>
      </c>
    </row>
    <row r="469" ht="14.25" customHeight="1">
      <c r="D469" s="51"/>
      <c r="E469" s="51"/>
      <c r="AD469" s="134" t="s">
        <v>485</v>
      </c>
      <c r="AE469" s="134" t="s">
        <v>11</v>
      </c>
      <c r="AF469" s="134">
        <v>8296.0</v>
      </c>
      <c r="AG469" s="134">
        <v>99.9</v>
      </c>
    </row>
    <row r="470" ht="14.25" customHeight="1">
      <c r="D470" s="51"/>
      <c r="E470" s="51"/>
      <c r="AD470" s="134" t="s">
        <v>486</v>
      </c>
      <c r="AE470" s="134" t="s">
        <v>11</v>
      </c>
      <c r="AF470" s="134">
        <v>93964.0</v>
      </c>
      <c r="AG470" s="134">
        <v>99.9</v>
      </c>
    </row>
    <row r="471" ht="14.25" customHeight="1">
      <c r="D471" s="51"/>
      <c r="E471" s="51"/>
      <c r="AD471" s="134" t="s">
        <v>487</v>
      </c>
      <c r="AE471" s="134" t="s">
        <v>11</v>
      </c>
      <c r="AF471" s="134">
        <v>8298.0</v>
      </c>
      <c r="AG471" s="134">
        <v>39.9</v>
      </c>
    </row>
    <row r="472" ht="14.25" customHeight="1">
      <c r="D472" s="51"/>
      <c r="E472" s="51"/>
      <c r="AD472" s="134" t="s">
        <v>488</v>
      </c>
      <c r="AE472" s="134" t="s">
        <v>11</v>
      </c>
      <c r="AF472" s="134">
        <v>8302.0</v>
      </c>
      <c r="AG472" s="134">
        <v>49.9</v>
      </c>
    </row>
    <row r="473" ht="14.25" customHeight="1">
      <c r="D473" s="51"/>
      <c r="E473" s="51"/>
      <c r="AD473" s="134" t="s">
        <v>489</v>
      </c>
      <c r="AE473" s="134" t="s">
        <v>11</v>
      </c>
      <c r="AF473" s="134">
        <v>8306.0</v>
      </c>
      <c r="AG473" s="134">
        <v>49.9</v>
      </c>
    </row>
    <row r="474" ht="14.25" customHeight="1">
      <c r="D474" s="51"/>
      <c r="E474" s="51"/>
      <c r="AD474" s="134" t="s">
        <v>490</v>
      </c>
      <c r="AE474" s="134" t="s">
        <v>11</v>
      </c>
      <c r="AF474" s="134">
        <v>8307.0</v>
      </c>
      <c r="AG474" s="134">
        <v>57.9</v>
      </c>
    </row>
    <row r="475" ht="14.25" customHeight="1">
      <c r="D475" s="51"/>
      <c r="E475" s="51"/>
      <c r="AD475" s="134" t="s">
        <v>491</v>
      </c>
      <c r="AE475" s="134" t="s">
        <v>11</v>
      </c>
      <c r="AF475" s="134">
        <v>8309.0</v>
      </c>
      <c r="AG475" s="134">
        <v>54.9</v>
      </c>
    </row>
    <row r="476" ht="14.25" customHeight="1">
      <c r="D476" s="51"/>
      <c r="E476" s="51"/>
      <c r="AD476" s="134" t="s">
        <v>492</v>
      </c>
      <c r="AE476" s="134" t="s">
        <v>11</v>
      </c>
      <c r="AF476" s="134">
        <v>8316.0</v>
      </c>
      <c r="AG476" s="134">
        <v>57.9</v>
      </c>
    </row>
    <row r="477" ht="14.25" customHeight="1">
      <c r="D477" s="51"/>
      <c r="E477" s="51"/>
      <c r="AD477" s="134" t="s">
        <v>493</v>
      </c>
      <c r="AE477" s="134" t="s">
        <v>11</v>
      </c>
      <c r="AF477" s="134">
        <v>8308.0</v>
      </c>
      <c r="AG477" s="134">
        <v>49.9</v>
      </c>
    </row>
    <row r="478" ht="14.25" customHeight="1">
      <c r="D478" s="51"/>
      <c r="E478" s="51"/>
      <c r="AD478" s="134" t="s">
        <v>494</v>
      </c>
      <c r="AE478" s="134" t="s">
        <v>11</v>
      </c>
      <c r="AF478" s="134">
        <v>8312.0</v>
      </c>
      <c r="AG478" s="134">
        <v>49.9</v>
      </c>
    </row>
    <row r="479" ht="14.25" customHeight="1">
      <c r="D479" s="51"/>
      <c r="E479" s="51"/>
      <c r="AD479" s="134" t="s">
        <v>495</v>
      </c>
      <c r="AE479" s="134" t="s">
        <v>11</v>
      </c>
      <c r="AF479" s="134">
        <v>8317.0</v>
      </c>
      <c r="AG479" s="134">
        <v>39.9</v>
      </c>
    </row>
    <row r="480" ht="14.25" customHeight="1">
      <c r="D480" s="51"/>
      <c r="E480" s="51"/>
      <c r="AD480" s="134" t="s">
        <v>496</v>
      </c>
      <c r="AE480" s="134" t="s">
        <v>8</v>
      </c>
      <c r="AF480" s="134">
        <v>6903.0</v>
      </c>
      <c r="AG480" s="134">
        <v>24.9</v>
      </c>
    </row>
    <row r="481" ht="14.25" customHeight="1">
      <c r="D481" s="51"/>
      <c r="E481" s="51"/>
      <c r="AD481" s="134" t="s">
        <v>497</v>
      </c>
      <c r="AE481" s="134" t="s">
        <v>11</v>
      </c>
      <c r="AF481" s="134">
        <v>8323.0</v>
      </c>
      <c r="AG481" s="134">
        <v>54.9</v>
      </c>
    </row>
    <row r="482" ht="14.25" customHeight="1">
      <c r="D482" s="51"/>
      <c r="E482" s="51"/>
      <c r="AD482" s="134" t="s">
        <v>498</v>
      </c>
      <c r="AE482" s="134" t="s">
        <v>11</v>
      </c>
      <c r="AF482" s="134">
        <v>8328.0</v>
      </c>
      <c r="AG482" s="134">
        <v>34.9</v>
      </c>
    </row>
    <row r="483" ht="14.25" customHeight="1">
      <c r="D483" s="51"/>
      <c r="E483" s="51"/>
      <c r="AD483" s="134" t="s">
        <v>499</v>
      </c>
      <c r="AE483" s="134" t="s">
        <v>11</v>
      </c>
      <c r="AF483" s="134">
        <v>8324.0</v>
      </c>
      <c r="AG483" s="134">
        <v>39.9</v>
      </c>
    </row>
    <row r="484" ht="14.25" customHeight="1">
      <c r="D484" s="51"/>
      <c r="E484" s="51"/>
      <c r="AD484" s="134" t="s">
        <v>500</v>
      </c>
      <c r="AE484" s="134" t="s">
        <v>11</v>
      </c>
      <c r="AF484" s="134">
        <v>8331.0</v>
      </c>
      <c r="AG484" s="134">
        <v>34.9</v>
      </c>
    </row>
    <row r="485" ht="14.25" customHeight="1">
      <c r="D485" s="51"/>
      <c r="E485" s="51"/>
      <c r="AD485" s="134" t="s">
        <v>501</v>
      </c>
      <c r="AE485" s="134" t="s">
        <v>11</v>
      </c>
      <c r="AF485" s="134">
        <v>8330.0</v>
      </c>
      <c r="AG485" s="134">
        <v>34.9</v>
      </c>
    </row>
    <row r="486" ht="14.25" customHeight="1">
      <c r="D486" s="51"/>
      <c r="E486" s="51"/>
      <c r="AD486" s="134" t="s">
        <v>502</v>
      </c>
      <c r="AE486" s="134" t="s">
        <v>11</v>
      </c>
      <c r="AF486" s="134">
        <v>8334.0</v>
      </c>
      <c r="AG486" s="134">
        <v>34.9</v>
      </c>
    </row>
    <row r="487" ht="14.25" customHeight="1">
      <c r="D487" s="51"/>
      <c r="E487" s="51"/>
      <c r="AD487" s="134" t="s">
        <v>503</v>
      </c>
      <c r="AE487" s="134" t="s">
        <v>11</v>
      </c>
      <c r="AF487" s="134">
        <v>8336.0</v>
      </c>
      <c r="AG487" s="134">
        <v>46.9</v>
      </c>
    </row>
    <row r="488" ht="14.25" customHeight="1">
      <c r="D488" s="51"/>
      <c r="E488" s="51"/>
      <c r="AD488" s="134" t="s">
        <v>504</v>
      </c>
      <c r="AE488" s="134" t="s">
        <v>11</v>
      </c>
      <c r="AF488" s="134">
        <v>8337.0</v>
      </c>
      <c r="AG488" s="134">
        <v>69.9</v>
      </c>
    </row>
    <row r="489" ht="14.25" customHeight="1">
      <c r="D489" s="51"/>
      <c r="E489" s="51"/>
      <c r="AD489" s="134" t="s">
        <v>505</v>
      </c>
      <c r="AE489" s="134" t="s">
        <v>11</v>
      </c>
      <c r="AF489" s="134">
        <v>8341.0</v>
      </c>
      <c r="AG489" s="134">
        <v>69.9</v>
      </c>
    </row>
    <row r="490" ht="14.25" customHeight="1">
      <c r="D490" s="51"/>
      <c r="E490" s="51"/>
      <c r="AD490" s="134" t="s">
        <v>506</v>
      </c>
      <c r="AE490" s="134" t="s">
        <v>11</v>
      </c>
      <c r="AF490" s="134">
        <v>3683.0</v>
      </c>
      <c r="AG490" s="134">
        <v>69.9</v>
      </c>
    </row>
    <row r="491" ht="14.25" customHeight="1">
      <c r="D491" s="51"/>
      <c r="E491" s="51"/>
      <c r="AD491" s="134" t="s">
        <v>507</v>
      </c>
      <c r="AE491" s="134" t="s">
        <v>11</v>
      </c>
      <c r="AF491" s="134">
        <v>8346.0</v>
      </c>
      <c r="AG491" s="134">
        <v>69.9</v>
      </c>
    </row>
    <row r="492" ht="14.25" customHeight="1">
      <c r="D492" s="51"/>
      <c r="E492" s="51"/>
      <c r="AD492" s="134" t="s">
        <v>508</v>
      </c>
      <c r="AE492" s="134" t="s">
        <v>11</v>
      </c>
      <c r="AF492" s="134">
        <v>8345.0</v>
      </c>
      <c r="AG492" s="134">
        <v>69.9</v>
      </c>
    </row>
    <row r="493" ht="14.25" customHeight="1">
      <c r="D493" s="51"/>
      <c r="E493" s="51"/>
      <c r="AD493" s="134" t="s">
        <v>509</v>
      </c>
      <c r="AE493" s="134" t="s">
        <v>11</v>
      </c>
      <c r="AF493" s="134">
        <v>103645.0</v>
      </c>
      <c r="AG493" s="134">
        <v>69.9</v>
      </c>
    </row>
    <row r="494" ht="14.25" customHeight="1">
      <c r="D494" s="51"/>
      <c r="E494" s="51"/>
      <c r="AD494" s="134" t="s">
        <v>510</v>
      </c>
      <c r="AE494" s="134" t="s">
        <v>11</v>
      </c>
      <c r="AF494" s="134">
        <v>6952.0</v>
      </c>
      <c r="AG494" s="134">
        <v>49.9</v>
      </c>
    </row>
    <row r="495" ht="14.25" customHeight="1">
      <c r="D495" s="51"/>
      <c r="E495" s="51"/>
      <c r="AD495" s="134" t="s">
        <v>511</v>
      </c>
      <c r="AE495" s="134" t="s">
        <v>11</v>
      </c>
      <c r="AF495" s="134">
        <v>8349.0</v>
      </c>
      <c r="AG495" s="134">
        <v>68.9</v>
      </c>
    </row>
    <row r="496" ht="14.25" customHeight="1">
      <c r="D496" s="51"/>
      <c r="E496" s="51"/>
      <c r="AD496" s="134" t="s">
        <v>512</v>
      </c>
      <c r="AE496" s="134" t="s">
        <v>11</v>
      </c>
      <c r="AF496" s="134">
        <v>8350.0</v>
      </c>
      <c r="AG496" s="134">
        <v>64.9</v>
      </c>
    </row>
    <row r="497" ht="14.25" customHeight="1">
      <c r="D497" s="51"/>
      <c r="E497" s="51"/>
      <c r="AD497" s="134" t="s">
        <v>513</v>
      </c>
      <c r="AE497" s="134" t="s">
        <v>11</v>
      </c>
      <c r="AF497" s="134">
        <v>8352.0</v>
      </c>
      <c r="AG497" s="134">
        <v>64.9</v>
      </c>
    </row>
    <row r="498" ht="14.25" customHeight="1">
      <c r="D498" s="51"/>
      <c r="E498" s="51"/>
      <c r="AD498" s="134" t="s">
        <v>514</v>
      </c>
      <c r="AE498" s="134" t="s">
        <v>11</v>
      </c>
      <c r="AF498" s="134">
        <v>8358.0</v>
      </c>
      <c r="AG498" s="134">
        <v>99.9</v>
      </c>
    </row>
    <row r="499" ht="14.25" customHeight="1">
      <c r="D499" s="51"/>
      <c r="E499" s="51"/>
      <c r="AD499" s="134" t="s">
        <v>515</v>
      </c>
      <c r="AE499" s="134" t="s">
        <v>11</v>
      </c>
      <c r="AF499" s="134">
        <v>8360.0</v>
      </c>
      <c r="AG499" s="134">
        <v>99.9</v>
      </c>
    </row>
    <row r="500" ht="14.25" customHeight="1">
      <c r="D500" s="51"/>
      <c r="E500" s="51"/>
      <c r="AD500" s="134" t="s">
        <v>516</v>
      </c>
      <c r="AE500" s="134" t="s">
        <v>11</v>
      </c>
      <c r="AF500" s="134">
        <v>8361.0</v>
      </c>
      <c r="AG500" s="134">
        <v>59.9</v>
      </c>
    </row>
    <row r="501" ht="14.25" customHeight="1">
      <c r="D501" s="51"/>
      <c r="E501" s="51"/>
      <c r="AD501" s="134" t="s">
        <v>517</v>
      </c>
      <c r="AE501" s="134" t="s">
        <v>11</v>
      </c>
      <c r="AF501" s="134">
        <v>8362.0</v>
      </c>
      <c r="AG501" s="134">
        <v>69.9</v>
      </c>
    </row>
    <row r="502" ht="14.25" customHeight="1">
      <c r="D502" s="51"/>
      <c r="E502" s="51"/>
      <c r="AD502" s="134" t="s">
        <v>518</v>
      </c>
      <c r="AE502" s="134" t="s">
        <v>11</v>
      </c>
      <c r="AF502" s="134">
        <v>8363.0</v>
      </c>
      <c r="AG502" s="134">
        <v>129.9</v>
      </c>
    </row>
    <row r="503" ht="14.25" customHeight="1">
      <c r="D503" s="51"/>
      <c r="E503" s="51"/>
      <c r="AD503" s="134" t="s">
        <v>519</v>
      </c>
      <c r="AE503" s="134" t="s">
        <v>11</v>
      </c>
      <c r="AF503" s="134">
        <v>8367.0</v>
      </c>
      <c r="AG503" s="134">
        <v>162.9</v>
      </c>
    </row>
    <row r="504" ht="14.25" customHeight="1">
      <c r="D504" s="51"/>
      <c r="E504" s="51"/>
      <c r="AD504" s="134" t="s">
        <v>520</v>
      </c>
      <c r="AE504" s="134" t="s">
        <v>11</v>
      </c>
      <c r="AF504" s="134">
        <v>1560.0</v>
      </c>
      <c r="AG504" s="134">
        <v>162.9</v>
      </c>
    </row>
    <row r="505" ht="14.25" customHeight="1">
      <c r="D505" s="51"/>
      <c r="E505" s="51"/>
      <c r="AD505" s="134" t="s">
        <v>521</v>
      </c>
      <c r="AE505" s="134" t="s">
        <v>11</v>
      </c>
      <c r="AF505" s="134">
        <v>8371.0</v>
      </c>
      <c r="AG505" s="134">
        <v>93.9</v>
      </c>
    </row>
    <row r="506" ht="14.25" customHeight="1">
      <c r="D506" s="51"/>
      <c r="E506" s="51"/>
      <c r="AD506" s="134" t="s">
        <v>522</v>
      </c>
      <c r="AE506" s="134" t="s">
        <v>11</v>
      </c>
      <c r="AF506" s="134">
        <v>1706.0</v>
      </c>
      <c r="AG506" s="134">
        <v>93.9</v>
      </c>
    </row>
    <row r="507" ht="14.25" customHeight="1">
      <c r="D507" s="51"/>
      <c r="E507" s="51"/>
      <c r="AD507" s="134" t="s">
        <v>523</v>
      </c>
      <c r="AE507" s="134" t="s">
        <v>11</v>
      </c>
      <c r="AF507" s="134">
        <v>8372.0</v>
      </c>
      <c r="AG507" s="134">
        <v>89.9</v>
      </c>
    </row>
    <row r="508" ht="14.25" customHeight="1">
      <c r="D508" s="51"/>
      <c r="E508" s="51"/>
      <c r="AD508" s="134" t="s">
        <v>524</v>
      </c>
      <c r="AE508" s="134" t="s">
        <v>11</v>
      </c>
      <c r="AF508" s="134">
        <v>3682.0</v>
      </c>
      <c r="AG508" s="134">
        <v>89.9</v>
      </c>
    </row>
    <row r="509" ht="14.25" customHeight="1">
      <c r="D509" s="51"/>
      <c r="E509" s="51"/>
      <c r="AD509" s="134" t="s">
        <v>525</v>
      </c>
      <c r="AE509" s="134" t="s">
        <v>11</v>
      </c>
      <c r="AF509" s="134">
        <v>8374.0</v>
      </c>
      <c r="AG509" s="134">
        <v>126.9</v>
      </c>
    </row>
    <row r="510" ht="14.25" customHeight="1">
      <c r="D510" s="51"/>
      <c r="E510" s="51"/>
      <c r="AD510" s="134" t="s">
        <v>526</v>
      </c>
      <c r="AE510" s="134" t="s">
        <v>11</v>
      </c>
      <c r="AF510" s="134">
        <v>1814.0</v>
      </c>
      <c r="AG510" s="134">
        <v>126.9</v>
      </c>
    </row>
    <row r="511" ht="14.25" customHeight="1">
      <c r="D511" s="51"/>
      <c r="E511" s="51"/>
      <c r="AD511" s="134" t="s">
        <v>527</v>
      </c>
      <c r="AE511" s="134" t="s">
        <v>11</v>
      </c>
      <c r="AF511" s="134">
        <v>8375.0</v>
      </c>
      <c r="AG511" s="134">
        <v>24.9</v>
      </c>
    </row>
    <row r="512" ht="14.25" customHeight="1">
      <c r="D512" s="51"/>
      <c r="E512" s="51"/>
      <c r="AD512" s="134" t="s">
        <v>528</v>
      </c>
      <c r="AE512" s="134" t="s">
        <v>11</v>
      </c>
      <c r="AF512" s="134">
        <v>3156.0</v>
      </c>
      <c r="AG512" s="134">
        <v>24.9</v>
      </c>
    </row>
    <row r="513" ht="14.25" customHeight="1">
      <c r="D513" s="51"/>
      <c r="E513" s="51"/>
      <c r="AD513" s="134" t="s">
        <v>529</v>
      </c>
      <c r="AE513" s="134" t="s">
        <v>11</v>
      </c>
      <c r="AF513" s="134">
        <v>8379.0</v>
      </c>
      <c r="AG513" s="134">
        <v>39.9</v>
      </c>
    </row>
    <row r="514" ht="14.25" customHeight="1">
      <c r="D514" s="51"/>
      <c r="E514" s="51"/>
      <c r="AD514" s="134" t="s">
        <v>530</v>
      </c>
      <c r="AE514" s="134" t="s">
        <v>11</v>
      </c>
      <c r="AF514" s="134">
        <v>96119.0</v>
      </c>
      <c r="AG514" s="134">
        <v>39.9</v>
      </c>
    </row>
    <row r="515" ht="14.25" customHeight="1">
      <c r="D515" s="51"/>
      <c r="E515" s="51"/>
      <c r="AD515" s="134" t="s">
        <v>531</v>
      </c>
      <c r="AE515" s="134" t="s">
        <v>11</v>
      </c>
      <c r="AF515" s="134">
        <v>4083.0</v>
      </c>
      <c r="AG515" s="134">
        <v>49.0</v>
      </c>
    </row>
    <row r="516" ht="14.25" customHeight="1">
      <c r="D516" s="51"/>
      <c r="E516" s="51"/>
      <c r="AD516" s="134" t="s">
        <v>532</v>
      </c>
      <c r="AE516" s="134" t="s">
        <v>11</v>
      </c>
      <c r="AF516" s="134">
        <v>8380.0</v>
      </c>
      <c r="AG516" s="134">
        <v>49.0</v>
      </c>
    </row>
    <row r="517" ht="14.25" customHeight="1">
      <c r="D517" s="51"/>
      <c r="E517" s="51"/>
      <c r="AD517" s="134" t="s">
        <v>533</v>
      </c>
      <c r="AE517" s="134" t="s">
        <v>11</v>
      </c>
      <c r="AF517" s="134">
        <v>8381.0</v>
      </c>
      <c r="AG517" s="134">
        <v>49.9</v>
      </c>
    </row>
    <row r="518" ht="14.25" customHeight="1">
      <c r="D518" s="51"/>
      <c r="E518" s="51"/>
      <c r="AD518" s="134" t="s">
        <v>534</v>
      </c>
      <c r="AE518" s="134" t="s">
        <v>11</v>
      </c>
      <c r="AF518" s="134">
        <v>94313.0</v>
      </c>
      <c r="AG518" s="134">
        <v>39.9</v>
      </c>
    </row>
    <row r="519" ht="14.25" customHeight="1">
      <c r="D519" s="51"/>
      <c r="E519" s="51"/>
      <c r="AD519" s="134" t="s">
        <v>535</v>
      </c>
      <c r="AE519" s="134" t="s">
        <v>11</v>
      </c>
      <c r="AF519" s="134">
        <v>8383.0</v>
      </c>
      <c r="AG519" s="134">
        <v>59.9</v>
      </c>
    </row>
    <row r="520" ht="14.25" customHeight="1">
      <c r="D520" s="51"/>
      <c r="E520" s="51"/>
      <c r="AD520" s="134" t="s">
        <v>536</v>
      </c>
      <c r="AE520" s="134" t="s">
        <v>11</v>
      </c>
      <c r="AF520" s="134">
        <v>109163.0</v>
      </c>
      <c r="AG520" s="134">
        <v>59.9</v>
      </c>
    </row>
    <row r="521" ht="14.25" customHeight="1">
      <c r="D521" s="51"/>
      <c r="E521" s="51"/>
      <c r="AD521" s="134" t="s">
        <v>537</v>
      </c>
      <c r="AE521" s="134" t="s">
        <v>11</v>
      </c>
      <c r="AF521" s="134">
        <v>8384.0</v>
      </c>
      <c r="AG521" s="134">
        <v>39.9</v>
      </c>
    </row>
    <row r="522" ht="14.25" customHeight="1">
      <c r="D522" s="51"/>
      <c r="E522" s="51"/>
      <c r="AD522" s="134" t="s">
        <v>538</v>
      </c>
      <c r="AE522" s="134" t="s">
        <v>11</v>
      </c>
      <c r="AF522" s="134">
        <v>8386.0</v>
      </c>
      <c r="AG522" s="134">
        <v>49.9</v>
      </c>
    </row>
    <row r="523" ht="14.25" customHeight="1">
      <c r="D523" s="51"/>
      <c r="E523" s="51"/>
      <c r="AD523" s="134" t="s">
        <v>539</v>
      </c>
      <c r="AE523" s="134" t="s">
        <v>11</v>
      </c>
      <c r="AF523" s="134">
        <v>8385.0</v>
      </c>
      <c r="AG523" s="134">
        <v>49.9</v>
      </c>
    </row>
    <row r="524" ht="14.25" customHeight="1">
      <c r="D524" s="51"/>
      <c r="E524" s="51"/>
      <c r="AD524" s="134" t="s">
        <v>540</v>
      </c>
      <c r="AE524" s="134" t="s">
        <v>11</v>
      </c>
      <c r="AF524" s="134">
        <v>4642.0</v>
      </c>
      <c r="AG524" s="134">
        <v>43.9</v>
      </c>
    </row>
    <row r="525" ht="14.25" customHeight="1">
      <c r="D525" s="51"/>
      <c r="E525" s="51"/>
      <c r="AD525" s="134" t="s">
        <v>541</v>
      </c>
      <c r="AE525" s="134" t="s">
        <v>8</v>
      </c>
      <c r="AF525" s="134">
        <v>5688.0</v>
      </c>
      <c r="AG525" s="134">
        <v>19.9</v>
      </c>
    </row>
    <row r="526" ht="14.25" customHeight="1">
      <c r="D526" s="51"/>
      <c r="E526" s="51"/>
      <c r="AD526" s="134" t="s">
        <v>542</v>
      </c>
      <c r="AE526" s="134" t="s">
        <v>11</v>
      </c>
      <c r="AF526" s="134">
        <v>5687.0</v>
      </c>
      <c r="AG526" s="134">
        <v>39.9</v>
      </c>
    </row>
    <row r="527" ht="14.25" customHeight="1">
      <c r="D527" s="51"/>
      <c r="E527" s="51"/>
      <c r="AD527" s="134" t="s">
        <v>543</v>
      </c>
      <c r="AE527" s="134" t="s">
        <v>11</v>
      </c>
      <c r="AF527" s="134">
        <v>8387.0</v>
      </c>
      <c r="AG527" s="134">
        <v>44.9</v>
      </c>
    </row>
    <row r="528" ht="14.25" customHeight="1">
      <c r="D528" s="51"/>
      <c r="E528" s="51"/>
      <c r="AD528" s="134" t="s">
        <v>544</v>
      </c>
      <c r="AE528" s="134" t="s">
        <v>11</v>
      </c>
      <c r="AF528" s="134">
        <v>4141.0</v>
      </c>
      <c r="AG528" s="134">
        <v>44.9</v>
      </c>
    </row>
    <row r="529" ht="14.25" customHeight="1">
      <c r="D529" s="51"/>
      <c r="E529" s="51"/>
      <c r="AD529" s="134" t="s">
        <v>545</v>
      </c>
      <c r="AE529" s="134" t="s">
        <v>11</v>
      </c>
      <c r="AF529" s="134">
        <v>8389.0</v>
      </c>
      <c r="AG529" s="134">
        <v>49.9</v>
      </c>
    </row>
    <row r="530" ht="14.25" customHeight="1">
      <c r="D530" s="51"/>
      <c r="E530" s="51"/>
      <c r="AD530" s="134" t="s">
        <v>546</v>
      </c>
      <c r="AE530" s="134" t="s">
        <v>8</v>
      </c>
      <c r="AF530" s="134">
        <v>9124.0</v>
      </c>
      <c r="AG530" s="134">
        <v>25.9</v>
      </c>
    </row>
    <row r="531" ht="14.25" customHeight="1">
      <c r="D531" s="51"/>
      <c r="E531" s="51"/>
      <c r="AD531" s="134" t="s">
        <v>547</v>
      </c>
      <c r="AE531" s="134" t="s">
        <v>11</v>
      </c>
      <c r="AF531" s="134">
        <v>8390.0</v>
      </c>
      <c r="AG531" s="134">
        <v>64.9</v>
      </c>
    </row>
    <row r="532" ht="14.25" customHeight="1">
      <c r="D532" s="51"/>
      <c r="E532" s="51"/>
      <c r="AD532" s="134" t="s">
        <v>548</v>
      </c>
      <c r="AE532" s="134" t="s">
        <v>11</v>
      </c>
      <c r="AF532" s="134">
        <v>8391.0</v>
      </c>
      <c r="AG532" s="134">
        <v>52.9</v>
      </c>
    </row>
    <row r="533" ht="14.25" customHeight="1">
      <c r="D533" s="51"/>
      <c r="E533" s="51"/>
      <c r="AD533" s="134" t="s">
        <v>549</v>
      </c>
      <c r="AE533" s="134" t="s">
        <v>11</v>
      </c>
      <c r="AF533" s="134">
        <v>8392.0</v>
      </c>
      <c r="AG533" s="134">
        <v>14.9</v>
      </c>
    </row>
    <row r="534" ht="14.25" customHeight="1">
      <c r="D534" s="51"/>
      <c r="E534" s="51"/>
      <c r="AD534" s="134" t="s">
        <v>550</v>
      </c>
      <c r="AE534" s="134" t="s">
        <v>11</v>
      </c>
      <c r="AF534" s="134">
        <v>8393.0</v>
      </c>
      <c r="AG534" s="134">
        <v>59.9</v>
      </c>
    </row>
    <row r="535" ht="14.25" customHeight="1">
      <c r="D535" s="51"/>
      <c r="E535" s="51"/>
      <c r="AD535" s="134" t="s">
        <v>551</v>
      </c>
      <c r="AE535" s="134" t="s">
        <v>11</v>
      </c>
      <c r="AF535" s="134">
        <v>95389.0</v>
      </c>
      <c r="AG535" s="134">
        <v>49.9</v>
      </c>
    </row>
    <row r="536" ht="14.25" customHeight="1">
      <c r="D536" s="51"/>
      <c r="E536" s="51"/>
      <c r="AD536" s="134" t="s">
        <v>552</v>
      </c>
      <c r="AE536" s="134" t="s">
        <v>11</v>
      </c>
      <c r="AF536" s="134">
        <v>8396.0</v>
      </c>
      <c r="AG536" s="134">
        <v>94.9</v>
      </c>
    </row>
    <row r="537" ht="14.25" customHeight="1">
      <c r="D537" s="51"/>
      <c r="E537" s="51"/>
      <c r="AD537" s="134" t="s">
        <v>553</v>
      </c>
      <c r="AE537" s="134" t="s">
        <v>11</v>
      </c>
      <c r="AF537" s="134">
        <v>93466.0</v>
      </c>
      <c r="AG537" s="134">
        <v>94.9</v>
      </c>
    </row>
    <row r="538" ht="14.25" customHeight="1">
      <c r="D538" s="51"/>
      <c r="E538" s="51"/>
      <c r="AD538" s="134" t="s">
        <v>554</v>
      </c>
      <c r="AE538" s="134" t="s">
        <v>11</v>
      </c>
      <c r="AF538" s="134">
        <v>8397.0</v>
      </c>
      <c r="AG538" s="134">
        <v>93.9</v>
      </c>
    </row>
    <row r="539" ht="14.25" customHeight="1">
      <c r="D539" s="51"/>
      <c r="E539" s="51"/>
      <c r="AD539" s="134" t="s">
        <v>555</v>
      </c>
      <c r="AE539" s="134" t="s">
        <v>11</v>
      </c>
      <c r="AF539" s="134">
        <v>8398.0</v>
      </c>
      <c r="AG539" s="134">
        <v>94.9</v>
      </c>
    </row>
    <row r="540" ht="14.25" customHeight="1">
      <c r="D540" s="51"/>
      <c r="E540" s="51"/>
      <c r="AD540" s="134" t="s">
        <v>556</v>
      </c>
      <c r="AE540" s="134" t="s">
        <v>11</v>
      </c>
      <c r="AF540" s="134">
        <v>5764.0</v>
      </c>
      <c r="AG540" s="134">
        <v>94.9</v>
      </c>
    </row>
    <row r="541" ht="14.25" customHeight="1">
      <c r="D541" s="51"/>
      <c r="E541" s="51"/>
      <c r="AD541" s="134" t="s">
        <v>557</v>
      </c>
      <c r="AE541" s="134" t="s">
        <v>11</v>
      </c>
      <c r="AF541" s="134">
        <v>8399.0</v>
      </c>
      <c r="AG541" s="134">
        <v>43.9</v>
      </c>
    </row>
    <row r="542" ht="14.25" customHeight="1">
      <c r="D542" s="51"/>
      <c r="E542" s="51"/>
      <c r="AD542" s="134" t="s">
        <v>558</v>
      </c>
      <c r="AE542" s="134" t="s">
        <v>11</v>
      </c>
      <c r="AF542" s="134">
        <v>3706.0</v>
      </c>
      <c r="AG542" s="134">
        <v>43.9</v>
      </c>
    </row>
    <row r="543" ht="14.25" customHeight="1">
      <c r="D543" s="51"/>
      <c r="E543" s="51"/>
      <c r="AD543" s="134" t="s">
        <v>559</v>
      </c>
      <c r="AE543" s="134" t="s">
        <v>11</v>
      </c>
      <c r="AF543" s="134">
        <v>8400.0</v>
      </c>
      <c r="AG543" s="134">
        <v>56.9</v>
      </c>
    </row>
    <row r="544" ht="14.25" customHeight="1">
      <c r="D544" s="51"/>
      <c r="E544" s="51"/>
      <c r="AD544" s="134" t="s">
        <v>560</v>
      </c>
      <c r="AE544" s="134" t="s">
        <v>11</v>
      </c>
      <c r="AF544" s="134">
        <v>8401.0</v>
      </c>
      <c r="AG544" s="134">
        <v>53.9</v>
      </c>
    </row>
    <row r="545" ht="14.25" customHeight="1">
      <c r="D545" s="51"/>
      <c r="E545" s="51"/>
      <c r="AD545" s="134" t="s">
        <v>561</v>
      </c>
      <c r="AE545" s="134" t="s">
        <v>11</v>
      </c>
      <c r="AF545" s="134">
        <v>8402.0</v>
      </c>
      <c r="AG545" s="134">
        <v>41.9</v>
      </c>
    </row>
    <row r="546" ht="14.25" customHeight="1">
      <c r="D546" s="51"/>
      <c r="E546" s="51"/>
      <c r="AD546" s="134" t="s">
        <v>562</v>
      </c>
      <c r="AE546" s="134" t="s">
        <v>11</v>
      </c>
      <c r="AF546" s="134">
        <v>8403.0</v>
      </c>
      <c r="AG546" s="134">
        <v>14.9</v>
      </c>
    </row>
    <row r="547" ht="14.25" customHeight="1">
      <c r="D547" s="51"/>
      <c r="E547" s="51"/>
      <c r="AD547" s="134" t="s">
        <v>563</v>
      </c>
      <c r="AE547" s="134" t="s">
        <v>11</v>
      </c>
      <c r="AF547" s="134">
        <v>8404.0</v>
      </c>
      <c r="AG547" s="134">
        <v>24.9</v>
      </c>
    </row>
    <row r="548" ht="14.25" customHeight="1">
      <c r="D548" s="51"/>
      <c r="E548" s="51"/>
      <c r="AD548" s="134" t="s">
        <v>564</v>
      </c>
      <c r="AE548" s="134" t="s">
        <v>11</v>
      </c>
      <c r="AF548" s="134">
        <v>8408.0</v>
      </c>
      <c r="AG548" s="134">
        <v>69.9</v>
      </c>
    </row>
    <row r="549" ht="14.25" customHeight="1">
      <c r="D549" s="51"/>
      <c r="E549" s="51"/>
      <c r="AD549" s="134" t="s">
        <v>565</v>
      </c>
      <c r="AE549" s="134" t="s">
        <v>11</v>
      </c>
      <c r="AF549" s="134">
        <v>8409.0</v>
      </c>
      <c r="AG549" s="134">
        <v>59.9</v>
      </c>
    </row>
    <row r="550" ht="14.25" customHeight="1">
      <c r="D550" s="51"/>
      <c r="E550" s="51"/>
      <c r="AD550" s="134" t="s">
        <v>566</v>
      </c>
      <c r="AE550" s="134" t="s">
        <v>11</v>
      </c>
      <c r="AF550" s="134">
        <v>8410.0</v>
      </c>
      <c r="AG550" s="134">
        <v>59.9</v>
      </c>
    </row>
    <row r="551" ht="14.25" customHeight="1">
      <c r="D551" s="51"/>
      <c r="E551" s="51"/>
      <c r="AD551" s="134" t="s">
        <v>567</v>
      </c>
      <c r="AE551" s="134" t="s">
        <v>11</v>
      </c>
      <c r="AF551" s="134">
        <v>8416.0</v>
      </c>
      <c r="AG551" s="134">
        <v>64.9</v>
      </c>
    </row>
    <row r="552" ht="14.25" customHeight="1">
      <c r="D552" s="51"/>
      <c r="E552" s="51"/>
      <c r="AD552" s="134" t="s">
        <v>568</v>
      </c>
      <c r="AE552" s="134" t="s">
        <v>11</v>
      </c>
      <c r="AF552" s="134">
        <v>8424.0</v>
      </c>
      <c r="AG552" s="134">
        <v>69.9</v>
      </c>
    </row>
    <row r="553" ht="14.25" customHeight="1">
      <c r="D553" s="51"/>
      <c r="E553" s="51"/>
      <c r="AD553" s="134" t="s">
        <v>569</v>
      </c>
      <c r="AE553" s="134" t="s">
        <v>11</v>
      </c>
      <c r="AF553" s="134">
        <v>8426.0</v>
      </c>
      <c r="AG553" s="134">
        <v>79.0</v>
      </c>
    </row>
    <row r="554" ht="14.25" customHeight="1">
      <c r="D554" s="51"/>
      <c r="E554" s="51"/>
      <c r="AD554" s="134" t="s">
        <v>570</v>
      </c>
      <c r="AE554" s="134" t="s">
        <v>11</v>
      </c>
      <c r="AF554" s="134">
        <v>8427.0</v>
      </c>
      <c r="AG554" s="134">
        <v>64.9</v>
      </c>
    </row>
    <row r="555" ht="14.25" customHeight="1">
      <c r="D555" s="51"/>
      <c r="E555" s="51"/>
      <c r="AD555" s="134" t="s">
        <v>571</v>
      </c>
      <c r="AE555" s="134" t="s">
        <v>8</v>
      </c>
      <c r="AF555" s="134">
        <v>4980.0</v>
      </c>
      <c r="AG555" s="134">
        <v>79.9</v>
      </c>
    </row>
    <row r="556" ht="14.25" customHeight="1">
      <c r="D556" s="51"/>
      <c r="E556" s="51"/>
      <c r="AD556" s="134" t="s">
        <v>572</v>
      </c>
      <c r="AE556" s="134" t="s">
        <v>8</v>
      </c>
      <c r="AF556" s="134">
        <v>360265.0</v>
      </c>
      <c r="AG556" s="134">
        <v>79.9</v>
      </c>
    </row>
    <row r="557" ht="14.25" customHeight="1">
      <c r="D557" s="51"/>
      <c r="E557" s="51"/>
      <c r="AD557" s="134" t="s">
        <v>573</v>
      </c>
      <c r="AE557" s="134" t="s">
        <v>11</v>
      </c>
      <c r="AF557" s="134">
        <v>8435.0</v>
      </c>
      <c r="AG557" s="134">
        <v>79.9</v>
      </c>
    </row>
    <row r="558" ht="14.25" customHeight="1">
      <c r="D558" s="51"/>
      <c r="E558" s="51"/>
      <c r="AD558" s="134" t="s">
        <v>574</v>
      </c>
      <c r="AE558" s="134" t="s">
        <v>11</v>
      </c>
      <c r="AF558" s="134">
        <v>8436.0</v>
      </c>
      <c r="AG558" s="134">
        <v>31.9</v>
      </c>
    </row>
    <row r="559" ht="14.25" customHeight="1">
      <c r="D559" s="51"/>
      <c r="E559" s="51"/>
      <c r="AD559" s="134" t="s">
        <v>575</v>
      </c>
      <c r="AE559" s="134" t="s">
        <v>11</v>
      </c>
      <c r="AF559" s="134">
        <v>100058.0</v>
      </c>
      <c r="AG559" s="134">
        <v>31.9</v>
      </c>
    </row>
    <row r="560" ht="14.25" customHeight="1">
      <c r="D560" s="51"/>
      <c r="E560" s="51"/>
      <c r="AD560" s="134" t="s">
        <v>576</v>
      </c>
      <c r="AE560" s="134" t="s">
        <v>11</v>
      </c>
      <c r="AF560" s="134">
        <v>102857.0</v>
      </c>
      <c r="AG560" s="134">
        <v>31.9</v>
      </c>
    </row>
    <row r="561" ht="14.25" customHeight="1">
      <c r="D561" s="51"/>
      <c r="E561" s="51"/>
      <c r="AD561" s="134" t="s">
        <v>577</v>
      </c>
      <c r="AE561" s="134" t="s">
        <v>11</v>
      </c>
      <c r="AF561" s="134">
        <v>8438.0</v>
      </c>
      <c r="AG561" s="134">
        <v>31.9</v>
      </c>
    </row>
    <row r="562" ht="14.25" customHeight="1">
      <c r="D562" s="51"/>
      <c r="E562" s="51"/>
      <c r="AD562" s="134" t="s">
        <v>578</v>
      </c>
      <c r="AE562" s="134" t="s">
        <v>11</v>
      </c>
      <c r="AF562" s="134">
        <v>8439.0</v>
      </c>
      <c r="AG562" s="134">
        <v>32.9</v>
      </c>
    </row>
    <row r="563" ht="14.25" customHeight="1">
      <c r="D563" s="51"/>
      <c r="E563" s="51"/>
      <c r="AD563" s="134" t="s">
        <v>579</v>
      </c>
      <c r="AE563" s="134" t="s">
        <v>11</v>
      </c>
      <c r="AF563" s="134">
        <v>107413.0</v>
      </c>
      <c r="AG563" s="134">
        <v>32.9</v>
      </c>
    </row>
    <row r="564" ht="14.25" customHeight="1">
      <c r="D564" s="51"/>
      <c r="E564" s="51"/>
      <c r="AD564" s="134" t="s">
        <v>580</v>
      </c>
      <c r="AE564" s="134" t="s">
        <v>11</v>
      </c>
      <c r="AF564" s="134">
        <v>8474.0</v>
      </c>
      <c r="AG564" s="134">
        <v>32.9</v>
      </c>
    </row>
    <row r="565" ht="14.25" customHeight="1">
      <c r="D565" s="51"/>
      <c r="E565" s="51"/>
      <c r="AD565" s="134" t="s">
        <v>581</v>
      </c>
      <c r="AE565" s="134" t="s">
        <v>11</v>
      </c>
      <c r="AF565" s="134">
        <v>8441.0</v>
      </c>
      <c r="AG565" s="134">
        <v>29.9</v>
      </c>
    </row>
    <row r="566" ht="14.25" customHeight="1">
      <c r="D566" s="51"/>
      <c r="E566" s="51"/>
      <c r="AD566" s="134" t="s">
        <v>582</v>
      </c>
      <c r="AE566" s="134" t="s">
        <v>11</v>
      </c>
      <c r="AF566" s="134">
        <v>93626.0</v>
      </c>
      <c r="AG566" s="134">
        <v>39.9</v>
      </c>
    </row>
    <row r="567" ht="14.25" customHeight="1">
      <c r="D567" s="51"/>
      <c r="E567" s="51"/>
      <c r="AD567" s="134" t="s">
        <v>583</v>
      </c>
      <c r="AE567" s="134" t="s">
        <v>11</v>
      </c>
      <c r="AF567" s="134">
        <v>8442.0</v>
      </c>
      <c r="AG567" s="134">
        <v>38.9</v>
      </c>
    </row>
    <row r="568" ht="14.25" customHeight="1">
      <c r="D568" s="51"/>
      <c r="E568" s="51"/>
      <c r="AD568" s="134" t="s">
        <v>584</v>
      </c>
      <c r="AE568" s="134" t="s">
        <v>11</v>
      </c>
      <c r="AF568" s="134">
        <v>8326.0</v>
      </c>
      <c r="AG568" s="134">
        <v>49.9</v>
      </c>
    </row>
    <row r="569" ht="14.25" customHeight="1">
      <c r="D569" s="51"/>
      <c r="E569" s="51"/>
      <c r="AD569" s="134" t="s">
        <v>585</v>
      </c>
      <c r="AE569" s="134" t="s">
        <v>11</v>
      </c>
      <c r="AF569" s="134">
        <v>8444.0</v>
      </c>
      <c r="AG569" s="134">
        <v>34.9</v>
      </c>
    </row>
    <row r="570" ht="14.25" customHeight="1">
      <c r="D570" s="51"/>
      <c r="E570" s="51"/>
      <c r="AD570" s="134" t="s">
        <v>586</v>
      </c>
      <c r="AE570" s="134" t="s">
        <v>11</v>
      </c>
      <c r="AF570" s="134">
        <v>8445.0</v>
      </c>
      <c r="AG570" s="134">
        <v>79.9</v>
      </c>
    </row>
    <row r="571" ht="14.25" customHeight="1">
      <c r="D571" s="51"/>
      <c r="E571" s="51"/>
      <c r="AD571" s="134" t="s">
        <v>587</v>
      </c>
      <c r="AE571" s="134" t="s">
        <v>11</v>
      </c>
      <c r="AF571" s="134">
        <v>8450.0</v>
      </c>
      <c r="AG571" s="134">
        <v>25.9</v>
      </c>
    </row>
    <row r="572" ht="14.25" customHeight="1">
      <c r="D572" s="51"/>
      <c r="E572" s="51"/>
      <c r="AD572" s="134" t="s">
        <v>588</v>
      </c>
      <c r="AE572" s="134" t="s">
        <v>11</v>
      </c>
      <c r="AF572" s="134">
        <v>8459.0</v>
      </c>
      <c r="AG572" s="134">
        <v>34.9</v>
      </c>
    </row>
    <row r="573" ht="14.25" customHeight="1">
      <c r="D573" s="51"/>
      <c r="E573" s="51"/>
      <c r="AD573" s="134" t="s">
        <v>589</v>
      </c>
      <c r="AE573" s="134" t="s">
        <v>11</v>
      </c>
      <c r="AF573" s="134">
        <v>1998.0</v>
      </c>
      <c r="AG573" s="134">
        <v>34.9</v>
      </c>
    </row>
    <row r="574" ht="14.25" customHeight="1">
      <c r="D574" s="51"/>
      <c r="E574" s="51"/>
      <c r="AD574" s="134" t="s">
        <v>590</v>
      </c>
      <c r="AE574" s="134" t="s">
        <v>11</v>
      </c>
      <c r="AF574" s="134">
        <v>8465.0</v>
      </c>
      <c r="AG574" s="134">
        <v>41.9</v>
      </c>
    </row>
    <row r="575" ht="14.25" customHeight="1">
      <c r="D575" s="51"/>
      <c r="E575" s="51"/>
      <c r="AD575" s="134" t="s">
        <v>591</v>
      </c>
      <c r="AE575" s="134" t="s">
        <v>11</v>
      </c>
      <c r="AF575" s="134">
        <v>8473.0</v>
      </c>
      <c r="AG575" s="134">
        <v>39.9</v>
      </c>
    </row>
    <row r="576" ht="14.25" customHeight="1">
      <c r="D576" s="51"/>
      <c r="E576" s="51"/>
      <c r="AD576" s="134" t="s">
        <v>592</v>
      </c>
      <c r="AE576" s="134" t="s">
        <v>11</v>
      </c>
      <c r="AF576" s="134">
        <v>110332.0</v>
      </c>
      <c r="AG576" s="134">
        <v>32.9</v>
      </c>
    </row>
    <row r="577" ht="14.25" customHeight="1">
      <c r="D577" s="51"/>
      <c r="E577" s="51"/>
      <c r="AD577" s="134" t="s">
        <v>593</v>
      </c>
      <c r="AE577" s="134" t="s">
        <v>11</v>
      </c>
      <c r="AF577" s="134">
        <v>8475.0</v>
      </c>
      <c r="AG577" s="134">
        <v>34.9</v>
      </c>
    </row>
    <row r="578" ht="14.25" customHeight="1">
      <c r="D578" s="51"/>
      <c r="E578" s="51"/>
      <c r="AD578" s="134" t="s">
        <v>594</v>
      </c>
      <c r="AE578" s="134" t="s">
        <v>11</v>
      </c>
      <c r="AF578" s="134">
        <v>8479.0</v>
      </c>
      <c r="AG578" s="134">
        <v>39.9</v>
      </c>
    </row>
    <row r="579" ht="14.25" customHeight="1">
      <c r="D579" s="51"/>
      <c r="E579" s="51"/>
      <c r="AD579" s="134" t="s">
        <v>595</v>
      </c>
      <c r="AE579" s="134" t="s">
        <v>11</v>
      </c>
      <c r="AF579" s="134">
        <v>2957.0</v>
      </c>
      <c r="AG579" s="134">
        <v>39.9</v>
      </c>
    </row>
    <row r="580" ht="14.25" customHeight="1">
      <c r="D580" s="51"/>
      <c r="E580" s="51"/>
      <c r="AD580" s="134" t="s">
        <v>596</v>
      </c>
      <c r="AE580" s="134" t="s">
        <v>11</v>
      </c>
      <c r="AF580" s="134">
        <v>8480.0</v>
      </c>
      <c r="AG580" s="134">
        <v>39.9</v>
      </c>
    </row>
    <row r="581" ht="14.25" customHeight="1">
      <c r="D581" s="51"/>
      <c r="E581" s="51"/>
      <c r="AD581" s="134" t="s">
        <v>597</v>
      </c>
      <c r="AE581" s="134" t="s">
        <v>11</v>
      </c>
      <c r="AF581" s="134">
        <v>94461.0</v>
      </c>
      <c r="AG581" s="134">
        <v>31.9</v>
      </c>
    </row>
    <row r="582" ht="14.25" customHeight="1">
      <c r="D582" s="51"/>
      <c r="E582" s="51"/>
      <c r="AD582" s="134" t="s">
        <v>598</v>
      </c>
      <c r="AE582" s="134" t="s">
        <v>11</v>
      </c>
      <c r="AF582" s="134">
        <v>8481.0</v>
      </c>
      <c r="AG582" s="134">
        <v>39.9</v>
      </c>
    </row>
    <row r="583" ht="14.25" customHeight="1">
      <c r="D583" s="51"/>
      <c r="E583" s="51"/>
      <c r="AD583" s="134" t="s">
        <v>599</v>
      </c>
      <c r="AE583" s="134" t="s">
        <v>11</v>
      </c>
      <c r="AF583" s="134">
        <v>6237.0</v>
      </c>
      <c r="AG583" s="134">
        <v>39.9</v>
      </c>
    </row>
    <row r="584" ht="14.25" customHeight="1">
      <c r="D584" s="51"/>
      <c r="E584" s="51"/>
      <c r="AD584" s="134" t="s">
        <v>600</v>
      </c>
      <c r="AE584" s="134" t="s">
        <v>11</v>
      </c>
      <c r="AF584" s="134">
        <v>8483.0</v>
      </c>
      <c r="AG584" s="134">
        <v>49.9</v>
      </c>
    </row>
    <row r="585" ht="14.25" customHeight="1">
      <c r="D585" s="51"/>
      <c r="E585" s="51"/>
      <c r="AD585" s="134" t="s">
        <v>601</v>
      </c>
      <c r="AE585" s="134" t="s">
        <v>11</v>
      </c>
      <c r="AF585" s="134">
        <v>6857.0</v>
      </c>
      <c r="AG585" s="134">
        <v>49.9</v>
      </c>
    </row>
    <row r="586" ht="14.25" customHeight="1">
      <c r="D586" s="51"/>
      <c r="E586" s="51"/>
      <c r="AD586" s="134" t="s">
        <v>602</v>
      </c>
      <c r="AE586" s="134" t="s">
        <v>11</v>
      </c>
      <c r="AF586" s="134">
        <v>8482.0</v>
      </c>
      <c r="AG586" s="134">
        <v>49.9</v>
      </c>
    </row>
    <row r="587" ht="14.25" customHeight="1">
      <c r="D587" s="51"/>
      <c r="E587" s="51"/>
      <c r="AD587" s="134" t="s">
        <v>603</v>
      </c>
      <c r="AE587" s="134" t="s">
        <v>11</v>
      </c>
      <c r="AF587" s="134">
        <v>93469.0</v>
      </c>
      <c r="AG587" s="134">
        <v>49.9</v>
      </c>
    </row>
    <row r="588" ht="14.25" customHeight="1">
      <c r="D588" s="51"/>
      <c r="E588" s="51"/>
      <c r="AD588" s="134" t="s">
        <v>604</v>
      </c>
      <c r="AE588" s="134" t="s">
        <v>11</v>
      </c>
      <c r="AF588" s="134">
        <v>100865.0</v>
      </c>
      <c r="AG588" s="134">
        <v>115.9</v>
      </c>
    </row>
    <row r="589" ht="14.25" customHeight="1">
      <c r="D589" s="51"/>
      <c r="E589" s="51"/>
      <c r="AD589" s="134" t="s">
        <v>605</v>
      </c>
      <c r="AE589" s="134" t="s">
        <v>11</v>
      </c>
      <c r="AF589" s="134">
        <v>8484.0</v>
      </c>
      <c r="AG589" s="134">
        <v>115.9</v>
      </c>
    </row>
    <row r="590" ht="14.25" customHeight="1">
      <c r="D590" s="51"/>
      <c r="E590" s="51"/>
      <c r="AD590" s="134" t="s">
        <v>606</v>
      </c>
      <c r="AE590" s="134" t="s">
        <v>11</v>
      </c>
      <c r="AF590" s="134">
        <v>8485.0</v>
      </c>
      <c r="AG590" s="134">
        <v>34.9</v>
      </c>
    </row>
    <row r="591" ht="14.25" customHeight="1">
      <c r="D591" s="51"/>
      <c r="E591" s="51"/>
      <c r="AD591" s="134" t="s">
        <v>607</v>
      </c>
      <c r="AE591" s="134" t="s">
        <v>11</v>
      </c>
      <c r="AF591" s="134">
        <v>96166.0</v>
      </c>
      <c r="AG591" s="134">
        <v>34.9</v>
      </c>
    </row>
    <row r="592" ht="14.25" customHeight="1">
      <c r="D592" s="51"/>
      <c r="E592" s="51"/>
      <c r="AD592" s="134" t="s">
        <v>608</v>
      </c>
      <c r="AE592" s="134" t="s">
        <v>11</v>
      </c>
      <c r="AF592" s="134">
        <v>8491.0</v>
      </c>
      <c r="AG592" s="134">
        <v>78.9</v>
      </c>
    </row>
    <row r="593" ht="14.25" customHeight="1">
      <c r="D593" s="51"/>
      <c r="E593" s="51"/>
      <c r="AD593" s="134" t="s">
        <v>609</v>
      </c>
      <c r="AE593" s="134" t="s">
        <v>11</v>
      </c>
      <c r="AF593" s="134">
        <v>94146.0</v>
      </c>
      <c r="AG593" s="134">
        <v>78.9</v>
      </c>
    </row>
    <row r="594" ht="14.25" customHeight="1">
      <c r="D594" s="51"/>
      <c r="E594" s="51"/>
      <c r="AD594" s="134" t="s">
        <v>610</v>
      </c>
      <c r="AE594" s="134" t="s">
        <v>11</v>
      </c>
      <c r="AF594" s="134">
        <v>8492.0</v>
      </c>
      <c r="AG594" s="134">
        <v>64.9</v>
      </c>
    </row>
    <row r="595" ht="14.25" customHeight="1">
      <c r="D595" s="51"/>
      <c r="E595" s="51"/>
      <c r="AD595" s="134" t="s">
        <v>611</v>
      </c>
      <c r="AE595" s="134" t="s">
        <v>11</v>
      </c>
      <c r="AF595" s="134">
        <v>94808.0</v>
      </c>
      <c r="AG595" s="134">
        <v>64.9</v>
      </c>
    </row>
    <row r="596" ht="14.25" customHeight="1">
      <c r="D596" s="51"/>
      <c r="E596" s="51"/>
      <c r="AD596" s="134" t="s">
        <v>612</v>
      </c>
      <c r="AE596" s="134" t="s">
        <v>11</v>
      </c>
      <c r="AF596" s="134">
        <v>8493.0</v>
      </c>
      <c r="AG596" s="134">
        <v>34.9</v>
      </c>
    </row>
    <row r="597" ht="14.25" customHeight="1">
      <c r="D597" s="51"/>
      <c r="E597" s="51"/>
      <c r="AD597" s="134" t="s">
        <v>613</v>
      </c>
      <c r="AE597" s="134" t="s">
        <v>11</v>
      </c>
      <c r="AF597" s="134">
        <v>100583.0</v>
      </c>
      <c r="AG597" s="134">
        <v>34.9</v>
      </c>
    </row>
    <row r="598" ht="14.25" customHeight="1">
      <c r="D598" s="51"/>
      <c r="E598" s="51"/>
      <c r="AD598" s="134" t="s">
        <v>614</v>
      </c>
      <c r="AE598" s="134" t="s">
        <v>11</v>
      </c>
      <c r="AF598" s="134">
        <v>8494.0</v>
      </c>
      <c r="AG598" s="134">
        <v>59.9</v>
      </c>
    </row>
    <row r="599" ht="14.25" customHeight="1">
      <c r="D599" s="51"/>
      <c r="E599" s="51"/>
      <c r="AD599" s="134" t="s">
        <v>615</v>
      </c>
      <c r="AE599" s="134" t="s">
        <v>11</v>
      </c>
      <c r="AF599" s="134">
        <v>6815.0</v>
      </c>
      <c r="AG599" s="134">
        <v>59.9</v>
      </c>
    </row>
    <row r="600" ht="14.25" customHeight="1">
      <c r="D600" s="51"/>
      <c r="E600" s="51"/>
      <c r="AD600" s="134" t="s">
        <v>616</v>
      </c>
      <c r="AE600" s="134" t="s">
        <v>11</v>
      </c>
      <c r="AF600" s="134">
        <v>8497.0</v>
      </c>
      <c r="AG600" s="134">
        <v>29.9</v>
      </c>
    </row>
    <row r="601" ht="14.25" customHeight="1">
      <c r="D601" s="51"/>
      <c r="E601" s="51"/>
      <c r="AD601" s="134" t="s">
        <v>617</v>
      </c>
      <c r="AE601" s="134" t="s">
        <v>11</v>
      </c>
      <c r="AF601" s="134">
        <v>1984.0</v>
      </c>
      <c r="AG601" s="134">
        <v>29.9</v>
      </c>
    </row>
    <row r="602" ht="14.25" customHeight="1">
      <c r="D602" s="51"/>
      <c r="E602" s="51"/>
      <c r="AD602" s="134" t="s">
        <v>618</v>
      </c>
      <c r="AE602" s="134" t="s">
        <v>11</v>
      </c>
      <c r="AF602" s="134">
        <v>4651.0</v>
      </c>
      <c r="AG602" s="134">
        <v>29.9</v>
      </c>
    </row>
    <row r="603" ht="14.25" customHeight="1">
      <c r="D603" s="51"/>
      <c r="E603" s="51"/>
      <c r="AD603" s="134" t="s">
        <v>619</v>
      </c>
      <c r="AE603" s="134" t="s">
        <v>11</v>
      </c>
      <c r="AF603" s="134">
        <v>8498.0</v>
      </c>
      <c r="AG603" s="134">
        <v>29.9</v>
      </c>
    </row>
    <row r="604" ht="14.25" customHeight="1">
      <c r="D604" s="51"/>
      <c r="E604" s="51"/>
      <c r="AD604" s="134" t="s">
        <v>620</v>
      </c>
      <c r="AE604" s="134" t="s">
        <v>11</v>
      </c>
      <c r="AF604" s="134">
        <v>6960.0</v>
      </c>
      <c r="AG604" s="134">
        <v>39.9</v>
      </c>
    </row>
    <row r="605" ht="14.25" customHeight="1">
      <c r="D605" s="51"/>
      <c r="E605" s="51"/>
      <c r="AD605" s="134" t="s">
        <v>621</v>
      </c>
      <c r="AE605" s="134" t="s">
        <v>11</v>
      </c>
      <c r="AF605" s="134">
        <v>8502.0</v>
      </c>
      <c r="AG605" s="134">
        <v>52.9</v>
      </c>
    </row>
    <row r="606" ht="14.25" customHeight="1">
      <c r="D606" s="51"/>
      <c r="E606" s="51"/>
      <c r="AD606" s="134" t="s">
        <v>622</v>
      </c>
      <c r="AE606" s="134" t="s">
        <v>11</v>
      </c>
      <c r="AF606" s="134">
        <v>93473.0</v>
      </c>
      <c r="AG606" s="134">
        <v>49.9</v>
      </c>
    </row>
    <row r="607" ht="14.25" customHeight="1">
      <c r="D607" s="51"/>
      <c r="E607" s="51"/>
      <c r="AD607" s="134" t="s">
        <v>623</v>
      </c>
      <c r="AE607" s="134" t="s">
        <v>11</v>
      </c>
      <c r="AF607" s="134">
        <v>8503.0</v>
      </c>
      <c r="AG607" s="134">
        <v>57.8</v>
      </c>
    </row>
    <row r="608" ht="14.25" customHeight="1">
      <c r="D608" s="51"/>
      <c r="E608" s="51"/>
      <c r="AD608" s="134" t="s">
        <v>624</v>
      </c>
      <c r="AE608" s="134" t="s">
        <v>11</v>
      </c>
      <c r="AF608" s="134">
        <v>6519.0</v>
      </c>
      <c r="AG608" s="134">
        <v>57.8</v>
      </c>
    </row>
    <row r="609" ht="14.25" customHeight="1">
      <c r="D609" s="51"/>
      <c r="E609" s="51"/>
      <c r="AD609" s="134" t="s">
        <v>625</v>
      </c>
      <c r="AE609" s="134" t="s">
        <v>11</v>
      </c>
      <c r="AF609" s="134">
        <v>8505.0</v>
      </c>
      <c r="AG609" s="134">
        <v>36.9</v>
      </c>
    </row>
    <row r="610" ht="14.25" customHeight="1">
      <c r="D610" s="51"/>
      <c r="E610" s="51"/>
      <c r="AD610" s="134" t="s">
        <v>626</v>
      </c>
      <c r="AE610" s="134" t="s">
        <v>11</v>
      </c>
      <c r="AF610" s="134">
        <v>5299.0</v>
      </c>
      <c r="AG610" s="134">
        <v>36.9</v>
      </c>
    </row>
    <row r="611" ht="14.25" customHeight="1">
      <c r="D611" s="51"/>
      <c r="E611" s="51"/>
      <c r="AD611" s="134" t="s">
        <v>627</v>
      </c>
      <c r="AE611" s="134" t="s">
        <v>11</v>
      </c>
      <c r="AF611" s="134">
        <v>8506.0</v>
      </c>
      <c r="AG611" s="134">
        <v>54.9</v>
      </c>
    </row>
    <row r="612" ht="14.25" customHeight="1">
      <c r="D612" s="51"/>
      <c r="E612" s="51"/>
      <c r="AD612" s="134" t="s">
        <v>628</v>
      </c>
      <c r="AE612" s="134" t="s">
        <v>11</v>
      </c>
      <c r="AF612" s="134">
        <v>5312.0</v>
      </c>
      <c r="AG612" s="134">
        <v>54.9</v>
      </c>
    </row>
    <row r="613" ht="14.25" customHeight="1">
      <c r="D613" s="51"/>
      <c r="E613" s="51"/>
      <c r="AD613" s="134" t="s">
        <v>629</v>
      </c>
      <c r="AE613" s="134" t="s">
        <v>11</v>
      </c>
      <c r="AF613" s="134">
        <v>8507.0</v>
      </c>
      <c r="AG613" s="134">
        <v>59.9</v>
      </c>
    </row>
    <row r="614" ht="14.25" customHeight="1">
      <c r="D614" s="51"/>
      <c r="E614" s="51"/>
      <c r="AD614" s="134" t="s">
        <v>630</v>
      </c>
      <c r="AE614" s="134" t="s">
        <v>11</v>
      </c>
      <c r="AF614" s="134">
        <v>98130.0</v>
      </c>
      <c r="AG614" s="134">
        <v>59.9</v>
      </c>
    </row>
    <row r="615" ht="14.25" customHeight="1">
      <c r="D615" s="51"/>
      <c r="E615" s="51"/>
      <c r="AD615" s="134" t="s">
        <v>631</v>
      </c>
      <c r="AE615" s="134" t="s">
        <v>11</v>
      </c>
      <c r="AF615" s="134">
        <v>8518.0</v>
      </c>
      <c r="AG615" s="134">
        <v>79.9</v>
      </c>
    </row>
    <row r="616" ht="14.25" customHeight="1">
      <c r="D616" s="51"/>
      <c r="E616" s="51"/>
      <c r="AD616" s="134" t="s">
        <v>632</v>
      </c>
      <c r="AE616" s="134" t="s">
        <v>11</v>
      </c>
      <c r="AF616" s="134">
        <v>1293.0</v>
      </c>
      <c r="AG616" s="134">
        <v>79.9</v>
      </c>
    </row>
    <row r="617" ht="14.25" customHeight="1">
      <c r="D617" s="51"/>
      <c r="E617" s="51"/>
      <c r="AD617" s="134" t="s">
        <v>633</v>
      </c>
      <c r="AE617" s="134" t="s">
        <v>11</v>
      </c>
      <c r="AF617" s="134">
        <v>6991.0</v>
      </c>
      <c r="AG617" s="134">
        <v>0.0</v>
      </c>
    </row>
    <row r="618" ht="14.25" customHeight="1">
      <c r="D618" s="51"/>
      <c r="E618" s="51"/>
      <c r="AD618" s="134" t="s">
        <v>634</v>
      </c>
      <c r="AE618" s="134" t="s">
        <v>11</v>
      </c>
      <c r="AF618" s="134">
        <v>6998.0</v>
      </c>
      <c r="AG618" s="134">
        <v>49.9</v>
      </c>
    </row>
    <row r="619" ht="14.25" customHeight="1">
      <c r="D619" s="51"/>
      <c r="E619" s="51"/>
      <c r="AD619" s="134" t="s">
        <v>635</v>
      </c>
      <c r="AE619" s="134" t="s">
        <v>11</v>
      </c>
      <c r="AF619" s="134">
        <v>8525.0</v>
      </c>
      <c r="AG619" s="134">
        <v>59.9</v>
      </c>
    </row>
    <row r="620" ht="14.25" customHeight="1">
      <c r="D620" s="51"/>
      <c r="E620" s="51"/>
      <c r="AD620" s="134" t="s">
        <v>636</v>
      </c>
      <c r="AE620" s="134" t="s">
        <v>11</v>
      </c>
      <c r="AF620" s="134">
        <v>6578.0</v>
      </c>
      <c r="AG620" s="134">
        <v>59.9</v>
      </c>
    </row>
    <row r="621" ht="14.25" customHeight="1">
      <c r="D621" s="51"/>
      <c r="E621" s="51"/>
      <c r="AD621" s="134" t="s">
        <v>637</v>
      </c>
      <c r="AE621" s="134" t="s">
        <v>11</v>
      </c>
      <c r="AF621" s="134">
        <v>8526.0</v>
      </c>
      <c r="AG621" s="134">
        <v>69.9</v>
      </c>
    </row>
    <row r="622" ht="14.25" customHeight="1">
      <c r="D622" s="51"/>
      <c r="E622" s="51"/>
      <c r="AD622" s="134" t="s">
        <v>638</v>
      </c>
      <c r="AE622" s="134" t="s">
        <v>11</v>
      </c>
      <c r="AF622" s="134">
        <v>5753.0</v>
      </c>
      <c r="AG622" s="134">
        <v>69.9</v>
      </c>
    </row>
    <row r="623" ht="14.25" customHeight="1">
      <c r="D623" s="51"/>
      <c r="E623" s="51"/>
      <c r="AD623" s="134" t="s">
        <v>639</v>
      </c>
      <c r="AE623" s="134" t="s">
        <v>11</v>
      </c>
      <c r="AF623" s="134">
        <v>105406.0</v>
      </c>
      <c r="AG623" s="134">
        <v>69.9</v>
      </c>
    </row>
    <row r="624" ht="14.25" customHeight="1">
      <c r="D624" s="51"/>
      <c r="E624" s="51"/>
      <c r="AD624" s="134" t="s">
        <v>640</v>
      </c>
      <c r="AE624" s="134" t="s">
        <v>11</v>
      </c>
      <c r="AF624" s="134">
        <v>8529.0</v>
      </c>
      <c r="AG624" s="134">
        <v>69.9</v>
      </c>
    </row>
    <row r="625" ht="14.25" customHeight="1">
      <c r="D625" s="51"/>
      <c r="E625" s="51"/>
      <c r="AD625" s="134" t="s">
        <v>641</v>
      </c>
      <c r="AE625" s="134" t="s">
        <v>11</v>
      </c>
      <c r="AF625" s="134">
        <v>8532.0</v>
      </c>
      <c r="AG625" s="134">
        <v>63.9</v>
      </c>
    </row>
    <row r="626" ht="14.25" customHeight="1">
      <c r="D626" s="51"/>
      <c r="E626" s="51"/>
      <c r="AD626" s="134" t="s">
        <v>642</v>
      </c>
      <c r="AE626" s="134" t="s">
        <v>11</v>
      </c>
      <c r="AF626" s="134">
        <v>105407.0</v>
      </c>
      <c r="AG626" s="134">
        <v>63.9</v>
      </c>
    </row>
    <row r="627" ht="14.25" customHeight="1">
      <c r="D627" s="51"/>
      <c r="E627" s="51"/>
      <c r="AD627" s="134" t="s">
        <v>643</v>
      </c>
      <c r="AE627" s="134" t="s">
        <v>11</v>
      </c>
      <c r="AF627" s="134">
        <v>8541.0</v>
      </c>
      <c r="AG627" s="134">
        <v>63.9</v>
      </c>
    </row>
    <row r="628" ht="14.25" customHeight="1">
      <c r="D628" s="51"/>
      <c r="E628" s="51"/>
      <c r="AD628" s="134" t="s">
        <v>644</v>
      </c>
      <c r="AE628" s="134" t="s">
        <v>11</v>
      </c>
      <c r="AF628" s="134">
        <v>5752.0</v>
      </c>
      <c r="AG628" s="134">
        <v>63.9</v>
      </c>
    </row>
    <row r="629" ht="14.25" customHeight="1">
      <c r="D629" s="51"/>
      <c r="E629" s="51"/>
      <c r="AD629" s="134" t="s">
        <v>645</v>
      </c>
      <c r="AE629" s="134" t="s">
        <v>11</v>
      </c>
      <c r="AF629" s="134">
        <v>6032.0</v>
      </c>
      <c r="AG629" s="134">
        <v>63.9</v>
      </c>
    </row>
    <row r="630" ht="14.25" customHeight="1">
      <c r="D630" s="51"/>
      <c r="E630" s="51"/>
      <c r="AD630" s="134" t="s">
        <v>646</v>
      </c>
      <c r="AE630" s="134" t="s">
        <v>11</v>
      </c>
      <c r="AF630" s="134">
        <v>6031.0</v>
      </c>
      <c r="AG630" s="134">
        <v>59.9</v>
      </c>
    </row>
    <row r="631" ht="14.25" customHeight="1">
      <c r="D631" s="51"/>
      <c r="E631" s="51"/>
      <c r="AD631" s="134" t="s">
        <v>647</v>
      </c>
      <c r="AE631" s="134" t="s">
        <v>11</v>
      </c>
      <c r="AF631" s="134">
        <v>9067.0</v>
      </c>
      <c r="AG631" s="134">
        <v>62.9</v>
      </c>
    </row>
    <row r="632" ht="14.25" customHeight="1">
      <c r="D632" s="51"/>
      <c r="E632" s="51"/>
      <c r="AD632" s="134" t="s">
        <v>648</v>
      </c>
      <c r="AE632" s="134" t="s">
        <v>11</v>
      </c>
      <c r="AF632" s="134">
        <v>9075.0</v>
      </c>
      <c r="AG632" s="134">
        <v>62.9</v>
      </c>
    </row>
    <row r="633" ht="14.25" customHeight="1">
      <c r="D633" s="51"/>
      <c r="E633" s="51"/>
      <c r="AD633" s="134" t="s">
        <v>649</v>
      </c>
      <c r="AE633" s="134" t="s">
        <v>11</v>
      </c>
      <c r="AF633" s="134">
        <v>8544.0</v>
      </c>
      <c r="AG633" s="134">
        <v>59.9</v>
      </c>
    </row>
    <row r="634" ht="14.25" customHeight="1">
      <c r="D634" s="51"/>
      <c r="E634" s="51"/>
      <c r="AD634" s="134" t="s">
        <v>650</v>
      </c>
      <c r="AE634" s="134" t="s">
        <v>11</v>
      </c>
      <c r="AF634" s="134">
        <v>93471.0</v>
      </c>
      <c r="AG634" s="134">
        <v>59.9</v>
      </c>
    </row>
    <row r="635" ht="14.25" customHeight="1">
      <c r="D635" s="51"/>
      <c r="E635" s="51"/>
      <c r="AD635" s="134" t="s">
        <v>651</v>
      </c>
      <c r="AE635" s="134" t="s">
        <v>11</v>
      </c>
      <c r="AF635" s="134">
        <v>8545.0</v>
      </c>
      <c r="AG635" s="134">
        <v>59.9</v>
      </c>
    </row>
    <row r="636" ht="14.25" customHeight="1">
      <c r="D636" s="51"/>
      <c r="E636" s="51"/>
      <c r="AD636" s="134" t="s">
        <v>652</v>
      </c>
      <c r="AE636" s="134" t="s">
        <v>11</v>
      </c>
      <c r="AF636" s="134">
        <v>6834.0</v>
      </c>
      <c r="AG636" s="134">
        <v>59.9</v>
      </c>
    </row>
    <row r="637" ht="14.25" customHeight="1">
      <c r="D637" s="51"/>
      <c r="E637" s="51"/>
      <c r="AD637" s="134" t="s">
        <v>653</v>
      </c>
      <c r="AE637" s="134" t="s">
        <v>11</v>
      </c>
      <c r="AF637" s="134">
        <v>8546.0</v>
      </c>
      <c r="AG637" s="134">
        <v>63.9</v>
      </c>
    </row>
    <row r="638" ht="14.25" customHeight="1">
      <c r="D638" s="51"/>
      <c r="E638" s="51"/>
      <c r="AD638" s="134" t="s">
        <v>654</v>
      </c>
      <c r="AE638" s="134" t="s">
        <v>11</v>
      </c>
      <c r="AF638" s="134">
        <v>6833.0</v>
      </c>
      <c r="AG638" s="134">
        <v>63.9</v>
      </c>
    </row>
    <row r="639" ht="14.25" customHeight="1">
      <c r="D639" s="51"/>
      <c r="E639" s="51"/>
      <c r="AD639" s="134" t="s">
        <v>655</v>
      </c>
      <c r="AE639" s="134" t="s">
        <v>11</v>
      </c>
      <c r="AF639" s="134">
        <v>8547.0</v>
      </c>
      <c r="AG639" s="134">
        <v>59.9</v>
      </c>
    </row>
    <row r="640" ht="14.25" customHeight="1">
      <c r="D640" s="51"/>
      <c r="E640" s="51"/>
      <c r="AD640" s="134" t="s">
        <v>656</v>
      </c>
      <c r="AE640" s="134" t="s">
        <v>11</v>
      </c>
      <c r="AF640" s="134">
        <v>6832.0</v>
      </c>
      <c r="AG640" s="134">
        <v>59.9</v>
      </c>
    </row>
    <row r="641" ht="14.25" customHeight="1">
      <c r="D641" s="51"/>
      <c r="E641" s="51"/>
      <c r="AD641" s="134" t="s">
        <v>657</v>
      </c>
      <c r="AE641" s="134" t="s">
        <v>8</v>
      </c>
      <c r="AF641" s="134">
        <v>279956.0</v>
      </c>
      <c r="AG641" s="134">
        <v>9.98</v>
      </c>
    </row>
    <row r="642" ht="14.25" customHeight="1">
      <c r="D642" s="51"/>
      <c r="E642" s="51"/>
      <c r="AD642" s="134" t="s">
        <v>658</v>
      </c>
      <c r="AE642" s="134" t="s">
        <v>8</v>
      </c>
      <c r="AF642" s="134">
        <v>8548.0</v>
      </c>
      <c r="AG642" s="134">
        <v>32.84</v>
      </c>
    </row>
    <row r="643" ht="14.25" customHeight="1">
      <c r="D643" s="51"/>
      <c r="E643" s="51"/>
      <c r="AD643" s="134" t="s">
        <v>659</v>
      </c>
      <c r="AE643" s="134" t="s">
        <v>11</v>
      </c>
      <c r="AF643" s="134">
        <v>8551.0</v>
      </c>
      <c r="AG643" s="134">
        <v>59.9</v>
      </c>
    </row>
    <row r="644" ht="14.25" customHeight="1">
      <c r="D644" s="51"/>
      <c r="E644" s="51"/>
      <c r="AD644" s="134" t="s">
        <v>660</v>
      </c>
      <c r="AE644" s="134" t="s">
        <v>11</v>
      </c>
      <c r="AF644" s="134">
        <v>3221.0</v>
      </c>
      <c r="AG644" s="134">
        <v>69.9</v>
      </c>
    </row>
    <row r="645" ht="14.25" customHeight="1">
      <c r="D645" s="51"/>
      <c r="E645" s="51"/>
      <c r="AD645" s="134" t="s">
        <v>661</v>
      </c>
      <c r="AE645" s="134" t="s">
        <v>11</v>
      </c>
      <c r="AF645" s="134">
        <v>8549.0</v>
      </c>
      <c r="AG645" s="134">
        <v>69.9</v>
      </c>
    </row>
    <row r="646" ht="14.25" customHeight="1">
      <c r="D646" s="51"/>
      <c r="E646" s="51"/>
      <c r="AD646" s="134" t="s">
        <v>662</v>
      </c>
      <c r="AE646" s="134" t="s">
        <v>11</v>
      </c>
      <c r="AF646" s="134">
        <v>3219.0</v>
      </c>
      <c r="AG646" s="134">
        <v>59.9</v>
      </c>
    </row>
    <row r="647" ht="14.25" customHeight="1">
      <c r="D647" s="51"/>
      <c r="E647" s="51"/>
      <c r="AD647" s="134" t="s">
        <v>663</v>
      </c>
      <c r="AE647" s="134" t="s">
        <v>11</v>
      </c>
      <c r="AF647" s="134">
        <v>8552.0</v>
      </c>
      <c r="AG647" s="134">
        <v>28.9</v>
      </c>
    </row>
    <row r="648" ht="14.25" customHeight="1">
      <c r="D648" s="51"/>
      <c r="E648" s="51"/>
      <c r="AD648" s="134" t="s">
        <v>664</v>
      </c>
      <c r="AE648" s="134" t="s">
        <v>11</v>
      </c>
      <c r="AF648" s="134">
        <v>6558.0</v>
      </c>
      <c r="AG648" s="134">
        <v>28.9</v>
      </c>
    </row>
    <row r="649" ht="14.25" customHeight="1">
      <c r="D649" s="51"/>
      <c r="E649" s="51"/>
      <c r="AD649" s="134" t="s">
        <v>665</v>
      </c>
      <c r="AE649" s="134" t="s">
        <v>11</v>
      </c>
      <c r="AF649" s="134">
        <v>1613.0</v>
      </c>
      <c r="AG649" s="134">
        <v>69.9</v>
      </c>
    </row>
    <row r="650" ht="14.25" customHeight="1">
      <c r="D650" s="51"/>
      <c r="E650" s="51"/>
      <c r="AD650" s="134" t="s">
        <v>666</v>
      </c>
      <c r="AE650" s="134" t="s">
        <v>8</v>
      </c>
      <c r="AF650" s="134">
        <v>279970.0</v>
      </c>
      <c r="AG650" s="134">
        <v>39.99</v>
      </c>
    </row>
    <row r="651" ht="14.25" customHeight="1">
      <c r="D651" s="51"/>
      <c r="E651" s="51"/>
      <c r="AD651" s="134" t="s">
        <v>667</v>
      </c>
      <c r="AE651" s="134" t="s">
        <v>8</v>
      </c>
      <c r="AF651" s="134">
        <v>8553.0</v>
      </c>
      <c r="AG651" s="134">
        <v>39.99</v>
      </c>
    </row>
    <row r="652" ht="14.25" customHeight="1">
      <c r="D652" s="51"/>
      <c r="E652" s="51"/>
      <c r="AD652" s="134" t="s">
        <v>668</v>
      </c>
      <c r="AE652" s="134" t="s">
        <v>11</v>
      </c>
      <c r="AF652" s="134">
        <v>8554.0</v>
      </c>
      <c r="AG652" s="134">
        <v>29.9</v>
      </c>
    </row>
    <row r="653" ht="14.25" customHeight="1">
      <c r="D653" s="51"/>
      <c r="E653" s="51"/>
      <c r="AD653" s="134" t="s">
        <v>669</v>
      </c>
      <c r="AE653" s="134" t="s">
        <v>11</v>
      </c>
      <c r="AF653" s="134">
        <v>4347.0</v>
      </c>
      <c r="AG653" s="134">
        <v>29.9</v>
      </c>
    </row>
    <row r="654" ht="14.25" customHeight="1">
      <c r="D654" s="51"/>
      <c r="E654" s="51"/>
      <c r="AD654" s="134" t="s">
        <v>670</v>
      </c>
      <c r="AE654" s="134" t="s">
        <v>11</v>
      </c>
      <c r="AF654" s="134">
        <v>8555.0</v>
      </c>
      <c r="AG654" s="134">
        <v>99.9</v>
      </c>
    </row>
    <row r="655" ht="14.25" customHeight="1">
      <c r="D655" s="51"/>
      <c r="E655" s="51"/>
      <c r="AD655" s="134" t="s">
        <v>671</v>
      </c>
      <c r="AE655" s="134" t="s">
        <v>11</v>
      </c>
      <c r="AF655" s="134">
        <v>6835.0</v>
      </c>
      <c r="AG655" s="134">
        <v>79.9</v>
      </c>
    </row>
    <row r="656" ht="14.25" customHeight="1">
      <c r="D656" s="51"/>
      <c r="E656" s="51"/>
      <c r="AD656" s="134" t="s">
        <v>672</v>
      </c>
      <c r="AE656" s="134" t="s">
        <v>11</v>
      </c>
      <c r="AF656" s="134">
        <v>8556.0</v>
      </c>
      <c r="AG656" s="134">
        <v>79.9</v>
      </c>
    </row>
    <row r="657" ht="14.25" customHeight="1">
      <c r="D657" s="51"/>
      <c r="E657" s="51"/>
      <c r="AD657" s="134" t="s">
        <v>673</v>
      </c>
      <c r="AE657" s="134" t="s">
        <v>11</v>
      </c>
      <c r="AF657" s="134">
        <v>6689.0</v>
      </c>
      <c r="AG657" s="134">
        <v>79.9</v>
      </c>
    </row>
    <row r="658" ht="14.25" customHeight="1">
      <c r="D658" s="51"/>
      <c r="E658" s="51"/>
      <c r="AD658" s="134" t="s">
        <v>674</v>
      </c>
      <c r="AE658" s="134" t="s">
        <v>11</v>
      </c>
      <c r="AF658" s="134">
        <v>94812.0</v>
      </c>
      <c r="AG658" s="134">
        <v>84.9</v>
      </c>
    </row>
    <row r="659" ht="14.25" customHeight="1">
      <c r="D659" s="51"/>
      <c r="E659" s="51"/>
      <c r="AD659" s="134" t="s">
        <v>675</v>
      </c>
      <c r="AE659" s="134" t="s">
        <v>11</v>
      </c>
      <c r="AF659" s="134">
        <v>8557.0</v>
      </c>
      <c r="AG659" s="134">
        <v>84.9</v>
      </c>
    </row>
    <row r="660" ht="14.25" customHeight="1">
      <c r="D660" s="51"/>
      <c r="E660" s="51"/>
      <c r="AD660" s="134" t="s">
        <v>676</v>
      </c>
      <c r="AE660" s="134" t="s">
        <v>11</v>
      </c>
      <c r="AF660" s="134">
        <v>6901.0</v>
      </c>
      <c r="AG660" s="134">
        <v>39.9</v>
      </c>
    </row>
    <row r="661" ht="14.25" customHeight="1">
      <c r="D661" s="51"/>
      <c r="E661" s="51"/>
      <c r="AD661" s="134" t="s">
        <v>677</v>
      </c>
      <c r="AE661" s="134" t="s">
        <v>11</v>
      </c>
      <c r="AF661" s="134">
        <v>8559.0</v>
      </c>
      <c r="AG661" s="134">
        <v>39.9</v>
      </c>
    </row>
    <row r="662" ht="14.25" customHeight="1">
      <c r="D662" s="51"/>
      <c r="E662" s="51"/>
      <c r="AD662" s="134" t="s">
        <v>678</v>
      </c>
      <c r="AE662" s="134" t="s">
        <v>11</v>
      </c>
      <c r="AF662" s="134">
        <v>8563.0</v>
      </c>
      <c r="AG662" s="134">
        <v>59.9</v>
      </c>
    </row>
    <row r="663" ht="14.25" customHeight="1">
      <c r="D663" s="51"/>
      <c r="E663" s="51"/>
      <c r="AD663" s="134" t="s">
        <v>679</v>
      </c>
      <c r="AE663" s="134" t="s">
        <v>11</v>
      </c>
      <c r="AF663" s="134">
        <v>93485.0</v>
      </c>
      <c r="AG663" s="134">
        <v>59.9</v>
      </c>
    </row>
    <row r="664" ht="14.25" customHeight="1">
      <c r="D664" s="51"/>
      <c r="E664" s="51"/>
      <c r="AD664" s="134" t="s">
        <v>680</v>
      </c>
      <c r="AE664" s="134" t="s">
        <v>11</v>
      </c>
      <c r="AF664" s="134">
        <v>8565.0</v>
      </c>
      <c r="AG664" s="134">
        <v>49.0</v>
      </c>
    </row>
    <row r="665" ht="14.25" customHeight="1">
      <c r="D665" s="51"/>
      <c r="E665" s="51"/>
      <c r="AD665" s="134" t="s">
        <v>681</v>
      </c>
      <c r="AE665" s="134" t="s">
        <v>11</v>
      </c>
      <c r="AF665" s="134">
        <v>101682.0</v>
      </c>
      <c r="AG665" s="134">
        <v>49.0</v>
      </c>
    </row>
    <row r="666" ht="14.25" customHeight="1">
      <c r="D666" s="51"/>
      <c r="E666" s="51"/>
      <c r="AD666" s="134" t="s">
        <v>682</v>
      </c>
      <c r="AE666" s="134" t="s">
        <v>11</v>
      </c>
      <c r="AF666" s="134">
        <v>93651.0</v>
      </c>
      <c r="AG666" s="134">
        <v>69.9</v>
      </c>
    </row>
    <row r="667" ht="14.25" customHeight="1">
      <c r="D667" s="51"/>
      <c r="E667" s="51"/>
      <c r="AD667" s="134" t="s">
        <v>683</v>
      </c>
      <c r="AE667" s="134" t="s">
        <v>11</v>
      </c>
      <c r="AF667" s="134">
        <v>8566.0</v>
      </c>
      <c r="AG667" s="134">
        <v>59.9</v>
      </c>
    </row>
    <row r="668" ht="14.25" customHeight="1">
      <c r="D668" s="51"/>
      <c r="E668" s="51"/>
      <c r="AD668" s="134" t="s">
        <v>684</v>
      </c>
      <c r="AE668" s="134" t="s">
        <v>11</v>
      </c>
      <c r="AF668" s="134">
        <v>94646.0</v>
      </c>
      <c r="AG668" s="134">
        <v>59.9</v>
      </c>
    </row>
    <row r="669" ht="14.25" customHeight="1">
      <c r="D669" s="51"/>
      <c r="E669" s="51"/>
      <c r="AD669" s="134" t="s">
        <v>685</v>
      </c>
      <c r="AE669" s="134" t="s">
        <v>11</v>
      </c>
      <c r="AF669" s="134">
        <v>8568.0</v>
      </c>
      <c r="AG669" s="134">
        <v>79.9</v>
      </c>
    </row>
    <row r="670" ht="14.25" customHeight="1">
      <c r="D670" s="51"/>
      <c r="E670" s="51"/>
      <c r="AD670" s="134" t="s">
        <v>686</v>
      </c>
      <c r="AE670" s="134" t="s">
        <v>11</v>
      </c>
      <c r="AF670" s="134">
        <v>97608.0</v>
      </c>
      <c r="AG670" s="134">
        <v>79.9</v>
      </c>
    </row>
    <row r="671" ht="14.25" customHeight="1">
      <c r="D671" s="51"/>
      <c r="E671" s="51"/>
      <c r="AD671" s="134" t="s">
        <v>687</v>
      </c>
      <c r="AE671" s="134" t="s">
        <v>11</v>
      </c>
      <c r="AF671" s="134">
        <v>8569.0</v>
      </c>
      <c r="AG671" s="134">
        <v>99.9</v>
      </c>
    </row>
    <row r="672" ht="14.25" customHeight="1">
      <c r="D672" s="51"/>
      <c r="E672" s="51"/>
      <c r="AD672" s="134" t="s">
        <v>688</v>
      </c>
      <c r="AE672" s="134" t="s">
        <v>11</v>
      </c>
      <c r="AF672" s="134">
        <v>99666.0</v>
      </c>
      <c r="AG672" s="134">
        <v>99.9</v>
      </c>
    </row>
    <row r="673" ht="14.25" customHeight="1">
      <c r="D673" s="51"/>
      <c r="E673" s="51"/>
      <c r="AD673" s="134" t="s">
        <v>689</v>
      </c>
      <c r="AE673" s="134" t="s">
        <v>11</v>
      </c>
      <c r="AF673" s="134">
        <v>8571.0</v>
      </c>
      <c r="AG673" s="134">
        <v>39.9</v>
      </c>
    </row>
    <row r="674" ht="14.25" customHeight="1">
      <c r="D674" s="51"/>
      <c r="E674" s="51"/>
      <c r="AD674" s="134" t="s">
        <v>690</v>
      </c>
      <c r="AE674" s="134" t="s">
        <v>11</v>
      </c>
      <c r="AF674" s="134">
        <v>101183.0</v>
      </c>
      <c r="AG674" s="134">
        <v>24.9</v>
      </c>
    </row>
    <row r="675" ht="14.25" customHeight="1">
      <c r="D675" s="51"/>
      <c r="E675" s="51"/>
      <c r="AD675" s="134" t="s">
        <v>691</v>
      </c>
      <c r="AE675" s="134" t="s">
        <v>11</v>
      </c>
      <c r="AF675" s="134">
        <v>8572.0</v>
      </c>
      <c r="AG675" s="134">
        <v>20.99</v>
      </c>
    </row>
    <row r="676" ht="14.25" customHeight="1">
      <c r="D676" s="51"/>
      <c r="E676" s="51"/>
      <c r="AD676" s="134" t="s">
        <v>692</v>
      </c>
      <c r="AE676" s="134" t="s">
        <v>8</v>
      </c>
      <c r="AF676" s="134">
        <v>8574.0</v>
      </c>
      <c r="AG676" s="134">
        <v>20.99</v>
      </c>
    </row>
    <row r="677" ht="14.25" customHeight="1">
      <c r="D677" s="51"/>
      <c r="E677" s="51"/>
      <c r="AD677" s="134" t="s">
        <v>693</v>
      </c>
      <c r="AE677" s="134" t="s">
        <v>11</v>
      </c>
      <c r="AF677" s="134">
        <v>5966.0</v>
      </c>
      <c r="AG677" s="134">
        <v>20.99</v>
      </c>
    </row>
    <row r="678" ht="14.25" customHeight="1">
      <c r="D678" s="51"/>
      <c r="E678" s="51"/>
      <c r="AD678" s="134" t="s">
        <v>694</v>
      </c>
      <c r="AE678" s="134" t="s">
        <v>8</v>
      </c>
      <c r="AF678" s="134">
        <v>4699.0</v>
      </c>
      <c r="AG678" s="134">
        <v>20.99</v>
      </c>
    </row>
    <row r="679" ht="14.25" customHeight="1">
      <c r="D679" s="51"/>
      <c r="E679" s="51"/>
      <c r="AD679" s="134" t="s">
        <v>695</v>
      </c>
      <c r="AE679" s="134" t="s">
        <v>11</v>
      </c>
      <c r="AF679" s="134">
        <v>8575.0</v>
      </c>
      <c r="AG679" s="134">
        <v>86.59</v>
      </c>
    </row>
    <row r="680" ht="14.25" customHeight="1">
      <c r="D680" s="51"/>
      <c r="E680" s="51"/>
      <c r="AD680" s="134" t="s">
        <v>696</v>
      </c>
      <c r="AE680" s="134" t="s">
        <v>11</v>
      </c>
      <c r="AF680" s="134">
        <v>5686.0</v>
      </c>
      <c r="AG680" s="134">
        <v>69.9</v>
      </c>
    </row>
    <row r="681" ht="14.25" customHeight="1">
      <c r="D681" s="51"/>
      <c r="E681" s="51"/>
      <c r="AD681" s="134" t="s">
        <v>697</v>
      </c>
      <c r="AE681" s="134" t="s">
        <v>11</v>
      </c>
      <c r="AF681" s="134">
        <v>8577.0</v>
      </c>
      <c r="AG681" s="134">
        <v>79.9</v>
      </c>
    </row>
    <row r="682" ht="14.25" customHeight="1">
      <c r="D682" s="51"/>
      <c r="E682" s="51"/>
      <c r="AD682" s="134" t="s">
        <v>698</v>
      </c>
      <c r="AE682" s="134" t="s">
        <v>11</v>
      </c>
      <c r="AF682" s="134">
        <v>94424.0</v>
      </c>
      <c r="AG682" s="134">
        <v>79.9</v>
      </c>
    </row>
    <row r="683" ht="14.25" customHeight="1">
      <c r="D683" s="51"/>
      <c r="E683" s="51"/>
      <c r="AD683" s="134" t="s">
        <v>699</v>
      </c>
      <c r="AE683" s="134" t="s">
        <v>8</v>
      </c>
      <c r="AF683" s="134">
        <v>96543.0</v>
      </c>
      <c r="AG683" s="134">
        <v>49.9</v>
      </c>
    </row>
    <row r="684" ht="14.25" customHeight="1">
      <c r="D684" s="51"/>
      <c r="E684" s="51"/>
      <c r="AD684" s="134" t="s">
        <v>700</v>
      </c>
      <c r="AE684" s="134" t="s">
        <v>11</v>
      </c>
      <c r="AF684" s="134">
        <v>8578.0</v>
      </c>
      <c r="AG684" s="134">
        <v>69.9</v>
      </c>
    </row>
    <row r="685" ht="14.25" customHeight="1">
      <c r="D685" s="51"/>
      <c r="E685" s="51"/>
      <c r="AD685" s="134" t="s">
        <v>701</v>
      </c>
      <c r="AE685" s="134" t="s">
        <v>11</v>
      </c>
      <c r="AF685" s="134">
        <v>5848.0</v>
      </c>
      <c r="AG685" s="134">
        <v>69.9</v>
      </c>
    </row>
    <row r="686" ht="14.25" customHeight="1">
      <c r="D686" s="51"/>
      <c r="E686" s="51"/>
      <c r="AD686" s="134" t="s">
        <v>702</v>
      </c>
      <c r="AE686" s="134" t="s">
        <v>11</v>
      </c>
      <c r="AF686" s="134">
        <v>8580.0</v>
      </c>
      <c r="AG686" s="134">
        <v>49.9</v>
      </c>
    </row>
    <row r="687" ht="14.25" customHeight="1">
      <c r="D687" s="51"/>
      <c r="E687" s="51"/>
      <c r="AD687" s="134" t="s">
        <v>703</v>
      </c>
      <c r="AE687" s="134" t="s">
        <v>11</v>
      </c>
      <c r="AF687" s="134">
        <v>2822.0</v>
      </c>
      <c r="AG687" s="134">
        <v>49.9</v>
      </c>
    </row>
    <row r="688" ht="14.25" customHeight="1">
      <c r="D688" s="51"/>
      <c r="E688" s="51"/>
      <c r="AD688" s="134" t="s">
        <v>704</v>
      </c>
      <c r="AE688" s="134" t="s">
        <v>11</v>
      </c>
      <c r="AF688" s="134">
        <v>8598.0</v>
      </c>
      <c r="AG688" s="134">
        <v>48.9</v>
      </c>
    </row>
    <row r="689" ht="14.25" customHeight="1">
      <c r="D689" s="51"/>
      <c r="E689" s="51"/>
      <c r="AD689" s="134" t="s">
        <v>705</v>
      </c>
      <c r="AE689" s="134" t="s">
        <v>11</v>
      </c>
      <c r="AF689" s="134">
        <v>93489.0</v>
      </c>
      <c r="AG689" s="134">
        <v>48.9</v>
      </c>
    </row>
    <row r="690" ht="14.25" customHeight="1">
      <c r="D690" s="51"/>
      <c r="E690" s="51"/>
      <c r="AD690" s="134" t="s">
        <v>706</v>
      </c>
      <c r="AE690" s="134" t="s">
        <v>11</v>
      </c>
      <c r="AF690" s="134">
        <v>8599.0</v>
      </c>
      <c r="AG690" s="134">
        <v>42.9</v>
      </c>
    </row>
    <row r="691" ht="14.25" customHeight="1">
      <c r="D691" s="51"/>
      <c r="E691" s="51"/>
      <c r="AD691" s="134" t="s">
        <v>707</v>
      </c>
      <c r="AE691" s="134" t="s">
        <v>11</v>
      </c>
      <c r="AF691" s="134">
        <v>1227.0</v>
      </c>
      <c r="AG691" s="134">
        <v>42.9</v>
      </c>
    </row>
    <row r="692" ht="14.25" customHeight="1">
      <c r="D692" s="51"/>
      <c r="E692" s="51"/>
      <c r="AD692" s="134" t="s">
        <v>708</v>
      </c>
      <c r="AE692" s="134" t="s">
        <v>11</v>
      </c>
      <c r="AF692" s="134">
        <v>8602.0</v>
      </c>
      <c r="AG692" s="134">
        <v>34.9</v>
      </c>
    </row>
    <row r="693" ht="14.25" customHeight="1">
      <c r="D693" s="51"/>
      <c r="E693" s="51"/>
      <c r="AD693" s="134" t="s">
        <v>709</v>
      </c>
      <c r="AE693" s="134" t="s">
        <v>11</v>
      </c>
      <c r="AF693" s="134">
        <v>94238.0</v>
      </c>
      <c r="AG693" s="134">
        <v>34.9</v>
      </c>
    </row>
    <row r="694" ht="14.25" customHeight="1">
      <c r="D694" s="51"/>
      <c r="E694" s="51"/>
      <c r="AD694" s="134" t="s">
        <v>710</v>
      </c>
      <c r="AE694" s="134" t="s">
        <v>11</v>
      </c>
      <c r="AF694" s="134">
        <v>8605.0</v>
      </c>
      <c r="AG694" s="134">
        <v>34.9</v>
      </c>
    </row>
    <row r="695" ht="14.25" customHeight="1">
      <c r="D695" s="51"/>
      <c r="E695" s="51"/>
      <c r="AD695" s="134" t="s">
        <v>711</v>
      </c>
      <c r="AE695" s="134" t="s">
        <v>11</v>
      </c>
      <c r="AF695" s="134">
        <v>3480.0</v>
      </c>
      <c r="AG695" s="134">
        <v>34.9</v>
      </c>
    </row>
    <row r="696" ht="14.25" customHeight="1">
      <c r="D696" s="51"/>
      <c r="E696" s="51"/>
      <c r="AD696" s="134" t="s">
        <v>712</v>
      </c>
      <c r="AE696" s="134" t="s">
        <v>11</v>
      </c>
      <c r="AF696" s="134">
        <v>8614.0</v>
      </c>
      <c r="AG696" s="134">
        <v>59.9</v>
      </c>
    </row>
    <row r="697" ht="14.25" customHeight="1">
      <c r="D697" s="51"/>
      <c r="E697" s="51"/>
      <c r="AD697" s="134" t="s">
        <v>713</v>
      </c>
      <c r="AE697" s="134" t="s">
        <v>11</v>
      </c>
      <c r="AF697" s="134">
        <v>95180.0</v>
      </c>
      <c r="AG697" s="134">
        <v>59.9</v>
      </c>
    </row>
    <row r="698" ht="14.25" customHeight="1">
      <c r="D698" s="51"/>
      <c r="E698" s="51"/>
      <c r="AD698" s="134" t="s">
        <v>714</v>
      </c>
      <c r="AE698" s="134" t="s">
        <v>11</v>
      </c>
      <c r="AF698" s="134">
        <v>8616.0</v>
      </c>
      <c r="AG698" s="134">
        <v>64.9</v>
      </c>
    </row>
    <row r="699" ht="14.25" customHeight="1">
      <c r="D699" s="51"/>
      <c r="E699" s="51"/>
      <c r="AD699" s="134" t="s">
        <v>715</v>
      </c>
      <c r="AE699" s="134" t="s">
        <v>11</v>
      </c>
      <c r="AF699" s="134">
        <v>102073.0</v>
      </c>
      <c r="AG699" s="134">
        <v>64.9</v>
      </c>
    </row>
    <row r="700" ht="14.25" customHeight="1">
      <c r="D700" s="51"/>
      <c r="E700" s="51"/>
      <c r="AD700" s="134" t="s">
        <v>716</v>
      </c>
      <c r="AE700" s="134" t="s">
        <v>11</v>
      </c>
      <c r="AF700" s="134">
        <v>8619.0</v>
      </c>
      <c r="AG700" s="134">
        <v>59.9</v>
      </c>
    </row>
    <row r="701" ht="14.25" customHeight="1">
      <c r="D701" s="51"/>
      <c r="E701" s="51"/>
      <c r="AD701" s="134" t="s">
        <v>717</v>
      </c>
      <c r="AE701" s="134" t="s">
        <v>11</v>
      </c>
      <c r="AF701" s="134">
        <v>94692.0</v>
      </c>
      <c r="AG701" s="134">
        <v>59.9</v>
      </c>
    </row>
    <row r="702" ht="14.25" customHeight="1">
      <c r="D702" s="51"/>
      <c r="E702" s="51"/>
      <c r="AD702" s="134" t="s">
        <v>718</v>
      </c>
      <c r="AE702" s="134" t="s">
        <v>11</v>
      </c>
      <c r="AF702" s="134">
        <v>8624.0</v>
      </c>
      <c r="AG702" s="134">
        <v>39.9</v>
      </c>
    </row>
    <row r="703" ht="14.25" customHeight="1">
      <c r="D703" s="51"/>
      <c r="E703" s="51"/>
      <c r="AD703" s="134" t="s">
        <v>719</v>
      </c>
      <c r="AE703" s="134" t="s">
        <v>11</v>
      </c>
      <c r="AF703" s="134">
        <v>3456.0</v>
      </c>
      <c r="AG703" s="134">
        <v>39.9</v>
      </c>
    </row>
    <row r="704" ht="14.25" customHeight="1">
      <c r="D704" s="51"/>
      <c r="E704" s="51"/>
      <c r="AD704" s="134" t="s">
        <v>720</v>
      </c>
      <c r="AE704" s="134" t="s">
        <v>11</v>
      </c>
      <c r="AF704" s="134">
        <v>8633.0</v>
      </c>
      <c r="AG704" s="134">
        <v>19.9</v>
      </c>
    </row>
    <row r="705" ht="14.25" customHeight="1">
      <c r="D705" s="51"/>
      <c r="E705" s="51"/>
      <c r="AD705" s="134" t="s">
        <v>721</v>
      </c>
      <c r="AE705" s="134" t="s">
        <v>11</v>
      </c>
      <c r="AF705" s="134">
        <v>98190.0</v>
      </c>
      <c r="AG705" s="134">
        <v>19.9</v>
      </c>
    </row>
    <row r="706" ht="14.25" customHeight="1">
      <c r="D706" s="51"/>
      <c r="E706" s="51"/>
      <c r="AD706" s="134" t="s">
        <v>722</v>
      </c>
      <c r="AE706" s="134" t="s">
        <v>11</v>
      </c>
      <c r="AF706" s="134">
        <v>8646.0</v>
      </c>
      <c r="AG706" s="134">
        <v>79.9</v>
      </c>
    </row>
    <row r="707" ht="14.25" customHeight="1">
      <c r="D707" s="51"/>
      <c r="E707" s="51"/>
      <c r="AD707" s="134" t="s">
        <v>723</v>
      </c>
      <c r="AE707" s="134" t="s">
        <v>11</v>
      </c>
      <c r="AF707" s="134">
        <v>93456.0</v>
      </c>
      <c r="AG707" s="134">
        <v>79.9</v>
      </c>
    </row>
    <row r="708" ht="14.25" customHeight="1">
      <c r="D708" s="51"/>
      <c r="E708" s="51"/>
      <c r="AD708" s="134" t="s">
        <v>724</v>
      </c>
      <c r="AE708" s="134" t="s">
        <v>8</v>
      </c>
      <c r="AF708" s="134">
        <v>4985.0</v>
      </c>
      <c r="AG708" s="134">
        <v>43.9</v>
      </c>
    </row>
    <row r="709" ht="14.25" customHeight="1">
      <c r="D709" s="51"/>
      <c r="E709" s="51"/>
      <c r="AD709" s="134" t="s">
        <v>725</v>
      </c>
      <c r="AE709" s="134" t="s">
        <v>8</v>
      </c>
      <c r="AF709" s="134">
        <v>8647.0</v>
      </c>
      <c r="AG709" s="134">
        <v>43.9</v>
      </c>
    </row>
    <row r="710" ht="14.25" customHeight="1">
      <c r="D710" s="51"/>
      <c r="E710" s="51"/>
      <c r="AD710" s="134" t="s">
        <v>726</v>
      </c>
      <c r="AE710" s="134" t="s">
        <v>11</v>
      </c>
      <c r="AF710" s="134">
        <v>8648.0</v>
      </c>
      <c r="AG710" s="134">
        <v>69.9</v>
      </c>
    </row>
    <row r="711" ht="14.25" customHeight="1">
      <c r="D711" s="51"/>
      <c r="E711" s="51"/>
      <c r="AD711" s="134" t="s">
        <v>727</v>
      </c>
      <c r="AE711" s="134" t="s">
        <v>11</v>
      </c>
      <c r="AF711" s="134">
        <v>93907.0</v>
      </c>
      <c r="AG711" s="134">
        <v>69.9</v>
      </c>
    </row>
    <row r="712" ht="14.25" customHeight="1">
      <c r="D712" s="51"/>
      <c r="E712" s="51"/>
      <c r="AD712" s="134" t="s">
        <v>728</v>
      </c>
      <c r="AE712" s="134" t="s">
        <v>11</v>
      </c>
      <c r="AF712" s="134">
        <v>8649.0</v>
      </c>
      <c r="AG712" s="134">
        <v>39.9</v>
      </c>
    </row>
    <row r="713" ht="14.25" customHeight="1">
      <c r="D713" s="51"/>
      <c r="E713" s="51"/>
      <c r="AD713" s="134" t="s">
        <v>729</v>
      </c>
      <c r="AE713" s="134" t="s">
        <v>11</v>
      </c>
      <c r="AF713" s="134">
        <v>1734.0</v>
      </c>
      <c r="AG713" s="134">
        <v>39.9</v>
      </c>
    </row>
    <row r="714" ht="14.25" customHeight="1">
      <c r="D714" s="51"/>
      <c r="E714" s="51"/>
      <c r="AD714" s="134" t="s">
        <v>730</v>
      </c>
      <c r="AE714" s="134" t="s">
        <v>11</v>
      </c>
      <c r="AF714" s="134">
        <v>8658.0</v>
      </c>
      <c r="AG714" s="134">
        <v>54.9</v>
      </c>
    </row>
    <row r="715" ht="14.25" customHeight="1">
      <c r="D715" s="51"/>
      <c r="E715" s="51"/>
      <c r="AD715" s="134" t="s">
        <v>731</v>
      </c>
      <c r="AE715" s="134" t="s">
        <v>11</v>
      </c>
      <c r="AF715" s="134">
        <v>1017.0</v>
      </c>
      <c r="AG715" s="134">
        <v>54.9</v>
      </c>
    </row>
    <row r="716" ht="14.25" customHeight="1">
      <c r="D716" s="51"/>
      <c r="E716" s="51"/>
      <c r="AD716" s="134" t="s">
        <v>732</v>
      </c>
      <c r="AE716" s="134" t="s">
        <v>11</v>
      </c>
      <c r="AF716" s="134">
        <v>3152.0</v>
      </c>
      <c r="AG716" s="134">
        <v>69.9</v>
      </c>
    </row>
    <row r="717" ht="14.25" customHeight="1">
      <c r="D717" s="51"/>
      <c r="E717" s="51"/>
      <c r="AD717" s="134" t="s">
        <v>733</v>
      </c>
      <c r="AE717" s="134" t="s">
        <v>11</v>
      </c>
      <c r="AF717" s="134">
        <v>8659.0</v>
      </c>
      <c r="AG717" s="134">
        <v>69.9</v>
      </c>
    </row>
    <row r="718" ht="14.25" customHeight="1">
      <c r="D718" s="51"/>
      <c r="E718" s="51"/>
      <c r="AD718" s="134" t="s">
        <v>734</v>
      </c>
      <c r="AE718" s="134" t="s">
        <v>11</v>
      </c>
      <c r="AF718" s="134">
        <v>8663.0</v>
      </c>
      <c r="AG718" s="134">
        <v>69.9</v>
      </c>
    </row>
    <row r="719" ht="14.25" customHeight="1">
      <c r="D719" s="51"/>
      <c r="E719" s="51"/>
      <c r="AD719" s="134" t="s">
        <v>735</v>
      </c>
      <c r="AE719" s="134" t="s">
        <v>11</v>
      </c>
      <c r="AF719" s="134">
        <v>1296.0</v>
      </c>
      <c r="AG719" s="134">
        <v>69.9</v>
      </c>
    </row>
    <row r="720" ht="14.25" customHeight="1">
      <c r="D720" s="51"/>
      <c r="E720" s="51"/>
      <c r="AD720" s="134" t="s">
        <v>736</v>
      </c>
      <c r="AE720" s="134" t="s">
        <v>11</v>
      </c>
      <c r="AF720" s="134">
        <v>8667.0</v>
      </c>
      <c r="AG720" s="134">
        <v>69.9</v>
      </c>
    </row>
    <row r="721" ht="14.25" customHeight="1">
      <c r="D721" s="51"/>
      <c r="E721" s="51"/>
      <c r="AD721" s="134" t="s">
        <v>737</v>
      </c>
      <c r="AE721" s="134" t="s">
        <v>11</v>
      </c>
      <c r="AF721" s="134">
        <v>93480.0</v>
      </c>
      <c r="AG721" s="134">
        <v>69.9</v>
      </c>
    </row>
    <row r="722" ht="14.25" customHeight="1">
      <c r="D722" s="51"/>
      <c r="E722" s="51"/>
      <c r="AD722" s="134" t="s">
        <v>738</v>
      </c>
      <c r="AE722" s="134" t="s">
        <v>8</v>
      </c>
      <c r="AF722" s="134">
        <v>9121.0</v>
      </c>
      <c r="AG722" s="134">
        <v>0.0</v>
      </c>
    </row>
    <row r="723" ht="14.25" customHeight="1">
      <c r="D723" s="51"/>
      <c r="E723" s="51"/>
      <c r="AD723" s="134" t="s">
        <v>739</v>
      </c>
      <c r="AE723" s="134" t="s">
        <v>11</v>
      </c>
      <c r="AF723" s="134">
        <v>8668.0</v>
      </c>
      <c r="AG723" s="134">
        <v>34.9</v>
      </c>
    </row>
    <row r="724" ht="14.25" customHeight="1">
      <c r="D724" s="51"/>
      <c r="E724" s="51"/>
      <c r="AD724" s="134" t="s">
        <v>740</v>
      </c>
      <c r="AE724" s="134" t="s">
        <v>11</v>
      </c>
      <c r="AF724" s="134">
        <v>8671.0</v>
      </c>
      <c r="AG724" s="134">
        <v>38.9</v>
      </c>
    </row>
    <row r="725" ht="14.25" customHeight="1">
      <c r="D725" s="51"/>
      <c r="E725" s="51"/>
      <c r="AD725" s="134" t="s">
        <v>741</v>
      </c>
      <c r="AE725" s="134" t="s">
        <v>8</v>
      </c>
      <c r="AF725" s="134">
        <v>8963.0</v>
      </c>
      <c r="AG725" s="134">
        <v>24.9</v>
      </c>
    </row>
    <row r="726" ht="14.25" customHeight="1">
      <c r="D726" s="51"/>
      <c r="E726" s="51"/>
      <c r="AD726" s="134" t="s">
        <v>742</v>
      </c>
      <c r="AE726" s="134" t="s">
        <v>11</v>
      </c>
      <c r="AF726" s="134">
        <v>8688.0</v>
      </c>
      <c r="AG726" s="134">
        <v>19.9</v>
      </c>
    </row>
    <row r="727" ht="14.25" customHeight="1">
      <c r="D727" s="51"/>
      <c r="E727" s="51"/>
      <c r="AD727" s="134" t="s">
        <v>743</v>
      </c>
      <c r="AE727" s="134" t="s">
        <v>11</v>
      </c>
      <c r="AF727" s="134">
        <v>8673.0</v>
      </c>
      <c r="AG727" s="134">
        <v>29.9</v>
      </c>
    </row>
    <row r="728" ht="14.25" customHeight="1">
      <c r="D728" s="51"/>
      <c r="E728" s="51"/>
      <c r="AD728" s="134" t="s">
        <v>744</v>
      </c>
      <c r="AE728" s="134" t="s">
        <v>11</v>
      </c>
      <c r="AF728" s="134">
        <v>3232.0</v>
      </c>
      <c r="AG728" s="134">
        <v>21.9</v>
      </c>
    </row>
    <row r="729" ht="14.25" customHeight="1">
      <c r="D729" s="51"/>
      <c r="E729" s="51"/>
      <c r="AD729" s="134" t="s">
        <v>745</v>
      </c>
      <c r="AE729" s="134" t="s">
        <v>11</v>
      </c>
      <c r="AF729" s="134">
        <v>8674.0</v>
      </c>
      <c r="AG729" s="134">
        <v>24.9</v>
      </c>
    </row>
    <row r="730" ht="14.25" customHeight="1">
      <c r="D730" s="51"/>
      <c r="E730" s="51"/>
      <c r="AD730" s="134" t="s">
        <v>746</v>
      </c>
      <c r="AE730" s="134" t="s">
        <v>11</v>
      </c>
      <c r="AF730" s="134">
        <v>8687.0</v>
      </c>
      <c r="AG730" s="134">
        <v>32.9</v>
      </c>
    </row>
    <row r="731" ht="14.25" customHeight="1">
      <c r="D731" s="51"/>
      <c r="E731" s="51"/>
      <c r="AD731" s="134" t="s">
        <v>747</v>
      </c>
      <c r="AE731" s="134" t="s">
        <v>11</v>
      </c>
      <c r="AF731" s="134">
        <v>8689.0</v>
      </c>
      <c r="AG731" s="134">
        <v>21.9</v>
      </c>
    </row>
    <row r="732" ht="14.25" customHeight="1">
      <c r="D732" s="51"/>
      <c r="E732" s="51"/>
      <c r="AD732" s="134" t="s">
        <v>748</v>
      </c>
      <c r="AE732" s="134" t="s">
        <v>11</v>
      </c>
      <c r="AF732" s="134">
        <v>8690.0</v>
      </c>
      <c r="AG732" s="134">
        <v>34.9</v>
      </c>
    </row>
    <row r="733" ht="14.25" customHeight="1">
      <c r="D733" s="51"/>
      <c r="E733" s="51"/>
      <c r="AD733" s="134" t="s">
        <v>749</v>
      </c>
      <c r="AE733" s="134" t="s">
        <v>11</v>
      </c>
      <c r="AF733" s="134">
        <v>8694.0</v>
      </c>
      <c r="AG733" s="134">
        <v>39.9</v>
      </c>
    </row>
    <row r="734" ht="14.25" customHeight="1">
      <c r="D734" s="51"/>
      <c r="E734" s="51"/>
      <c r="AD734" s="134" t="s">
        <v>750</v>
      </c>
      <c r="AE734" s="134" t="s">
        <v>11</v>
      </c>
      <c r="AF734" s="134">
        <v>8695.0</v>
      </c>
      <c r="AG734" s="134">
        <v>23.9</v>
      </c>
    </row>
    <row r="735" ht="14.25" customHeight="1">
      <c r="D735" s="51"/>
      <c r="E735" s="51"/>
      <c r="AD735" s="134" t="s">
        <v>751</v>
      </c>
      <c r="AE735" s="134" t="s">
        <v>11</v>
      </c>
      <c r="AF735" s="134">
        <v>5497.0</v>
      </c>
      <c r="AG735" s="134">
        <v>23.9</v>
      </c>
    </row>
    <row r="736" ht="14.25" customHeight="1">
      <c r="D736" s="51"/>
      <c r="E736" s="51"/>
      <c r="AD736" s="134" t="s">
        <v>752</v>
      </c>
      <c r="AE736" s="134" t="s">
        <v>11</v>
      </c>
      <c r="AF736" s="134">
        <v>8703.0</v>
      </c>
      <c r="AG736" s="134">
        <v>24.9</v>
      </c>
    </row>
    <row r="737" ht="14.25" customHeight="1">
      <c r="D737" s="51"/>
      <c r="E737" s="51"/>
      <c r="AD737" s="134" t="s">
        <v>753</v>
      </c>
      <c r="AE737" s="134" t="s">
        <v>11</v>
      </c>
      <c r="AF737" s="134">
        <v>8702.0</v>
      </c>
      <c r="AG737" s="134">
        <v>39.9</v>
      </c>
    </row>
    <row r="738" ht="14.25" customHeight="1">
      <c r="D738" s="51"/>
      <c r="E738" s="51"/>
      <c r="AD738" s="134" t="s">
        <v>754</v>
      </c>
      <c r="AE738" s="134" t="s">
        <v>11</v>
      </c>
      <c r="AF738" s="134">
        <v>105400.0</v>
      </c>
      <c r="AG738" s="134">
        <v>19.9</v>
      </c>
    </row>
    <row r="739" ht="14.25" customHeight="1">
      <c r="D739" s="51"/>
      <c r="E739" s="51"/>
      <c r="AD739" s="134" t="s">
        <v>755</v>
      </c>
      <c r="AE739" s="134" t="s">
        <v>11</v>
      </c>
      <c r="AF739" s="134">
        <v>8704.0</v>
      </c>
      <c r="AG739" s="134">
        <v>24.9</v>
      </c>
    </row>
    <row r="740" ht="14.25" customHeight="1">
      <c r="D740" s="51"/>
      <c r="E740" s="51"/>
      <c r="AD740" s="134" t="s">
        <v>756</v>
      </c>
      <c r="AE740" s="134" t="s">
        <v>11</v>
      </c>
      <c r="AF740" s="134">
        <v>94885.0</v>
      </c>
      <c r="AG740" s="134">
        <v>24.9</v>
      </c>
    </row>
    <row r="741" ht="14.25" customHeight="1">
      <c r="D741" s="51"/>
      <c r="E741" s="51"/>
      <c r="AD741" s="134" t="s">
        <v>757</v>
      </c>
      <c r="AE741" s="134" t="s">
        <v>11</v>
      </c>
      <c r="AF741" s="134">
        <v>8713.0</v>
      </c>
      <c r="AG741" s="134">
        <v>44.9</v>
      </c>
    </row>
    <row r="742" ht="14.25" customHeight="1">
      <c r="D742" s="51"/>
      <c r="E742" s="51"/>
      <c r="AD742" s="134" t="s">
        <v>758</v>
      </c>
      <c r="AE742" s="134" t="s">
        <v>11</v>
      </c>
      <c r="AF742" s="134">
        <v>8707.0</v>
      </c>
      <c r="AG742" s="134">
        <v>39.9</v>
      </c>
    </row>
    <row r="743" ht="14.25" customHeight="1">
      <c r="D743" s="51"/>
      <c r="E743" s="51"/>
      <c r="AD743" s="134" t="s">
        <v>759</v>
      </c>
      <c r="AE743" s="134" t="s">
        <v>11</v>
      </c>
      <c r="AF743" s="134">
        <v>8712.0</v>
      </c>
      <c r="AG743" s="134">
        <v>89.9</v>
      </c>
    </row>
    <row r="744" ht="14.25" customHeight="1">
      <c r="D744" s="51"/>
      <c r="E744" s="51"/>
      <c r="AD744" s="134" t="s">
        <v>760</v>
      </c>
      <c r="AE744" s="134" t="s">
        <v>11</v>
      </c>
      <c r="AF744" s="134">
        <v>8714.0</v>
      </c>
      <c r="AG744" s="134">
        <v>24.9</v>
      </c>
    </row>
    <row r="745" ht="14.25" customHeight="1">
      <c r="D745" s="51"/>
      <c r="E745" s="51"/>
      <c r="AD745" s="134" t="s">
        <v>761</v>
      </c>
      <c r="AE745" s="134" t="s">
        <v>11</v>
      </c>
      <c r="AF745" s="134">
        <v>105659.0</v>
      </c>
      <c r="AG745" s="134">
        <v>24.9</v>
      </c>
    </row>
    <row r="746" ht="14.25" customHeight="1">
      <c r="D746" s="51"/>
      <c r="E746" s="51"/>
      <c r="AD746" s="134" t="s">
        <v>762</v>
      </c>
      <c r="AE746" s="134" t="s">
        <v>11</v>
      </c>
      <c r="AF746" s="134">
        <v>8725.0</v>
      </c>
      <c r="AG746" s="134">
        <v>37.9</v>
      </c>
    </row>
    <row r="747" ht="14.25" customHeight="1">
      <c r="D747" s="51"/>
      <c r="E747" s="51"/>
      <c r="AD747" s="134" t="s">
        <v>763</v>
      </c>
      <c r="AE747" s="134" t="s">
        <v>11</v>
      </c>
      <c r="AF747" s="134">
        <v>8716.0</v>
      </c>
      <c r="AG747" s="134">
        <v>64.9</v>
      </c>
    </row>
    <row r="748" ht="14.25" customHeight="1">
      <c r="D748" s="51"/>
      <c r="E748" s="51"/>
      <c r="AD748" s="134" t="s">
        <v>764</v>
      </c>
      <c r="AE748" s="134" t="s">
        <v>11</v>
      </c>
      <c r="AF748" s="134">
        <v>1490.0</v>
      </c>
      <c r="AG748" s="134">
        <v>64.9</v>
      </c>
    </row>
    <row r="749" ht="14.25" customHeight="1">
      <c r="D749" s="51"/>
      <c r="E749" s="51"/>
      <c r="AD749" s="134" t="s">
        <v>765</v>
      </c>
      <c r="AE749" s="134" t="s">
        <v>11</v>
      </c>
      <c r="AF749" s="134">
        <v>8726.0</v>
      </c>
      <c r="AG749" s="134">
        <v>21.9</v>
      </c>
    </row>
    <row r="750" ht="14.25" customHeight="1">
      <c r="D750" s="51"/>
      <c r="E750" s="51"/>
      <c r="AD750" s="134" t="s">
        <v>766</v>
      </c>
      <c r="AE750" s="134" t="s">
        <v>11</v>
      </c>
      <c r="AF750" s="134">
        <v>4593.0</v>
      </c>
      <c r="AG750" s="134">
        <v>21.9</v>
      </c>
    </row>
    <row r="751" ht="14.25" customHeight="1">
      <c r="D751" s="51"/>
      <c r="E751" s="51"/>
      <c r="AD751" s="134" t="s">
        <v>767</v>
      </c>
      <c r="AE751" s="134" t="s">
        <v>11</v>
      </c>
      <c r="AF751" s="134">
        <v>8727.0</v>
      </c>
      <c r="AG751" s="134">
        <v>27.9</v>
      </c>
    </row>
    <row r="752" ht="14.25" customHeight="1">
      <c r="D752" s="51"/>
      <c r="E752" s="51"/>
      <c r="AD752" s="134" t="s">
        <v>768</v>
      </c>
      <c r="AE752" s="134" t="s">
        <v>11</v>
      </c>
      <c r="AF752" s="134">
        <v>8728.0</v>
      </c>
      <c r="AG752" s="134">
        <v>19.9</v>
      </c>
    </row>
    <row r="753" ht="14.25" customHeight="1">
      <c r="D753" s="51"/>
      <c r="E753" s="51"/>
      <c r="AD753" s="134" t="s">
        <v>769</v>
      </c>
      <c r="AE753" s="134" t="s">
        <v>11</v>
      </c>
      <c r="AF753" s="134">
        <v>8729.0</v>
      </c>
      <c r="AG753" s="134">
        <v>29.9</v>
      </c>
    </row>
    <row r="754" ht="14.25" customHeight="1">
      <c r="D754" s="51"/>
      <c r="E754" s="51"/>
      <c r="AD754" s="134" t="s">
        <v>770</v>
      </c>
      <c r="AE754" s="134" t="s">
        <v>8</v>
      </c>
      <c r="AF754" s="134">
        <v>8964.0</v>
      </c>
      <c r="AG754" s="134">
        <v>21.9</v>
      </c>
    </row>
    <row r="755" ht="14.25" customHeight="1">
      <c r="D755" s="51"/>
      <c r="E755" s="51"/>
      <c r="AD755" s="134" t="s">
        <v>771</v>
      </c>
      <c r="AE755" s="134" t="s">
        <v>8</v>
      </c>
      <c r="AF755" s="134">
        <v>8962.0</v>
      </c>
      <c r="AG755" s="134">
        <v>21.9</v>
      </c>
    </row>
    <row r="756" ht="14.25" customHeight="1">
      <c r="D756" s="51"/>
      <c r="E756" s="51"/>
      <c r="AD756" s="134" t="s">
        <v>772</v>
      </c>
      <c r="AE756" s="134" t="s">
        <v>11</v>
      </c>
      <c r="AF756" s="134">
        <v>8960.0</v>
      </c>
      <c r="AG756" s="134">
        <v>0.0</v>
      </c>
    </row>
    <row r="757" ht="14.25" customHeight="1">
      <c r="D757" s="51"/>
      <c r="E757" s="51"/>
      <c r="AD757" s="134" t="s">
        <v>773</v>
      </c>
      <c r="AE757" s="134" t="s">
        <v>11</v>
      </c>
      <c r="AF757" s="134">
        <v>8759.0</v>
      </c>
      <c r="AG757" s="134">
        <v>19.9</v>
      </c>
    </row>
    <row r="758" ht="14.25" customHeight="1">
      <c r="D758" s="51"/>
      <c r="E758" s="51"/>
      <c r="AD758" s="134" t="s">
        <v>774</v>
      </c>
      <c r="AE758" s="134" t="s">
        <v>11</v>
      </c>
      <c r="AF758" s="134">
        <v>8769.0</v>
      </c>
      <c r="AG758" s="134">
        <v>39.9</v>
      </c>
    </row>
    <row r="759" ht="14.25" customHeight="1">
      <c r="D759" s="51"/>
      <c r="E759" s="51"/>
      <c r="AD759" s="134" t="s">
        <v>775</v>
      </c>
      <c r="AE759" s="134" t="s">
        <v>8</v>
      </c>
      <c r="AF759" s="134">
        <v>9125.0</v>
      </c>
      <c r="AG759" s="134">
        <v>28.9</v>
      </c>
    </row>
    <row r="760" ht="14.25" customHeight="1">
      <c r="D760" s="51"/>
      <c r="E760" s="51"/>
      <c r="AD760" s="134" t="s">
        <v>776</v>
      </c>
      <c r="AE760" s="134" t="s">
        <v>8</v>
      </c>
      <c r="AF760" s="134">
        <v>9126.0</v>
      </c>
      <c r="AG760" s="134">
        <v>0.0</v>
      </c>
    </row>
    <row r="761" ht="14.25" customHeight="1">
      <c r="D761" s="51"/>
      <c r="E761" s="51"/>
      <c r="AD761" s="134" t="s">
        <v>777</v>
      </c>
      <c r="AE761" s="134" t="s">
        <v>8</v>
      </c>
      <c r="AF761" s="134">
        <v>9129.0</v>
      </c>
      <c r="AG761" s="134">
        <v>29.9</v>
      </c>
    </row>
    <row r="762" ht="14.25" customHeight="1">
      <c r="D762" s="51"/>
      <c r="E762" s="51"/>
      <c r="AD762" s="134" t="s">
        <v>778</v>
      </c>
      <c r="AE762" s="134" t="s">
        <v>11</v>
      </c>
      <c r="AF762" s="134">
        <v>8782.0</v>
      </c>
      <c r="AG762" s="134">
        <v>24.9</v>
      </c>
    </row>
    <row r="763" ht="14.25" customHeight="1">
      <c r="D763" s="51"/>
      <c r="E763" s="51"/>
      <c r="AD763" s="134" t="s">
        <v>779</v>
      </c>
      <c r="AE763" s="134" t="s">
        <v>11</v>
      </c>
      <c r="AF763" s="134">
        <v>8789.0</v>
      </c>
      <c r="AG763" s="134">
        <v>39.9</v>
      </c>
    </row>
    <row r="764" ht="14.25" customHeight="1">
      <c r="D764" s="51"/>
      <c r="E764" s="51"/>
      <c r="AD764" s="134" t="s">
        <v>780</v>
      </c>
      <c r="AE764" s="134" t="s">
        <v>8</v>
      </c>
      <c r="AF764" s="134">
        <v>9120.0</v>
      </c>
      <c r="AG764" s="134">
        <v>21.9</v>
      </c>
    </row>
    <row r="765" ht="14.25" customHeight="1">
      <c r="D765" s="51"/>
      <c r="E765" s="51"/>
      <c r="AD765" s="134" t="s">
        <v>781</v>
      </c>
      <c r="AE765" s="134" t="s">
        <v>11</v>
      </c>
      <c r="AF765" s="134">
        <v>8790.0</v>
      </c>
      <c r="AG765" s="134">
        <v>59.9</v>
      </c>
    </row>
    <row r="766" ht="14.25" customHeight="1">
      <c r="D766" s="51"/>
      <c r="E766" s="51"/>
      <c r="AD766" s="134" t="s">
        <v>782</v>
      </c>
      <c r="AE766" s="134" t="s">
        <v>11</v>
      </c>
      <c r="AF766" s="134">
        <v>8791.0</v>
      </c>
      <c r="AG766" s="134">
        <v>29.9</v>
      </c>
    </row>
    <row r="767" ht="14.25" customHeight="1">
      <c r="D767" s="51"/>
      <c r="E767" s="51"/>
      <c r="AD767" s="134" t="s">
        <v>783</v>
      </c>
      <c r="AE767" s="134" t="s">
        <v>11</v>
      </c>
      <c r="AF767" s="134">
        <v>102528.0</v>
      </c>
      <c r="AG767" s="134">
        <v>29.9</v>
      </c>
    </row>
    <row r="768" ht="14.25" customHeight="1">
      <c r="D768" s="51"/>
      <c r="E768" s="51"/>
      <c r="AD768" s="134" t="s">
        <v>784</v>
      </c>
      <c r="AE768" s="134" t="s">
        <v>11</v>
      </c>
      <c r="AF768" s="134">
        <v>8801.0</v>
      </c>
      <c r="AG768" s="134">
        <v>39.9</v>
      </c>
    </row>
    <row r="769" ht="14.25" customHeight="1">
      <c r="D769" s="51"/>
      <c r="E769" s="51"/>
      <c r="AD769" s="134" t="s">
        <v>785</v>
      </c>
      <c r="AE769" s="134" t="s">
        <v>11</v>
      </c>
      <c r="AF769" s="134">
        <v>111271.0</v>
      </c>
      <c r="AG769" s="134">
        <v>39.9</v>
      </c>
    </row>
    <row r="770" ht="14.25" customHeight="1">
      <c r="D770" s="51"/>
      <c r="E770" s="51"/>
      <c r="AD770" s="134" t="s">
        <v>786</v>
      </c>
      <c r="AE770" s="134" t="s">
        <v>11</v>
      </c>
      <c r="AF770" s="134">
        <v>8804.0</v>
      </c>
      <c r="AG770" s="134">
        <v>49.9</v>
      </c>
    </row>
    <row r="771" ht="14.25" customHeight="1">
      <c r="D771" s="51"/>
      <c r="E771" s="51"/>
      <c r="AD771" s="134" t="s">
        <v>787</v>
      </c>
      <c r="AE771" s="134" t="s">
        <v>11</v>
      </c>
      <c r="AF771" s="134">
        <v>8821.0</v>
      </c>
      <c r="AG771" s="134">
        <v>49.9</v>
      </c>
    </row>
    <row r="772" ht="14.25" customHeight="1">
      <c r="D772" s="51"/>
      <c r="E772" s="51"/>
      <c r="AD772" s="134" t="s">
        <v>788</v>
      </c>
      <c r="AE772" s="134" t="s">
        <v>11</v>
      </c>
      <c r="AF772" s="134">
        <v>93965.0</v>
      </c>
      <c r="AG772" s="134">
        <v>49.9</v>
      </c>
    </row>
    <row r="773" ht="14.25" customHeight="1">
      <c r="D773" s="51"/>
      <c r="E773" s="51"/>
      <c r="AD773" s="134" t="s">
        <v>789</v>
      </c>
      <c r="AE773" s="134" t="s">
        <v>11</v>
      </c>
      <c r="AF773" s="134">
        <v>8824.0</v>
      </c>
      <c r="AG773" s="134">
        <v>69.9</v>
      </c>
    </row>
    <row r="774" ht="14.25" customHeight="1">
      <c r="D774" s="51"/>
      <c r="E774" s="51"/>
      <c r="AD774" s="134" t="s">
        <v>790</v>
      </c>
      <c r="AE774" s="134" t="s">
        <v>11</v>
      </c>
      <c r="AF774" s="134">
        <v>6435.0</v>
      </c>
      <c r="AG774" s="134">
        <v>69.9</v>
      </c>
    </row>
    <row r="775" ht="14.25" customHeight="1">
      <c r="D775" s="51"/>
      <c r="E775" s="51"/>
      <c r="AD775" s="134" t="s">
        <v>791</v>
      </c>
      <c r="AE775" s="134" t="s">
        <v>11</v>
      </c>
      <c r="AF775" s="134">
        <v>8829.0</v>
      </c>
      <c r="AG775" s="134">
        <v>82.35</v>
      </c>
    </row>
    <row r="776" ht="14.25" customHeight="1">
      <c r="D776" s="51"/>
      <c r="E776" s="51"/>
      <c r="AD776" s="134" t="s">
        <v>792</v>
      </c>
      <c r="AE776" s="134" t="s">
        <v>11</v>
      </c>
      <c r="AF776" s="134">
        <v>6437.0</v>
      </c>
      <c r="AG776" s="134">
        <v>69.9</v>
      </c>
    </row>
    <row r="777" ht="14.25" customHeight="1">
      <c r="D777" s="51"/>
      <c r="E777" s="51"/>
      <c r="AD777" s="134" t="s">
        <v>793</v>
      </c>
      <c r="AE777" s="134" t="s">
        <v>11</v>
      </c>
      <c r="AF777" s="134">
        <v>8834.0</v>
      </c>
      <c r="AG777" s="134">
        <v>63.9</v>
      </c>
    </row>
    <row r="778" ht="14.25" customHeight="1">
      <c r="D778" s="51"/>
      <c r="E778" s="51"/>
      <c r="AD778" s="134" t="s">
        <v>794</v>
      </c>
      <c r="AE778" s="134" t="s">
        <v>11</v>
      </c>
      <c r="AF778" s="134">
        <v>8837.0</v>
      </c>
      <c r="AG778" s="134">
        <v>69.9</v>
      </c>
    </row>
    <row r="779" ht="14.25" customHeight="1">
      <c r="D779" s="51"/>
      <c r="E779" s="51"/>
      <c r="AD779" s="134" t="s">
        <v>795</v>
      </c>
      <c r="AE779" s="134" t="s">
        <v>8</v>
      </c>
      <c r="AF779" s="134">
        <v>9123.0</v>
      </c>
      <c r="AG779" s="134">
        <v>0.0</v>
      </c>
    </row>
    <row r="780" ht="14.25" customHeight="1">
      <c r="D780" s="51"/>
      <c r="E780" s="51"/>
      <c r="AD780" s="134" t="s">
        <v>796</v>
      </c>
      <c r="AE780" s="134" t="s">
        <v>8</v>
      </c>
      <c r="AF780" s="134">
        <v>9122.0</v>
      </c>
      <c r="AG780" s="134">
        <v>0.0</v>
      </c>
    </row>
    <row r="781" ht="14.25" customHeight="1">
      <c r="D781" s="51"/>
      <c r="E781" s="51"/>
      <c r="AD781" s="134" t="s">
        <v>797</v>
      </c>
      <c r="AE781" s="134" t="s">
        <v>11</v>
      </c>
      <c r="AF781" s="134">
        <v>8839.0</v>
      </c>
      <c r="AG781" s="134">
        <v>24.9</v>
      </c>
    </row>
    <row r="782" ht="14.25" customHeight="1">
      <c r="D782" s="51"/>
      <c r="E782" s="51"/>
      <c r="AD782" s="134" t="s">
        <v>798</v>
      </c>
      <c r="AE782" s="134" t="s">
        <v>8</v>
      </c>
      <c r="AF782" s="134">
        <v>8846.0</v>
      </c>
      <c r="AG782" s="134">
        <v>69.9</v>
      </c>
    </row>
    <row r="783" ht="14.25" customHeight="1">
      <c r="D783" s="51"/>
      <c r="E783" s="51"/>
      <c r="AD783" s="134" t="s">
        <v>799</v>
      </c>
      <c r="AE783" s="134" t="s">
        <v>8</v>
      </c>
      <c r="AF783" s="134">
        <v>360494.0</v>
      </c>
      <c r="AG783" s="134">
        <v>69.9</v>
      </c>
    </row>
    <row r="784" ht="14.25" customHeight="1">
      <c r="D784" s="51"/>
      <c r="E784" s="51"/>
      <c r="AD784" s="134" t="s">
        <v>800</v>
      </c>
      <c r="AE784" s="134" t="s">
        <v>11</v>
      </c>
      <c r="AF784" s="134">
        <v>8847.0</v>
      </c>
      <c r="AG784" s="134">
        <v>69.9</v>
      </c>
    </row>
    <row r="785" ht="14.25" customHeight="1">
      <c r="D785" s="51"/>
      <c r="E785" s="51"/>
      <c r="AD785" s="134" t="s">
        <v>801</v>
      </c>
      <c r="AE785" s="134" t="s">
        <v>11</v>
      </c>
      <c r="AF785" s="134">
        <v>8854.0</v>
      </c>
      <c r="AG785" s="134">
        <v>99.9</v>
      </c>
    </row>
    <row r="786" ht="14.25" customHeight="1">
      <c r="D786" s="51"/>
      <c r="E786" s="51"/>
      <c r="AD786" s="134" t="s">
        <v>802</v>
      </c>
      <c r="AE786" s="134" t="s">
        <v>11</v>
      </c>
      <c r="AF786" s="134">
        <v>6768.0</v>
      </c>
      <c r="AG786" s="134">
        <v>99.9</v>
      </c>
    </row>
    <row r="787" ht="14.25" customHeight="1">
      <c r="D787" s="51"/>
      <c r="E787" s="51"/>
      <c r="AD787" s="134" t="s">
        <v>803</v>
      </c>
      <c r="AE787" s="134" t="s">
        <v>11</v>
      </c>
      <c r="AF787" s="134">
        <v>8855.0</v>
      </c>
      <c r="AG787" s="134">
        <v>109.9</v>
      </c>
    </row>
    <row r="788" ht="14.25" customHeight="1">
      <c r="D788" s="51"/>
      <c r="E788" s="51"/>
      <c r="AD788" s="134" t="s">
        <v>804</v>
      </c>
      <c r="AE788" s="134" t="s">
        <v>11</v>
      </c>
      <c r="AF788" s="134">
        <v>2829.0</v>
      </c>
      <c r="AG788" s="134">
        <v>109.9</v>
      </c>
    </row>
    <row r="789" ht="14.25" customHeight="1">
      <c r="D789" s="51"/>
      <c r="E789" s="51"/>
      <c r="AD789" s="134" t="s">
        <v>805</v>
      </c>
      <c r="AE789" s="134" t="s">
        <v>11</v>
      </c>
      <c r="AF789" s="134">
        <v>8862.0</v>
      </c>
      <c r="AG789" s="134">
        <v>59.9</v>
      </c>
    </row>
    <row r="790" ht="14.25" customHeight="1">
      <c r="D790" s="51"/>
      <c r="E790" s="51"/>
      <c r="AD790" s="134" t="s">
        <v>806</v>
      </c>
      <c r="AE790" s="134" t="s">
        <v>11</v>
      </c>
      <c r="AF790" s="134">
        <v>8863.0</v>
      </c>
      <c r="AG790" s="134">
        <v>69.9</v>
      </c>
    </row>
    <row r="791" ht="14.25" customHeight="1">
      <c r="D791" s="51"/>
      <c r="E791" s="51"/>
      <c r="AD791" s="134" t="s">
        <v>807</v>
      </c>
      <c r="AE791" s="134" t="s">
        <v>11</v>
      </c>
      <c r="AF791" s="134">
        <v>8872.0</v>
      </c>
      <c r="AG791" s="134">
        <v>63.9</v>
      </c>
    </row>
    <row r="792" ht="14.25" customHeight="1">
      <c r="D792" s="51"/>
      <c r="E792" s="51"/>
      <c r="AD792" s="134" t="s">
        <v>808</v>
      </c>
      <c r="AE792" s="134" t="s">
        <v>11</v>
      </c>
      <c r="AF792" s="134">
        <v>8523.0</v>
      </c>
      <c r="AG792" s="134">
        <v>54.9</v>
      </c>
    </row>
    <row r="793" ht="14.25" customHeight="1">
      <c r="D793" s="51"/>
      <c r="E793" s="51"/>
      <c r="AD793" s="134" t="s">
        <v>809</v>
      </c>
      <c r="AE793" s="134" t="s">
        <v>11</v>
      </c>
      <c r="AF793" s="134">
        <v>8874.0</v>
      </c>
      <c r="AG793" s="134">
        <v>37.9</v>
      </c>
    </row>
    <row r="794" ht="14.25" customHeight="1">
      <c r="D794" s="51"/>
      <c r="E794" s="51"/>
      <c r="AD794" s="134" t="s">
        <v>810</v>
      </c>
      <c r="AE794" s="134" t="s">
        <v>11</v>
      </c>
      <c r="AF794" s="134">
        <v>96167.0</v>
      </c>
      <c r="AG794" s="134">
        <v>34.9</v>
      </c>
    </row>
    <row r="795" ht="14.25" customHeight="1">
      <c r="D795" s="51"/>
      <c r="E795" s="51"/>
      <c r="AD795" s="134" t="s">
        <v>811</v>
      </c>
      <c r="AE795" s="134" t="s">
        <v>11</v>
      </c>
      <c r="AF795" s="134">
        <v>8895.0</v>
      </c>
      <c r="AG795" s="134">
        <v>49.9</v>
      </c>
    </row>
    <row r="796" ht="14.25" customHeight="1">
      <c r="D796" s="51"/>
      <c r="E796" s="51"/>
      <c r="AD796" s="134" t="s">
        <v>812</v>
      </c>
      <c r="AE796" s="134" t="s">
        <v>11</v>
      </c>
      <c r="AF796" s="134">
        <v>8900.0</v>
      </c>
      <c r="AG796" s="134">
        <v>44.9</v>
      </c>
    </row>
    <row r="797" ht="14.25" customHeight="1">
      <c r="D797" s="51"/>
      <c r="E797" s="51"/>
      <c r="AD797" s="134" t="s">
        <v>813</v>
      </c>
      <c r="AE797" s="134" t="s">
        <v>11</v>
      </c>
      <c r="AF797" s="134">
        <v>8898.0</v>
      </c>
      <c r="AG797" s="134">
        <v>39.9</v>
      </c>
    </row>
    <row r="798" ht="14.25" customHeight="1">
      <c r="D798" s="51"/>
      <c r="E798" s="51"/>
      <c r="AD798" s="134" t="s">
        <v>814</v>
      </c>
      <c r="AE798" s="134" t="s">
        <v>11</v>
      </c>
      <c r="AF798" s="134">
        <v>1669.0</v>
      </c>
      <c r="AG798" s="134">
        <v>39.9</v>
      </c>
    </row>
    <row r="799" ht="14.25" customHeight="1">
      <c r="D799" s="51"/>
      <c r="E799" s="51"/>
      <c r="AD799" s="134" t="s">
        <v>815</v>
      </c>
      <c r="AE799" s="134" t="s">
        <v>11</v>
      </c>
      <c r="AF799" s="134">
        <v>8542.0</v>
      </c>
      <c r="AG799" s="134">
        <v>63.9</v>
      </c>
    </row>
    <row r="800" ht="14.25" customHeight="1">
      <c r="D800" s="51"/>
      <c r="E800" s="51"/>
      <c r="AD800" s="134" t="s">
        <v>816</v>
      </c>
      <c r="AE800" s="134" t="s">
        <v>11</v>
      </c>
      <c r="AF800" s="134">
        <v>8543.0</v>
      </c>
      <c r="AG800" s="134">
        <v>59.9</v>
      </c>
    </row>
    <row r="801" ht="14.25" customHeight="1">
      <c r="D801" s="51"/>
      <c r="E801" s="51"/>
      <c r="AD801" s="134" t="s">
        <v>817</v>
      </c>
      <c r="AE801" s="134" t="s">
        <v>11</v>
      </c>
      <c r="AF801" s="134">
        <v>6872.0</v>
      </c>
      <c r="AG801" s="134">
        <v>46.9</v>
      </c>
    </row>
    <row r="802" ht="14.25" customHeight="1">
      <c r="D802" s="51"/>
      <c r="E802" s="51"/>
      <c r="AD802" s="134" t="s">
        <v>818</v>
      </c>
      <c r="AE802" s="134" t="s">
        <v>8</v>
      </c>
      <c r="AF802" s="134">
        <v>6925.0</v>
      </c>
      <c r="AG802" s="134">
        <v>39.9</v>
      </c>
    </row>
    <row r="803" ht="14.25" customHeight="1">
      <c r="D803" s="51"/>
      <c r="E803" s="51"/>
      <c r="AD803" s="134" t="s">
        <v>819</v>
      </c>
      <c r="AE803" s="134" t="s">
        <v>11</v>
      </c>
      <c r="AF803" s="134">
        <v>5988.0</v>
      </c>
      <c r="AG803" s="134">
        <v>59.9</v>
      </c>
    </row>
    <row r="804" ht="14.25" customHeight="1">
      <c r="D804" s="51"/>
      <c r="E804" s="51"/>
      <c r="AD804" s="134" t="s">
        <v>820</v>
      </c>
      <c r="AE804" s="134" t="s">
        <v>11</v>
      </c>
      <c r="AF804" s="134">
        <v>5932.0</v>
      </c>
      <c r="AG804" s="134">
        <v>39.9</v>
      </c>
    </row>
    <row r="805" ht="14.25" customHeight="1">
      <c r="D805" s="51"/>
      <c r="E805" s="51"/>
      <c r="AD805" s="134" t="s">
        <v>821</v>
      </c>
      <c r="AE805" s="134" t="s">
        <v>11</v>
      </c>
      <c r="AF805" s="134">
        <v>5937.0</v>
      </c>
      <c r="AG805" s="134">
        <v>32.9</v>
      </c>
    </row>
    <row r="806" ht="14.25" customHeight="1">
      <c r="D806" s="51"/>
      <c r="E806" s="51"/>
      <c r="AD806" s="134" t="s">
        <v>822</v>
      </c>
      <c r="AE806" s="134" t="s">
        <v>11</v>
      </c>
      <c r="AF806" s="134">
        <v>5933.0</v>
      </c>
      <c r="AG806" s="134">
        <v>34.9</v>
      </c>
    </row>
    <row r="807" ht="14.25" customHeight="1">
      <c r="D807" s="51"/>
      <c r="E807" s="51"/>
      <c r="AD807" s="134" t="s">
        <v>823</v>
      </c>
      <c r="AE807" s="134" t="s">
        <v>11</v>
      </c>
      <c r="AF807" s="134">
        <v>93444.0</v>
      </c>
      <c r="AG807" s="134">
        <v>69.9</v>
      </c>
    </row>
    <row r="808" ht="14.25" customHeight="1">
      <c r="D808" s="51"/>
      <c r="E808" s="51"/>
      <c r="AD808" s="134" t="s">
        <v>824</v>
      </c>
      <c r="AE808" s="134" t="s">
        <v>11</v>
      </c>
      <c r="AF808" s="134">
        <v>5768.0</v>
      </c>
      <c r="AG808" s="134">
        <v>64.9</v>
      </c>
    </row>
    <row r="809" ht="14.25" customHeight="1">
      <c r="D809" s="51"/>
      <c r="E809" s="51"/>
      <c r="AD809" s="134" t="s">
        <v>825</v>
      </c>
      <c r="AE809" s="134" t="s">
        <v>11</v>
      </c>
      <c r="AF809" s="134">
        <v>6910.0</v>
      </c>
      <c r="AG809" s="134">
        <v>49.9</v>
      </c>
    </row>
    <row r="810" ht="14.25" customHeight="1">
      <c r="D810" s="51"/>
      <c r="E810" s="51"/>
      <c r="AD810" s="134" t="s">
        <v>826</v>
      </c>
      <c r="AE810" s="134" t="s">
        <v>11</v>
      </c>
      <c r="AF810" s="134">
        <v>5935.0</v>
      </c>
      <c r="AG810" s="134">
        <v>54.9</v>
      </c>
    </row>
    <row r="811" ht="14.25" customHeight="1">
      <c r="D811" s="51"/>
      <c r="E811" s="51"/>
      <c r="AD811" s="134" t="s">
        <v>827</v>
      </c>
      <c r="AE811" s="134" t="s">
        <v>11</v>
      </c>
      <c r="AF811" s="134">
        <v>1859.0</v>
      </c>
      <c r="AG811" s="134">
        <v>79.9</v>
      </c>
    </row>
    <row r="812" ht="14.25" customHeight="1">
      <c r="D812" s="51"/>
      <c r="E812" s="51"/>
      <c r="AD812" s="134" t="s">
        <v>828</v>
      </c>
      <c r="AE812" s="134" t="s">
        <v>11</v>
      </c>
      <c r="AF812" s="134">
        <v>6875.0</v>
      </c>
      <c r="AG812" s="134">
        <v>49.9</v>
      </c>
    </row>
    <row r="813" ht="14.25" customHeight="1">
      <c r="D813" s="51"/>
      <c r="E813" s="51"/>
      <c r="AD813" s="134" t="s">
        <v>829</v>
      </c>
      <c r="AE813" s="134" t="s">
        <v>11</v>
      </c>
      <c r="AF813" s="134">
        <v>6906.0</v>
      </c>
      <c r="AG813" s="134">
        <v>39.9</v>
      </c>
    </row>
    <row r="814" ht="14.25" customHeight="1">
      <c r="D814" s="51"/>
      <c r="E814" s="51"/>
      <c r="AD814" s="134" t="s">
        <v>830</v>
      </c>
      <c r="AE814" s="134" t="s">
        <v>11</v>
      </c>
      <c r="AF814" s="134">
        <v>6896.0</v>
      </c>
      <c r="AG814" s="134">
        <v>32.9</v>
      </c>
    </row>
    <row r="815" ht="14.25" customHeight="1">
      <c r="D815" s="51"/>
      <c r="E815" s="51"/>
      <c r="AD815" s="134" t="s">
        <v>831</v>
      </c>
      <c r="AE815" s="134" t="s">
        <v>8</v>
      </c>
      <c r="AF815" s="134">
        <v>6904.0</v>
      </c>
      <c r="AG815" s="134">
        <v>18.9</v>
      </c>
    </row>
    <row r="816" ht="14.25" customHeight="1">
      <c r="D816" s="51"/>
      <c r="E816" s="51"/>
      <c r="AD816" s="134" t="s">
        <v>832</v>
      </c>
      <c r="AE816" s="134" t="s">
        <v>11</v>
      </c>
      <c r="AF816" s="134">
        <v>6873.0</v>
      </c>
      <c r="AG816" s="134">
        <v>54.9</v>
      </c>
    </row>
    <row r="817" ht="14.25" customHeight="1">
      <c r="D817" s="51"/>
      <c r="E817" s="51"/>
      <c r="AD817" s="134" t="s">
        <v>833</v>
      </c>
      <c r="AE817" s="134" t="s">
        <v>11</v>
      </c>
      <c r="AF817" s="134">
        <v>5974.0</v>
      </c>
      <c r="AG817" s="134">
        <v>68.9</v>
      </c>
    </row>
    <row r="818" ht="14.25" customHeight="1">
      <c r="D818" s="51"/>
      <c r="E818" s="51"/>
      <c r="AD818" s="134" t="s">
        <v>834</v>
      </c>
      <c r="AE818" s="134" t="s">
        <v>11</v>
      </c>
      <c r="AF818" s="134">
        <v>1857.0</v>
      </c>
      <c r="AG818" s="134">
        <v>94.9</v>
      </c>
    </row>
    <row r="819" ht="14.25" customHeight="1">
      <c r="D819" s="51"/>
      <c r="E819" s="51"/>
      <c r="AD819" s="134" t="s">
        <v>835</v>
      </c>
      <c r="AE819" s="134" t="s">
        <v>11</v>
      </c>
      <c r="AF819" s="134">
        <v>6077.0</v>
      </c>
      <c r="AG819" s="134">
        <v>44.9</v>
      </c>
    </row>
    <row r="820" ht="14.25" customHeight="1">
      <c r="D820" s="51"/>
      <c r="E820" s="51"/>
      <c r="AD820" s="134" t="s">
        <v>836</v>
      </c>
      <c r="AE820" s="134" t="s">
        <v>11</v>
      </c>
      <c r="AF820" s="134">
        <v>5975.0</v>
      </c>
      <c r="AG820" s="134">
        <v>109.9</v>
      </c>
    </row>
    <row r="821" ht="14.25" customHeight="1">
      <c r="D821" s="51"/>
      <c r="E821" s="51"/>
      <c r="AD821" s="134" t="s">
        <v>837</v>
      </c>
      <c r="AE821" s="134" t="s">
        <v>11</v>
      </c>
      <c r="AF821" s="134">
        <v>2764.0</v>
      </c>
      <c r="AG821" s="134">
        <v>49.9</v>
      </c>
    </row>
    <row r="822" ht="14.25" customHeight="1">
      <c r="D822" s="51"/>
      <c r="E822" s="51"/>
      <c r="AD822" s="134" t="s">
        <v>838</v>
      </c>
      <c r="AE822" s="134" t="s">
        <v>11</v>
      </c>
      <c r="AF822" s="134">
        <v>6879.0</v>
      </c>
      <c r="AG822" s="134">
        <v>69.9</v>
      </c>
    </row>
    <row r="823" ht="14.25" customHeight="1">
      <c r="D823" s="51"/>
      <c r="E823" s="51"/>
      <c r="AD823" s="134" t="s">
        <v>839</v>
      </c>
      <c r="AE823" s="134" t="s">
        <v>11</v>
      </c>
      <c r="AF823" s="134">
        <v>5908.0</v>
      </c>
      <c r="AG823" s="134">
        <v>49.9</v>
      </c>
    </row>
    <row r="824" ht="14.25" customHeight="1">
      <c r="D824" s="51"/>
      <c r="E824" s="51"/>
      <c r="AD824" s="134" t="s">
        <v>840</v>
      </c>
      <c r="AE824" s="134" t="s">
        <v>11</v>
      </c>
      <c r="AF824" s="134">
        <v>6878.0</v>
      </c>
      <c r="AG824" s="134">
        <v>63.9</v>
      </c>
    </row>
    <row r="825" ht="14.25" customHeight="1">
      <c r="D825" s="51"/>
      <c r="E825" s="51"/>
      <c r="AD825" s="134" t="s">
        <v>841</v>
      </c>
      <c r="AE825" s="134" t="s">
        <v>11</v>
      </c>
      <c r="AF825" s="134">
        <v>2771.0</v>
      </c>
      <c r="AG825" s="134">
        <v>63.9</v>
      </c>
    </row>
    <row r="826" ht="14.25" customHeight="1">
      <c r="D826" s="51"/>
      <c r="E826" s="51"/>
      <c r="AD826" s="134" t="s">
        <v>842</v>
      </c>
      <c r="AE826" s="134" t="s">
        <v>11</v>
      </c>
      <c r="AF826" s="134">
        <v>6874.0</v>
      </c>
      <c r="AG826" s="134">
        <v>32.9</v>
      </c>
    </row>
    <row r="827" ht="14.25" customHeight="1">
      <c r="D827" s="51"/>
      <c r="E827" s="51"/>
      <c r="AD827" s="134" t="s">
        <v>843</v>
      </c>
      <c r="AE827" s="134" t="s">
        <v>11</v>
      </c>
      <c r="AF827" s="134">
        <v>6898.0</v>
      </c>
      <c r="AG827" s="134">
        <v>39.9</v>
      </c>
    </row>
    <row r="828" ht="14.25" customHeight="1">
      <c r="D828" s="51"/>
      <c r="E828" s="51"/>
      <c r="AD828" s="134" t="s">
        <v>844</v>
      </c>
      <c r="AE828" s="134" t="s">
        <v>11</v>
      </c>
      <c r="AF828" s="134">
        <v>3129.0</v>
      </c>
      <c r="AG828" s="134">
        <v>54.9</v>
      </c>
    </row>
    <row r="829" ht="14.25" customHeight="1">
      <c r="D829" s="51"/>
      <c r="E829" s="51"/>
      <c r="AD829" s="134" t="s">
        <v>845</v>
      </c>
      <c r="AE829" s="134" t="s">
        <v>8</v>
      </c>
      <c r="AF829" s="134">
        <v>6893.0</v>
      </c>
      <c r="AG829" s="134">
        <v>19.9</v>
      </c>
    </row>
    <row r="830" ht="14.25" customHeight="1">
      <c r="D830" s="51"/>
      <c r="E830" s="51"/>
      <c r="AD830" s="134" t="s">
        <v>846</v>
      </c>
      <c r="AE830" s="134" t="s">
        <v>8</v>
      </c>
      <c r="AF830" s="134">
        <v>5395.0</v>
      </c>
      <c r="AG830" s="134">
        <v>24.9</v>
      </c>
    </row>
    <row r="831" ht="14.25" customHeight="1">
      <c r="D831" s="51"/>
      <c r="E831" s="51"/>
      <c r="AD831" s="134" t="s">
        <v>847</v>
      </c>
      <c r="AE831" s="134" t="s">
        <v>8</v>
      </c>
      <c r="AF831" s="134">
        <v>6894.0</v>
      </c>
      <c r="AG831" s="134">
        <v>24.9</v>
      </c>
    </row>
    <row r="832" ht="14.25" customHeight="1">
      <c r="D832" s="51"/>
      <c r="E832" s="51"/>
      <c r="AD832" s="134" t="s">
        <v>848</v>
      </c>
      <c r="AE832" s="134" t="s">
        <v>8</v>
      </c>
      <c r="AF832" s="134">
        <v>6876.0</v>
      </c>
      <c r="AG832" s="134">
        <v>21.9</v>
      </c>
    </row>
    <row r="833" ht="14.25" customHeight="1">
      <c r="D833" s="51"/>
      <c r="E833" s="51"/>
      <c r="AD833" s="134" t="s">
        <v>849</v>
      </c>
      <c r="AE833" s="134" t="s">
        <v>11</v>
      </c>
      <c r="AF833" s="134">
        <v>5782.0</v>
      </c>
      <c r="AG833" s="134">
        <v>64.9</v>
      </c>
    </row>
    <row r="834" ht="14.25" customHeight="1">
      <c r="D834" s="51"/>
      <c r="E834" s="51"/>
      <c r="AD834" s="134" t="s">
        <v>850</v>
      </c>
      <c r="AE834" s="134" t="s">
        <v>11</v>
      </c>
      <c r="AF834" s="134">
        <v>5775.0</v>
      </c>
      <c r="AG834" s="134">
        <v>64.9</v>
      </c>
    </row>
    <row r="835" ht="14.25" customHeight="1">
      <c r="D835" s="51"/>
      <c r="E835" s="51"/>
      <c r="AD835" s="134" t="s">
        <v>851</v>
      </c>
      <c r="AE835" s="134" t="s">
        <v>11</v>
      </c>
      <c r="AF835" s="134">
        <v>1861.0</v>
      </c>
      <c r="AG835" s="134">
        <v>71.9</v>
      </c>
    </row>
    <row r="836" ht="14.25" customHeight="1">
      <c r="D836" s="51"/>
      <c r="E836" s="51"/>
      <c r="AD836" s="134" t="s">
        <v>852</v>
      </c>
      <c r="AE836" s="134" t="s">
        <v>11</v>
      </c>
      <c r="AF836" s="134">
        <v>8904.0</v>
      </c>
      <c r="AG836" s="134">
        <v>29.9</v>
      </c>
    </row>
    <row r="837" ht="14.25" customHeight="1">
      <c r="D837" s="51"/>
      <c r="E837" s="51"/>
      <c r="AD837" s="134" t="s">
        <v>853</v>
      </c>
      <c r="AE837" s="134" t="s">
        <v>8</v>
      </c>
      <c r="AF837" s="134">
        <v>8901.0</v>
      </c>
      <c r="AG837" s="134">
        <v>10.9</v>
      </c>
    </row>
    <row r="838" ht="14.25" customHeight="1">
      <c r="D838" s="51"/>
      <c r="E838" s="51"/>
      <c r="AD838" s="134" t="s">
        <v>854</v>
      </c>
      <c r="AE838" s="134" t="s">
        <v>8</v>
      </c>
      <c r="AF838" s="134">
        <v>360555.0</v>
      </c>
      <c r="AG838" s="134">
        <v>5.9</v>
      </c>
    </row>
    <row r="839" ht="14.25" customHeight="1">
      <c r="D839" s="51"/>
      <c r="E839" s="51"/>
      <c r="AD839" s="134" t="s">
        <v>855</v>
      </c>
      <c r="AE839" s="134" t="s">
        <v>11</v>
      </c>
      <c r="AF839" s="134">
        <v>8905.0</v>
      </c>
      <c r="AG839" s="134">
        <v>18.9</v>
      </c>
    </row>
    <row r="840" ht="14.25" customHeight="1">
      <c r="D840" s="51"/>
      <c r="E840" s="51"/>
      <c r="AD840" s="134" t="s">
        <v>856</v>
      </c>
      <c r="AE840" s="134" t="s">
        <v>11</v>
      </c>
      <c r="AF840" s="134">
        <v>8907.0</v>
      </c>
      <c r="AG840" s="134">
        <v>24.99</v>
      </c>
    </row>
    <row r="841" ht="14.25" customHeight="1">
      <c r="D841" s="51"/>
      <c r="E841" s="51"/>
      <c r="AD841" s="134" t="s">
        <v>857</v>
      </c>
      <c r="AE841" s="134" t="s">
        <v>11</v>
      </c>
      <c r="AF841" s="134">
        <v>8908.0</v>
      </c>
      <c r="AG841" s="134">
        <v>29.9</v>
      </c>
    </row>
    <row r="842" ht="14.25" customHeight="1">
      <c r="D842" s="51"/>
      <c r="E842" s="51"/>
      <c r="AD842" s="134" t="s">
        <v>858</v>
      </c>
      <c r="AE842" s="134" t="s">
        <v>11</v>
      </c>
      <c r="AF842" s="134">
        <v>7065.0</v>
      </c>
      <c r="AG842" s="134">
        <v>29.9</v>
      </c>
    </row>
    <row r="843" ht="14.25" customHeight="1">
      <c r="D843" s="51"/>
      <c r="E843" s="51"/>
      <c r="AD843" s="134" t="s">
        <v>859</v>
      </c>
      <c r="AE843" s="134" t="s">
        <v>11</v>
      </c>
      <c r="AF843" s="134">
        <v>7075.0</v>
      </c>
      <c r="AG843" s="134">
        <v>79.9</v>
      </c>
    </row>
    <row r="844" ht="14.25" customHeight="1">
      <c r="D844" s="51"/>
      <c r="E844" s="51"/>
      <c r="AD844" s="134" t="s">
        <v>831</v>
      </c>
      <c r="AE844" s="134" t="s">
        <v>8</v>
      </c>
      <c r="AF844" s="134">
        <v>6904.0</v>
      </c>
      <c r="AG844" s="134">
        <v>18.9</v>
      </c>
    </row>
    <row r="845" ht="14.25" customHeight="1">
      <c r="D845" s="51"/>
      <c r="E845" s="51"/>
      <c r="AD845" s="134" t="s">
        <v>832</v>
      </c>
      <c r="AE845" s="134" t="s">
        <v>11</v>
      </c>
      <c r="AF845" s="134">
        <v>6873.0</v>
      </c>
      <c r="AG845" s="134">
        <v>54.9</v>
      </c>
    </row>
    <row r="846" ht="14.25" customHeight="1">
      <c r="D846" s="51"/>
      <c r="E846" s="51"/>
      <c r="AD846" s="134" t="s">
        <v>833</v>
      </c>
      <c r="AE846" s="134" t="s">
        <v>11</v>
      </c>
      <c r="AF846" s="134">
        <v>5974.0</v>
      </c>
      <c r="AG846" s="134">
        <v>68.9</v>
      </c>
    </row>
    <row r="847" ht="14.25" customHeight="1">
      <c r="D847" s="51"/>
      <c r="E847" s="51"/>
      <c r="AD847" s="134" t="s">
        <v>834</v>
      </c>
      <c r="AE847" s="134" t="s">
        <v>11</v>
      </c>
      <c r="AF847" s="134">
        <v>1857.0</v>
      </c>
      <c r="AG847" s="134">
        <v>59.9</v>
      </c>
    </row>
    <row r="848" ht="14.25" customHeight="1">
      <c r="D848" s="51"/>
      <c r="E848" s="51"/>
      <c r="AD848" s="134" t="s">
        <v>835</v>
      </c>
      <c r="AE848" s="134" t="s">
        <v>11</v>
      </c>
      <c r="AF848" s="134">
        <v>6077.0</v>
      </c>
      <c r="AG848" s="134">
        <v>44.9</v>
      </c>
    </row>
    <row r="849" ht="14.25" customHeight="1">
      <c r="D849" s="51"/>
      <c r="E849" s="51"/>
      <c r="AD849" s="134" t="s">
        <v>836</v>
      </c>
      <c r="AE849" s="134" t="s">
        <v>11</v>
      </c>
      <c r="AF849" s="134">
        <v>5975.0</v>
      </c>
      <c r="AG849" s="134">
        <v>109.9</v>
      </c>
    </row>
    <row r="850" ht="14.25" customHeight="1">
      <c r="D850" s="51"/>
      <c r="E850" s="51"/>
      <c r="AD850" s="134" t="s">
        <v>837</v>
      </c>
      <c r="AE850" s="134" t="s">
        <v>11</v>
      </c>
      <c r="AF850" s="134">
        <v>2764.0</v>
      </c>
      <c r="AG850" s="134">
        <v>49.9</v>
      </c>
    </row>
    <row r="851" ht="14.25" customHeight="1">
      <c r="D851" s="51"/>
      <c r="E851" s="51"/>
      <c r="AD851" s="134" t="s">
        <v>838</v>
      </c>
      <c r="AE851" s="134" t="s">
        <v>11</v>
      </c>
      <c r="AF851" s="134">
        <v>6879.0</v>
      </c>
      <c r="AG851" s="134">
        <v>69.9</v>
      </c>
    </row>
    <row r="852" ht="14.25" customHeight="1">
      <c r="D852" s="51"/>
      <c r="E852" s="51"/>
      <c r="AD852" s="134" t="s">
        <v>839</v>
      </c>
      <c r="AE852" s="134" t="s">
        <v>11</v>
      </c>
      <c r="AF852" s="134">
        <v>5908.0</v>
      </c>
      <c r="AG852" s="134">
        <v>49.9</v>
      </c>
    </row>
    <row r="853" ht="14.25" customHeight="1">
      <c r="D853" s="51"/>
      <c r="E853" s="51"/>
      <c r="AD853" s="134" t="s">
        <v>840</v>
      </c>
      <c r="AE853" s="134" t="s">
        <v>11</v>
      </c>
      <c r="AF853" s="134">
        <v>6878.0</v>
      </c>
      <c r="AG853" s="134">
        <v>63.9</v>
      </c>
    </row>
    <row r="854" ht="14.25" customHeight="1">
      <c r="D854" s="51"/>
      <c r="E854" s="51"/>
      <c r="AD854" s="134" t="s">
        <v>841</v>
      </c>
      <c r="AE854" s="134" t="s">
        <v>11</v>
      </c>
      <c r="AF854" s="134">
        <v>2771.0</v>
      </c>
      <c r="AG854" s="134">
        <v>63.9</v>
      </c>
    </row>
    <row r="855" ht="14.25" customHeight="1">
      <c r="D855" s="51"/>
      <c r="E855" s="51"/>
      <c r="AD855" s="134" t="s">
        <v>842</v>
      </c>
      <c r="AE855" s="134" t="s">
        <v>11</v>
      </c>
      <c r="AF855" s="134">
        <v>6874.0</v>
      </c>
      <c r="AG855" s="134">
        <v>32.9</v>
      </c>
    </row>
    <row r="856" ht="14.25" customHeight="1">
      <c r="D856" s="51"/>
      <c r="E856" s="51"/>
      <c r="AD856" s="134" t="s">
        <v>843</v>
      </c>
      <c r="AE856" s="134" t="s">
        <v>11</v>
      </c>
      <c r="AF856" s="134">
        <v>6898.0</v>
      </c>
      <c r="AG856" s="134">
        <v>39.9</v>
      </c>
    </row>
    <row r="857" ht="14.25" customHeight="1">
      <c r="D857" s="51"/>
      <c r="E857" s="51"/>
      <c r="AD857" s="134" t="s">
        <v>844</v>
      </c>
      <c r="AE857" s="134" t="s">
        <v>11</v>
      </c>
      <c r="AF857" s="134">
        <v>3129.0</v>
      </c>
      <c r="AG857" s="134">
        <v>54.9</v>
      </c>
    </row>
    <row r="858" ht="14.25" customHeight="1">
      <c r="D858" s="51"/>
      <c r="E858" s="51"/>
      <c r="AD858" s="134" t="s">
        <v>845</v>
      </c>
      <c r="AE858" s="134" t="s">
        <v>8</v>
      </c>
      <c r="AF858" s="134">
        <v>6893.0</v>
      </c>
      <c r="AG858" s="134">
        <v>19.9</v>
      </c>
    </row>
    <row r="859" ht="14.25" customHeight="1">
      <c r="D859" s="51"/>
      <c r="E859" s="51"/>
      <c r="AD859" s="134" t="s">
        <v>846</v>
      </c>
      <c r="AE859" s="134" t="s">
        <v>8</v>
      </c>
      <c r="AF859" s="134">
        <v>5395.0</v>
      </c>
      <c r="AG859" s="134">
        <v>24.9</v>
      </c>
    </row>
    <row r="860" ht="14.25" customHeight="1">
      <c r="D860" s="51"/>
      <c r="E860" s="51"/>
      <c r="AD860" s="134" t="s">
        <v>847</v>
      </c>
      <c r="AE860" s="134" t="s">
        <v>8</v>
      </c>
      <c r="AF860" s="134">
        <v>6894.0</v>
      </c>
      <c r="AG860" s="134">
        <v>23.9</v>
      </c>
    </row>
    <row r="861" ht="14.25" customHeight="1">
      <c r="D861" s="51"/>
      <c r="E861" s="51"/>
      <c r="AD861" s="134" t="s">
        <v>848</v>
      </c>
      <c r="AE861" s="134" t="s">
        <v>8</v>
      </c>
      <c r="AF861" s="134">
        <v>6876.0</v>
      </c>
      <c r="AG861" s="134">
        <v>21.9</v>
      </c>
    </row>
    <row r="862" ht="14.25" customHeight="1">
      <c r="D862" s="51"/>
      <c r="E862" s="51"/>
      <c r="AD862" s="134" t="s">
        <v>849</v>
      </c>
      <c r="AE862" s="134" t="s">
        <v>11</v>
      </c>
      <c r="AF862" s="134">
        <v>5782.0</v>
      </c>
      <c r="AG862" s="134">
        <v>64.9</v>
      </c>
    </row>
    <row r="863" ht="14.25" customHeight="1">
      <c r="D863" s="51"/>
      <c r="E863" s="51"/>
      <c r="AD863" s="134" t="s">
        <v>850</v>
      </c>
      <c r="AE863" s="134" t="s">
        <v>11</v>
      </c>
      <c r="AF863" s="134">
        <v>5775.0</v>
      </c>
      <c r="AG863" s="134">
        <v>64.9</v>
      </c>
    </row>
    <row r="864" ht="14.25" customHeight="1">
      <c r="D864" s="51"/>
      <c r="E864" s="51"/>
      <c r="AD864" s="134" t="s">
        <v>851</v>
      </c>
      <c r="AE864" s="134" t="s">
        <v>11</v>
      </c>
      <c r="AF864" s="134">
        <v>1861.0</v>
      </c>
      <c r="AG864" s="134">
        <v>71.9</v>
      </c>
    </row>
    <row r="865" ht="14.25" customHeight="1">
      <c r="D865" s="51"/>
      <c r="E865" s="51"/>
      <c r="AD865" s="134" t="s">
        <v>852</v>
      </c>
      <c r="AE865" s="134" t="s">
        <v>11</v>
      </c>
      <c r="AF865" s="134">
        <v>8904.0</v>
      </c>
      <c r="AG865" s="134">
        <v>29.9</v>
      </c>
    </row>
    <row r="866" ht="14.25" customHeight="1">
      <c r="D866" s="51"/>
      <c r="E866" s="51"/>
      <c r="AD866" s="134" t="s">
        <v>853</v>
      </c>
      <c r="AE866" s="134" t="s">
        <v>8</v>
      </c>
      <c r="AF866" s="134">
        <v>8901.0</v>
      </c>
      <c r="AG866" s="134">
        <v>10.9</v>
      </c>
    </row>
    <row r="867" ht="14.25" customHeight="1">
      <c r="D867" s="51"/>
      <c r="E867" s="51"/>
      <c r="AD867" s="134" t="s">
        <v>854</v>
      </c>
      <c r="AE867" s="134" t="s">
        <v>8</v>
      </c>
      <c r="AF867" s="134">
        <v>360555.0</v>
      </c>
      <c r="AG867" s="134">
        <v>5.9</v>
      </c>
    </row>
    <row r="868" ht="14.25" customHeight="1">
      <c r="D868" s="51"/>
      <c r="E868" s="51"/>
      <c r="AD868" s="134" t="s">
        <v>855</v>
      </c>
      <c r="AE868" s="134" t="s">
        <v>11</v>
      </c>
      <c r="AF868" s="134">
        <v>8905.0</v>
      </c>
      <c r="AG868" s="134">
        <v>18.9</v>
      </c>
    </row>
    <row r="869" ht="14.25" customHeight="1">
      <c r="D869" s="51"/>
      <c r="E869" s="51"/>
      <c r="AD869" s="134" t="s">
        <v>856</v>
      </c>
      <c r="AE869" s="134" t="s">
        <v>11</v>
      </c>
      <c r="AF869" s="134">
        <v>8907.0</v>
      </c>
      <c r="AG869" s="134">
        <v>24.99</v>
      </c>
    </row>
    <row r="870" ht="14.25" customHeight="1">
      <c r="D870" s="51"/>
      <c r="E870" s="51"/>
      <c r="AD870" s="134" t="s">
        <v>857</v>
      </c>
      <c r="AE870" s="134" t="s">
        <v>11</v>
      </c>
      <c r="AF870" s="134">
        <v>8908.0</v>
      </c>
      <c r="AG870" s="134">
        <v>29.9</v>
      </c>
    </row>
    <row r="871" ht="14.25" customHeight="1">
      <c r="D871" s="51"/>
      <c r="E871" s="51"/>
      <c r="AD871" s="134" t="s">
        <v>858</v>
      </c>
      <c r="AE871" s="134" t="s">
        <v>11</v>
      </c>
      <c r="AF871" s="134">
        <v>7065.0</v>
      </c>
      <c r="AG871" s="134">
        <v>29.9</v>
      </c>
    </row>
    <row r="872" ht="14.25" customHeight="1">
      <c r="D872" s="51"/>
      <c r="E872" s="51"/>
      <c r="AD872" s="134" t="s">
        <v>859</v>
      </c>
      <c r="AE872" s="134" t="s">
        <v>11</v>
      </c>
      <c r="AF872" s="134">
        <v>7075.0</v>
      </c>
      <c r="AG872" s="134">
        <v>79.9</v>
      </c>
    </row>
    <row r="873" ht="14.25" customHeight="1">
      <c r="D873" s="51"/>
      <c r="E873" s="51"/>
      <c r="AD873" s="134" t="s">
        <v>860</v>
      </c>
      <c r="AE873" s="134" t="s">
        <v>8</v>
      </c>
      <c r="AF873" s="134">
        <v>8966.0</v>
      </c>
      <c r="AG873" s="134">
        <v>23.9</v>
      </c>
    </row>
    <row r="874" ht="14.25" customHeight="1">
      <c r="D874" s="51"/>
      <c r="E874" s="51"/>
      <c r="AD874" s="135" t="s">
        <v>861</v>
      </c>
      <c r="AE874" s="135" t="s">
        <v>8</v>
      </c>
      <c r="AF874" s="135">
        <v>7768.0</v>
      </c>
      <c r="AG874" s="135">
        <v>24.9</v>
      </c>
    </row>
    <row r="875" ht="14.25" customHeight="1">
      <c r="D875" s="51"/>
      <c r="E875" s="51"/>
      <c r="AD875" s="135" t="s">
        <v>862</v>
      </c>
      <c r="AE875" s="135" t="s">
        <v>8</v>
      </c>
      <c r="AF875" s="135">
        <v>7673.0</v>
      </c>
      <c r="AG875" s="135">
        <v>25.9</v>
      </c>
    </row>
    <row r="876" ht="14.25" customHeight="1">
      <c r="D876" s="51"/>
      <c r="E876" s="51"/>
      <c r="AD876" s="135" t="s">
        <v>863</v>
      </c>
      <c r="AE876" s="135" t="s">
        <v>8</v>
      </c>
      <c r="AF876" s="135">
        <v>9289.0</v>
      </c>
      <c r="AG876" s="135">
        <v>24.9</v>
      </c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</row>
    <row r="877" ht="14.25" customHeight="1">
      <c r="D877" s="51"/>
      <c r="E877" s="51"/>
      <c r="AD877" s="134" t="s">
        <v>55</v>
      </c>
      <c r="AE877" s="134" t="s">
        <v>8</v>
      </c>
      <c r="AF877" s="134">
        <v>7625.0</v>
      </c>
      <c r="AG877" s="134">
        <v>24.9</v>
      </c>
    </row>
    <row r="878" ht="14.25" customHeight="1">
      <c r="D878" s="51"/>
      <c r="E878" s="51"/>
      <c r="AD878" s="135" t="s">
        <v>864</v>
      </c>
      <c r="AE878" s="135" t="s">
        <v>8</v>
      </c>
      <c r="AF878" s="135">
        <v>9362.0</v>
      </c>
      <c r="AG878" s="135">
        <v>23.9</v>
      </c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</row>
  </sheetData>
  <mergeCells count="7">
    <mergeCell ref="A1:C1"/>
    <mergeCell ref="F1:H1"/>
    <mergeCell ref="J1:L1"/>
    <mergeCell ref="N1:P1"/>
    <mergeCell ref="R1:T1"/>
    <mergeCell ref="V1:X1"/>
    <mergeCell ref="Z1:AB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