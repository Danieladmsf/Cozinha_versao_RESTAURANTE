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VENDA" sheetId="1" r:id="rId5"/>
    <sheet state="visible" name="PESOS" sheetId="2" r:id="rId6"/>
    <sheet state="visible" name="SEGUNDA" sheetId="3" r:id="rId7"/>
    <sheet state="visible" name="TERÇA" sheetId="4" r:id="rId8"/>
    <sheet state="visible" name="QUARTA" sheetId="5" r:id="rId9"/>
    <sheet state="visible" name="QUINTA" sheetId="6" r:id="rId10"/>
    <sheet state="visible" name="SEXTA" sheetId="7" r:id="rId11"/>
    <sheet state="visible" name="SABADO" sheetId="8" r:id="rId12"/>
    <sheet state="visible" name="DOMINGO" sheetId="9" r:id="rId13"/>
  </sheets>
  <definedNames>
    <definedName hidden="1" localSheetId="0" name="_xlnm._FilterDatabase">'DADOS DE VENDA'!$AQ$2:$AW$2</definedName>
  </definedNames>
  <calcPr/>
</workbook>
</file>

<file path=xl/sharedStrings.xml><?xml version="1.0" encoding="utf-8"?>
<sst xmlns="http://schemas.openxmlformats.org/spreadsheetml/2006/main" count="4352" uniqueCount="1186">
  <si>
    <t>SEGUNDA</t>
  </si>
  <si>
    <t>TERÇA</t>
  </si>
  <si>
    <t>QUARTA</t>
  </si>
  <si>
    <t>QUINTA</t>
  </si>
  <si>
    <t>SEXTA</t>
  </si>
  <si>
    <t>SABADO</t>
  </si>
  <si>
    <t>DOMINGO</t>
  </si>
  <si>
    <t>MEDIA DO PERIODO 03/11 A 10/11</t>
  </si>
  <si>
    <t>Produto</t>
  </si>
  <si>
    <t>Descrição</t>
  </si>
  <si>
    <t>Código de Barras</t>
  </si>
  <si>
    <t>Quantidade</t>
  </si>
  <si>
    <t>DATA</t>
  </si>
  <si>
    <t>Venda Líquida</t>
  </si>
  <si>
    <t>MEDIA QTD</t>
  </si>
  <si>
    <t>MEDIA VALOR</t>
  </si>
  <si>
    <t>REFEICAO ISCA DE  FRANGO A MILANESA BENDITO</t>
  </si>
  <si>
    <t>19/01 a20/01</t>
  </si>
  <si>
    <t xml:space="preserve">PATE DE AZEITONA PRETA BENDITO KG </t>
  </si>
  <si>
    <t>20/01 a 21/01</t>
  </si>
  <si>
    <t>COMBO SUSHI KANI/HOTHOLL/CALIFORNIA BENDITO UN</t>
  </si>
  <si>
    <t>21/01 a 22/01</t>
  </si>
  <si>
    <t>PADARIA TABUA DE FRIOS  KG</t>
  </si>
  <si>
    <t>15/01 a16/01</t>
  </si>
  <si>
    <t>ASS.FRANGO METADE BENDITO UNIDADE</t>
  </si>
  <si>
    <t>16/01 a 17/01</t>
  </si>
  <si>
    <t xml:space="preserve">ASS.FRANGO BENDITO INTEIRO </t>
  </si>
  <si>
    <t>17/01 a 18/01</t>
  </si>
  <si>
    <t>BOLO BANANA BENDITO KG</t>
  </si>
  <si>
    <t>20/10 A 23/10</t>
  </si>
  <si>
    <t>BOLO CENOURA COBERTURA CHOCOLATE BENDITO KG</t>
  </si>
  <si>
    <t>REFEICAO LAGARTO M.MADEIRA + BATATA ASSADA BENDITO</t>
  </si>
  <si>
    <t>PATE DE AZEITONA VERDE BENDITO KG</t>
  </si>
  <si>
    <t>REF COPA LOMBO ACEBOLADA BENDITO</t>
  </si>
  <si>
    <t xml:space="preserve">PAO CASEIRAO BENDITO 250GR </t>
  </si>
  <si>
    <t>REFEICAO STROGONOFF FRANGO BENDITO UN</t>
  </si>
  <si>
    <t>REFEICAO CARNE PANELA BENDITO UN</t>
  </si>
  <si>
    <t>BOLO COCO BENDITO KG</t>
  </si>
  <si>
    <t>REFEICAO TIRINHA CARNE CHINESA BENDITO UN</t>
  </si>
  <si>
    <t>REFEICAO FILE FRANGO PARMEGIANA BENDITO UN</t>
  </si>
  <si>
    <t>REFEICAO FEIJOADA BENDITO UN</t>
  </si>
  <si>
    <t>PAO HAMBURGUER BENDITO KG</t>
  </si>
  <si>
    <t>ROT.ISCA DE FRANGO A MILANESA BENDITO KG</t>
  </si>
  <si>
    <t>REFEICAO MEDALHAO FRANGO BENDITO UN</t>
  </si>
  <si>
    <t>REFEICAO ISCA DE  FRANGO A ACEBOLADA BENDITO UN</t>
  </si>
  <si>
    <t>BOLO FUBA C/MILHO BENDITO KG</t>
  </si>
  <si>
    <t>F.PROPRIA LANCHE SALAME COM QUEIJO PRATO KG</t>
  </si>
  <si>
    <t>ROTISSERIA ARROZ BRANCO BENDITO KG</t>
  </si>
  <si>
    <t>ROT.ESPAGUETE A BOLONHESA + POLPETONE RECHEADO BENDITO</t>
  </si>
  <si>
    <t>BOLO LEITE NINHO VALSA BENDITO KG</t>
  </si>
  <si>
    <t>PAO FOFINHO BENDITO KG</t>
  </si>
  <si>
    <t>ROTISSERIA BANANA BENDITO KG</t>
  </si>
  <si>
    <t>REFEICAO STROGONOFF CARNE BENDITO UN</t>
  </si>
  <si>
    <t>ROTISSERIA ARROZ A GREGA BENDITO KG</t>
  </si>
  <si>
    <t>BOLO LIMAO C COBERTURA BENDITO KG</t>
  </si>
  <si>
    <t>SONHO CREME BENDITO KG</t>
  </si>
  <si>
    <t>ROTISSERIA BATATA ASSADA BENDITO KG</t>
  </si>
  <si>
    <t>ROTISSERIA ARROZ TEMPERADO BENDITO KG</t>
  </si>
  <si>
    <t>BOLO MACA BENDITO KG</t>
  </si>
  <si>
    <t>ROSCA CASEIRA COCO BENDITO KG</t>
  </si>
  <si>
    <t>ROTISSERIA BATATA  DOCE ASSADA BENDITO KG</t>
  </si>
  <si>
    <t>ROTISSERIA ARROZ CARRETEIRO BENDITO KG</t>
  </si>
  <si>
    <t>BOLO NOZES BENDITO KG</t>
  </si>
  <si>
    <t>F.PROPRIA LANCHE PRESUNTO E QUEIJO KG</t>
  </si>
  <si>
    <t>ROTISSERIA BOLINHO DE ARROZ BENDITO KG</t>
  </si>
  <si>
    <t>BOLO PISCINA CENOURA BENDITO KG</t>
  </si>
  <si>
    <t>PANETTONE FRUTA BENDITO  KG</t>
  </si>
  <si>
    <t>ROTISSERIA CALDO DE MANDIOCA BENDITO KG</t>
  </si>
  <si>
    <t>ROTISSERIA CABOTIA REFOGADA BENDITO KG</t>
  </si>
  <si>
    <t>BOLO RECH.BRIGADEIRO C/LEITE NINHO BENDITO KG</t>
  </si>
  <si>
    <t>PAO HOT DOG BENDITO  KG</t>
  </si>
  <si>
    <t>ROTISSERIA CAPONATA BERINJELA BENDITO KG</t>
  </si>
  <si>
    <t>ROTISSERIA BERINJELA PIZZAOLA BENDITO KG</t>
  </si>
  <si>
    <t>BOLO RECHEADO BRIGADEIRO BENDITO  KG</t>
  </si>
  <si>
    <t>PAO CASEIRINHO BENDITO  KG</t>
  </si>
  <si>
    <t>ROTISSERIA CREME DE MILHO BENDITO KG</t>
  </si>
  <si>
    <t>ROTISSERIA CANELONE PRE/QUEIJO E M.BRANCO BENDITO KG</t>
  </si>
  <si>
    <t>BOLO RECHEADO DOCE LEITE C/AMEIXA BENDITO KG</t>
  </si>
  <si>
    <t>PAO GRATINADO KG</t>
  </si>
  <si>
    <t>ROTISSERIA FAROFA BENDITO KG</t>
  </si>
  <si>
    <t>ROTISSERIA COSTELINHA PORCO MOLHO BARBECUE BENDITO KG</t>
  </si>
  <si>
    <t>BOLO RECHEADO LEITE NINHO ABACAXI BENDITO  KG</t>
  </si>
  <si>
    <t>MINI PUDIM BENDITO 100G</t>
  </si>
  <si>
    <t>ROTISSERIA FEIJAO BENDITO KG</t>
  </si>
  <si>
    <t>ROTISSERIA COPA LOMBO ACEBOLADO BENDITO KG</t>
  </si>
  <si>
    <t>ROTISSERIA COXINHA BUFALO WINGS KG</t>
  </si>
  <si>
    <t>ROTISSERIA COUVE REFOGADA BENDITO KG</t>
  </si>
  <si>
    <t>BRIGADEIRAO BENDITO KG</t>
  </si>
  <si>
    <t>F.PROPRIA LANCHE PEITO PERU C/MUSSARELA KG</t>
  </si>
  <si>
    <t>ROTISSERIA FEIJOADA BENDITO KG</t>
  </si>
  <si>
    <t>ROTISSERIA CANELONE FRANGO COM REQUEIJAO BENDITO KG</t>
  </si>
  <si>
    <t>ROTISSERIA DOBRADINHA BENDITO KG</t>
  </si>
  <si>
    <t>BROA DE  ERVA DOCE KG</t>
  </si>
  <si>
    <t xml:space="preserve">ESFIRRA CARNE BENDITO KG </t>
  </si>
  <si>
    <t>ROTISSERIA FILE SOBRECOXA ASSADA BENDITO KG</t>
  </si>
  <si>
    <t>ROTISSERIA ESCONDIDINHO DE CARNE SECA BENDITO KG</t>
  </si>
  <si>
    <t>ROTISSERIA CUPIM ASSADO MOLHO ALHO  KG</t>
  </si>
  <si>
    <t>BROA DE FUBA C/GOTAS DE CHOCOLATE KG</t>
  </si>
  <si>
    <t xml:space="preserve">ESFIRRA QUEIJO BENDITO KG </t>
  </si>
  <si>
    <t xml:space="preserve">ROTISSERIA GELEIA DE PIMENTA BENDITO KG </t>
  </si>
  <si>
    <t>ROTISSERIA FILE FRANGO GRELHADO BENDITO KG</t>
  </si>
  <si>
    <t>COOKIES CHOCOLATE KG</t>
  </si>
  <si>
    <t xml:space="preserve">ESFIRRA CALABRESA BENDITO KG </t>
  </si>
  <si>
    <t>ROTISSERIA HOT HOLL BENDITO UN</t>
  </si>
  <si>
    <t>ROTISSERIA FILE FRANGO PARMEGIANA BENDITO KG</t>
  </si>
  <si>
    <t>PUDIM DE LEITE CONDENSADO BENDITO KG</t>
  </si>
  <si>
    <t>ROTISSERIA JILO FRITO BENDITO KG</t>
  </si>
  <si>
    <t>ROTISSERIA COPA LOMBO A MILANESA BENDITO KG</t>
  </si>
  <si>
    <t>ROTISSERIA ESCONDIDINHO FRANGO C/REQ.MANDIO.BENDITO KG</t>
  </si>
  <si>
    <t>ROTISSERIA ESCONDIDINHO DE PERNIL BENDITO  KG</t>
  </si>
  <si>
    <t xml:space="preserve">ESFIRRA PRESUNTO E QUEIJO BENDITO KG </t>
  </si>
  <si>
    <t>ROTISSERIA LEGUMES BENDITO KG</t>
  </si>
  <si>
    <t xml:space="preserve">ESFIRRA FRANGO BENDITO KG </t>
  </si>
  <si>
    <t>DOGUINHO BENDITO KG</t>
  </si>
  <si>
    <t>ROTISSERIA LINGUICA ASSADA BENDITO KG</t>
  </si>
  <si>
    <t>BOLO LARANJA BEDNITO KG</t>
  </si>
  <si>
    <t>ROTISSERIA LINGUICA RECHEADA ASSADA BENDITO KG</t>
  </si>
  <si>
    <t>ROTISSERIA LASANHA A BOLONHESA BENDITO  KG</t>
  </si>
  <si>
    <t>ROTISSERIA FILE TILAPIA GRELHADA COM LEGUMES BENDITO KG</t>
  </si>
  <si>
    <t>ROTISSERIA MACARRAO C/BROCOLIS E BACON KG</t>
  </si>
  <si>
    <t>ROTISSERIA FRANGO XADREZ BENDITO KG</t>
  </si>
  <si>
    <t xml:space="preserve">FORROZINHO COCADA BENDITO KG </t>
  </si>
  <si>
    <t>ROTISSERIA MACARRAO C/CALABRESA MOLHO ROSE BENDITO KG</t>
  </si>
  <si>
    <t>ROTISSERIA GELEIA DE PIMENTA C/ABACAXI BENDITO KG</t>
  </si>
  <si>
    <t>F.PROPRIA BOLO FUBA C/ ERVA DOCE KG</t>
  </si>
  <si>
    <t>ROTISSERIA MACARRAO ESPECIAL BENDITO KG</t>
  </si>
  <si>
    <t>ROTISSERIA LINGUICINHA FINININHA BENDITO KG</t>
  </si>
  <si>
    <t>F.PROPRIA BOLO LARANJA BEDNITO KG</t>
  </si>
  <si>
    <t>TORTA DE FRANGO BENDITO KG</t>
  </si>
  <si>
    <t>ROTISSERIA  MACARRAO PRIMAVERA BENDITO KG</t>
  </si>
  <si>
    <t>ROTISSERIA ISCA DE FRANGO ACEBOLADA BENDITO KG</t>
  </si>
  <si>
    <t>F.PROPRIA BOLO RECHEADO LEITE NINHO C/MORANGO KG</t>
  </si>
  <si>
    <t>ROTISSERIA MEDALHAO FRANGO BENDITO KG</t>
  </si>
  <si>
    <t>ROTISSERIA MACARRAO C/CHEDDAR E BACON</t>
  </si>
  <si>
    <t>F.PROPRIA CHIPS KG</t>
  </si>
  <si>
    <t>ROSQUINHA SAMANTA BENDITO KG</t>
  </si>
  <si>
    <t>ROTISSERIA MIX LEGUMES ASSADO BENDITO KG</t>
  </si>
  <si>
    <t>ROTISSERIA LASANHA A BOLONHESA MASSA FRESCA BENDITO KG</t>
  </si>
  <si>
    <t>ROTISSERIA JOELHO PORCO ASSADO BENDITO KG</t>
  </si>
  <si>
    <t>F.PROPRIA ESFIRRA ABERTA UN</t>
  </si>
  <si>
    <t>ROTISSERIA PATE ALHO BENDITO KG</t>
  </si>
  <si>
    <t>ROTISSERIA LAGARTO AO MOLHO MADEIRA BENDITO KG</t>
  </si>
  <si>
    <t xml:space="preserve">F.PROPRIA ESFIRRA BRCOLIS QJO E BACON KG </t>
  </si>
  <si>
    <t>BOLO FUBA  BENDITO KG</t>
  </si>
  <si>
    <t>ROTISSERIA PERNIL ACEBOLADO BENDITO  KG</t>
  </si>
  <si>
    <t>ROTISSERIA MACARRONADA A BOLONHESA BENDITO KG</t>
  </si>
  <si>
    <t>ROTISSERIA MACARRAO AO MOLHO BRANCO BENDITO KG</t>
  </si>
  <si>
    <t>COOKIES BAUNILHA COM GOTAS KG</t>
  </si>
  <si>
    <t>ROTISSERIA POLENTA AO MOLHO CARNE MOIDA BENDITO KG</t>
  </si>
  <si>
    <t>F.PROPRIA FORROZINHO GOTAS CHOCOLATE KG</t>
  </si>
  <si>
    <t xml:space="preserve">HOT DOG BENDITO KG </t>
  </si>
  <si>
    <t>ROTISSERIA SALADA CEASER C/FRANGO BENDITO</t>
  </si>
  <si>
    <t>ROSQUINHA DE LEITE NINHO BENDITO  KG</t>
  </si>
  <si>
    <t>ROTISSERIA SALADA DE BETERRABA BENDITO KG</t>
  </si>
  <si>
    <t>ROTISSERIA MOLHO PIMENTA ARTESANAL BENDITO KG</t>
  </si>
  <si>
    <t>ROSQUINHA COCO BENDITO  KG</t>
  </si>
  <si>
    <t>ROTISSERIA SALADA SUNOMONO BENDITOKG</t>
  </si>
  <si>
    <t>ROTISSERIA NHOQUE DE BATATA C/ CARNE BENDITO KG</t>
  </si>
  <si>
    <t>ROTISSERIA MAIONESE DE LEGUMES COM FRANGO BENDITO KG</t>
  </si>
  <si>
    <t>PUDIM LEITE COND.TRIANGULO BENDITO KG</t>
  </si>
  <si>
    <t>ROTISSERIA STROGONOFF DE FRANGO BENDITO KG</t>
  </si>
  <si>
    <t>ROTISSERIA MAIONESE BENDITO KG</t>
  </si>
  <si>
    <t>F.PROPRIA LUA DE MEL DOCE LEITE POLVILHADA COM NINHO  KG</t>
  </si>
  <si>
    <t xml:space="preserve">PAO DE FRIOS BENDITO KG </t>
  </si>
  <si>
    <t>ROTISSERIA SUSHI KANI C/CREAM CHEESE BENDITO UN</t>
  </si>
  <si>
    <t>ROTISSERIA PURE DE BATATA BENDITO KG</t>
  </si>
  <si>
    <t>ROTISSERIA PANQUECA FRANGO C REQUEIJAO BENDITO KG</t>
  </si>
  <si>
    <t>ROTISSERIA MAIONESE DE LEGUMES COM FRANGO</t>
  </si>
  <si>
    <t>PAO DONUTS CHOCOLATE BENDITO KG</t>
  </si>
  <si>
    <t>ROTISSERIA TIRINHA DE CARNE BENDITO KG</t>
  </si>
  <si>
    <t>ROTISSERIA SALADA BATATONESE BENDITO KG</t>
  </si>
  <si>
    <t>ROTISSERIA PANQUECA PRESUNTO E MUSSARELA BENDITO KG</t>
  </si>
  <si>
    <t>ROTISSERIA NHOQUE AO MOLHO SUGO BENDITO  KG</t>
  </si>
  <si>
    <t>F.PROPRIA PAO BISNAGUINHA  FP KG</t>
  </si>
  <si>
    <t>SUI PROD.TORRESMO FRITO KG</t>
  </si>
  <si>
    <t>ROTISSERIA PANQUECA S/MOLHO CARNE BENDITO KG</t>
  </si>
  <si>
    <t>ROTISSERIA MAMINHA ASSADA BENDITO KG</t>
  </si>
  <si>
    <t>F.PROPRIA PAO CASEIRINHO  KG</t>
  </si>
  <si>
    <t>HOT DOG COM MOSTARDA BENDITO KG</t>
  </si>
  <si>
    <t>ROTISSERIA SALADA DE BATATA CURTINHA BENDITO KG</t>
  </si>
  <si>
    <t>ROTISSERIA PANQUECA DE CARNE AO POMODORO BENDITO KG</t>
  </si>
  <si>
    <t>F.PROPRIA PAO  DE CALABREZA KG</t>
  </si>
  <si>
    <t>PAVE DE PESSEGO BENDITO KG</t>
  </si>
  <si>
    <t>ROTISSERIA PATE GORGONZOLA KG</t>
  </si>
  <si>
    <t>ROTISSERIA PANQUECA DE FRANGO BENDITO KG</t>
  </si>
  <si>
    <t>F.PROPRIA PAO DE MILHO KG</t>
  </si>
  <si>
    <t>ROTISSERIA SALADA FRESH HONEY PERU BENDITO</t>
  </si>
  <si>
    <t>F.PROPRIA PAO HAMBURGUER KG</t>
  </si>
  <si>
    <t>BOLO RECHEADO LEITE NINHO C/MORANGO BENDITO KG</t>
  </si>
  <si>
    <t>ROTISSERIA REPOLHO REFOGADO BENDITO KG</t>
  </si>
  <si>
    <t>F.PROPRIA ROCAMBOLE DOCE LEITE KG</t>
  </si>
  <si>
    <t>PAVE CHOCOLATE BENDITO KG</t>
  </si>
  <si>
    <t>ROTISSERIA TABULE BENDITO KG</t>
  </si>
  <si>
    <t>F.PROPRIA ROCAMBOLE GOIABADA KG</t>
  </si>
  <si>
    <t>GELATINA COLORIDA BENDITO KG</t>
  </si>
  <si>
    <t>F.PROPRIA ROCAMBOLE LEITE NINHO KG</t>
  </si>
  <si>
    <t>ROSCA RECHEADA COCO BENDITO  KG</t>
  </si>
  <si>
    <t>F.PROPRIA ROSCA CASEIRA COCO KG</t>
  </si>
  <si>
    <t>COOKIES CHOCOLATE BENDITO KG</t>
  </si>
  <si>
    <t>F.PROPRIA ROSCA CASEIRA NINHO KG</t>
  </si>
  <si>
    <t xml:space="preserve">ESFIRRA CARNE, BROCOLIS E QUEIJO BENDITO KG </t>
  </si>
  <si>
    <t>ROTISSERIA SALADA DE BROCOLIS C/COUVE FLOR BENDITO KG</t>
  </si>
  <si>
    <t>ROTISSERIA TUTU DE FEIJAO BENDITO KG</t>
  </si>
  <si>
    <t>ROTISSERIA STROGONOFF DE CARNE BENDITO KG</t>
  </si>
  <si>
    <t>F.PROPRIA ROSCA CREME C/ GOIABADA</t>
  </si>
  <si>
    <t>SUI PROD.BANHA KG</t>
  </si>
  <si>
    <t>F.PROPRIA ROSCA RECHEADA COCO KG</t>
  </si>
  <si>
    <t>F.PROPRIA ROSQUINHA COCO  KG</t>
  </si>
  <si>
    <t>QUICHE FRANGO C/REQUEIJAO BENDITO 400GR</t>
  </si>
  <si>
    <t>F.PROPRIA ROSQUINHA DE LEITE NINHO  KG</t>
  </si>
  <si>
    <t>PAO BRIOCHE CALABRESA BENDITO KG</t>
  </si>
  <si>
    <t xml:space="preserve">ROTISSERIA TOMATE CONFIT BENDITO KG </t>
  </si>
  <si>
    <t>BOLO NINHO C/OURO BRC BENDITO  KG</t>
  </si>
  <si>
    <t>F. PROPRIA SEQUILHOS KG</t>
  </si>
  <si>
    <t>PAO BRIOCHE BENDITO  KG</t>
  </si>
  <si>
    <t>F.PROPRIA SALGADO DE  CALABRESA ASSADO KG</t>
  </si>
  <si>
    <t>F.PROPRIA SONHO CREME  KG</t>
  </si>
  <si>
    <t>PAO  DE CALABREZA BENDITO KG</t>
  </si>
  <si>
    <t>F.PROPRIA TORTA DE FRANGO KG</t>
  </si>
  <si>
    <t>ROCAMBOLE PRESTIGIO BENDITO KG</t>
  </si>
  <si>
    <t>ROTISSERIA YAKISSOBA BENDITO KG</t>
  </si>
  <si>
    <t>PUDIM DE PADARIA BENDITO KG</t>
  </si>
  <si>
    <t>ROTISSERIA TULIPA BUFALO WINGS KG</t>
  </si>
  <si>
    <t>LANCHE PATE FRANGO RICOTA BENDITO KG</t>
  </si>
  <si>
    <t>QUEIJADINHA BENDITO KG</t>
  </si>
  <si>
    <t>LUA DE MEL LEITE CONDENSADO BENDITO KG</t>
  </si>
  <si>
    <t>TORTA DE FRIOS BENDITO KG</t>
  </si>
  <si>
    <t>MANJAR BENDITO KG</t>
  </si>
  <si>
    <t>BOLO FUBA C/ GOIABADA BENDITO KG</t>
  </si>
  <si>
    <t>MARIA MOLE BENDITO KG</t>
  </si>
  <si>
    <t>ROSCA RECHEADA CHOCOLATE BENDITO KG</t>
  </si>
  <si>
    <t>PAO ABOBORA BENDITO KG</t>
  </si>
  <si>
    <t>PAO MANDIOQUINHA BENDITO KG</t>
  </si>
  <si>
    <t>PAO AZEITONA BENDITO  KG</t>
  </si>
  <si>
    <t>FP BROA DE FUBA KG</t>
  </si>
  <si>
    <t>PAO BATATA DOCE BENDITO KG</t>
  </si>
  <si>
    <t>COLOMBA FRUTA BENDITO KG</t>
  </si>
  <si>
    <t>PAO BISNAGUINHA BENDITO  KG</t>
  </si>
  <si>
    <t>PAO MINI BAGUETE KG</t>
  </si>
  <si>
    <t>PAO CENOURINHA BENDITO KG</t>
  </si>
  <si>
    <t xml:space="preserve">PAO CASEIRAO 250 GR </t>
  </si>
  <si>
    <t>PAO DE MILHO BENDITO KG</t>
  </si>
  <si>
    <t>PAO DE LEITE BENDITO KG</t>
  </si>
  <si>
    <t>PAO DE LEMON PAPPER BENDITO KG</t>
  </si>
  <si>
    <t>PUDIM DE LEITE CONDENSADO BENDITO 400GR</t>
  </si>
  <si>
    <t>ROCAMBOLE BRIGADEIRO BENDITO KG</t>
  </si>
  <si>
    <t>LUA DE MEL DOCE C/NINHO BENDITO  KG</t>
  </si>
  <si>
    <t>QUICHE 4 QUEIJO BENDITO 400GR</t>
  </si>
  <si>
    <t>LUA DE MEL DOCE LEITE C/NINHO BENDITO KG</t>
  </si>
  <si>
    <t>PAO HOT DOG  KG</t>
  </si>
  <si>
    <t>BOLO DE CHURROS CHOCOLATE BENDITO KG</t>
  </si>
  <si>
    <t>ROSCA CASEIRA NINHO BENDITO KG</t>
  </si>
  <si>
    <t>PAO MANDIOQUINHA KG</t>
  </si>
  <si>
    <t>CROUTONS  FABRICACAO PROPRIA KG</t>
  </si>
  <si>
    <t>PAO DONUTS DOCE DE LEITE BENDITO KG</t>
  </si>
  <si>
    <t>ROCAMBOLE GOIABADA BENDITO KG</t>
  </si>
  <si>
    <t>PAO BATATA BENDITO KG</t>
  </si>
  <si>
    <t>ROCAMBOLE LEITE NINHO BENDITO KG</t>
  </si>
  <si>
    <t xml:space="preserve">ROSCA CREME C/ GOIABADA BENDITO KG </t>
  </si>
  <si>
    <t>ROSCA C/ CREME E  FRUTAS BENDITO KG</t>
  </si>
  <si>
    <t>ROSCA RECHEADA GOTAS CHOCOLATE BENDITO KG</t>
  </si>
  <si>
    <t xml:space="preserve">SONHO DOCE LEITE BENDITO KG </t>
  </si>
  <si>
    <t>TORRADA FABRICACAO PROPRIA KG</t>
  </si>
  <si>
    <t>SEGUNDA-FEIRA</t>
  </si>
  <si>
    <t>TERÇA FEIRA</t>
  </si>
  <si>
    <t>QUARTA FEIRA</t>
  </si>
  <si>
    <t>QUINTA FEIRA</t>
  </si>
  <si>
    <t>SEXT A FEIRA</t>
  </si>
  <si>
    <t>Embalagem</t>
  </si>
  <si>
    <t>Preço Venda</t>
  </si>
  <si>
    <t>ALMOÇO</t>
  </si>
  <si>
    <t>COD</t>
  </si>
  <si>
    <t>PRODUTO</t>
  </si>
  <si>
    <t>PESO P/PCT</t>
  </si>
  <si>
    <t>093583 - ASS.FRANGO BENDITO INTEIRO</t>
  </si>
  <si>
    <t>UN/0001</t>
  </si>
  <si>
    <t>MARMITA 3 DIVISORIAS</t>
  </si>
  <si>
    <t>007768 - REFEICAO LAGARTO M.MADEIRA + BATATA ASSADA BENDITO</t>
  </si>
  <si>
    <t>007875 - REFEICAO STROGONOFF FRANGO BENDITO UN</t>
  </si>
  <si>
    <t>007673 - REFEICAO FILE FRANGO PARMEGIANA BENDITO UN</t>
  </si>
  <si>
    <t>007625 - REFEICAO CARNE PANELA BENDITO UN</t>
  </si>
  <si>
    <t>009362 - REFEICAO ISCA DE FRANGO A ACEBOLADA BENDITO UN</t>
  </si>
  <si>
    <t>002893 - ASS.FRANGO METADE BENDITO UNIDADE</t>
  </si>
  <si>
    <t>08966 - REFEICAO ISCA DE FRANGO A MILANESA</t>
  </si>
  <si>
    <t>007877 - REFEICAO TIRINHA CARNE CHINESA BENDITO UN</t>
  </si>
  <si>
    <t>008948 - REF COPA LOMBO SUINA MILANESA BENDITO</t>
  </si>
  <si>
    <t>008491 - ROTISSERIA MEDALHAO FRANGO BENDITO KG</t>
  </si>
  <si>
    <t>007874 - REFEICAO STROGONOFF CARNE BENDITO UN</t>
  </si>
  <si>
    <t>007660 - REFEICAO FEIJOADA BENDITO UN</t>
  </si>
  <si>
    <t>MASSAS</t>
  </si>
  <si>
    <t>008480 - ROTISSERIA MACARRONADA A BOLONHESA BENDITO KG</t>
  </si>
  <si>
    <t>002353 - COGUMELO FATIADO KG</t>
  </si>
  <si>
    <t>KG/0001</t>
  </si>
  <si>
    <t>NÃO ENCONTRADO</t>
  </si>
  <si>
    <t>008321 - ROT.ESPAGUETE A BOLONHESA + POLPETONE RECHEADO BENDITO</t>
  </si>
  <si>
    <t>005877 - COGUMELO INTEIRO KG</t>
  </si>
  <si>
    <t>008400 - ROTISSERIA LASANHA A BOLONHESA BENDITO KG</t>
  </si>
  <si>
    <t>002028 - ERVILHA CONGELADA KG</t>
  </si>
  <si>
    <t>MACARRÃO</t>
  </si>
  <si>
    <t>008900 - ROTISSERIA YAKISSOBA BENDITO KG</t>
  </si>
  <si>
    <t>035607 - ERVILHA LATA 1,7KG</t>
  </si>
  <si>
    <t>093626 - ROTISSERIA MACARRAO C/BROCOLIS E BACON KG</t>
  </si>
  <si>
    <t>008442 - ROTISSERIA MACARRAO C/CALABRESA MOLHO ROSE BENDITO KG</t>
  </si>
  <si>
    <t>007337 - F. PROPRIA ISCA DE FRANGO A MILANESA KG</t>
  </si>
  <si>
    <t>MONO ARROZ</t>
  </si>
  <si>
    <t>008037 - ROTISSERIA ARROZ CARRETEIRO BENDITO KG</t>
  </si>
  <si>
    <t>006911 - GORDURA VEGETAL PARA FRITADEIRA KG</t>
  </si>
  <si>
    <t>008023 - ROTISSERIA ARROZ A GREGA BENDITO KG</t>
  </si>
  <si>
    <t>006270 - HMP SAL KG</t>
  </si>
  <si>
    <t>KG/0012</t>
  </si>
  <si>
    <t>008028 - ROTISSERIA ARROZ BRANCO BENDITO KG</t>
  </si>
  <si>
    <t>006272 - HMP SALSA KG</t>
  </si>
  <si>
    <t>006268 - HMP VINAGRE KG</t>
  </si>
  <si>
    <t>SALADAS COZIDAS</t>
  </si>
  <si>
    <t>006857 - ROTISSERIA MAIONESE DE LEGUMES COM FRANGO</t>
  </si>
  <si>
    <t>007581 - MEDALHAO QUIABO COM BACON BENDITO KG</t>
  </si>
  <si>
    <t>MONO FEIJÃO</t>
  </si>
  <si>
    <t>008328 - ROTISSERIA FEIJAO BENDITO KG</t>
  </si>
  <si>
    <t>008482 - ROTISSERIA MAIONESE DE LEGUMES COM FRANGO BENDITO KG</t>
  </si>
  <si>
    <t>003361 - MILHO VERDE EM CONSERVA LATA 1,7KG (COLOCAR PRECO KG)</t>
  </si>
  <si>
    <t>008336 - ROTISSERIA FEIJOADA BENDITO KG</t>
  </si>
  <si>
    <t>007570 - MOLHO PESTO BENDITO KG</t>
  </si>
  <si>
    <t>009177 - MP ALGA P/SUSHI KG</t>
  </si>
  <si>
    <t>MONO GUARNIÇÃO</t>
  </si>
  <si>
    <t>008089 - ROTISSERIA BATATA ASSADA BENDITO KG</t>
  </si>
  <si>
    <t>008080 - ROTISSERIA BANANA BENDITO KG</t>
  </si>
  <si>
    <t>008292 - ROTISSERIA CREME DE MILHO BENDITO KG</t>
  </si>
  <si>
    <t>008598 - ROTISSERIA PURE DE BATATA BENDITO KG</t>
  </si>
  <si>
    <t>008279 - ROTISSERIA COUVE FLOR EMPANADA BENDITO KG</t>
  </si>
  <si>
    <t>006873 - ROT REFRIGERADO FAROFA KG</t>
  </si>
  <si>
    <t>009167 - MP ARROZ JAPONES KG</t>
  </si>
  <si>
    <t>008391 - ROTISSERIA JILO FRITO BENDITO KG</t>
  </si>
  <si>
    <t>009196 - MP FARINHA PANKO KG</t>
  </si>
  <si>
    <t>008403 - ROTISSERIA LEGUMES BENDITO KG</t>
  </si>
  <si>
    <t>008153 - ROTISSERIA BERINJELA PIZZAOLA BENDITO KG</t>
  </si>
  <si>
    <t>008323 - ROTISSERIA FAROFA BENDITO KG</t>
  </si>
  <si>
    <t>009197 - MP MOLHO AGRIDOCE KG</t>
  </si>
  <si>
    <t>009199 - MP MOLHO SHOYU KG</t>
  </si>
  <si>
    <t>MONO PROTEINAS</t>
  </si>
  <si>
    <t>008409 - ROTISSERIA LINGUICA ASSADA BENDITO KG</t>
  </si>
  <si>
    <t>008349 - ROTISSERIA FILE FRANGO PARMEGIANA BENDITO KG</t>
  </si>
  <si>
    <t>008804 - ROTISSERIA SOBRECOXA RECHEADA BENDITO KG</t>
  </si>
  <si>
    <t>008381 - ROTISSERIA FRANGO XADREZ BENDITO KG</t>
  </si>
  <si>
    <t>008361 - ROTISSERIA FILE SOBRECOXA ASSADA BENDITO KG</t>
  </si>
  <si>
    <t>CARNES ASSADAS</t>
  </si>
  <si>
    <t>009178 - MP MOLHO TARE KG</t>
  </si>
  <si>
    <t>008945 - ROT.ISCA DE FRANGO A MILANESA BENDITO KG</t>
  </si>
  <si>
    <t>008602 - ROTISSERIA QUIBE ASSADO BENDITO KG</t>
  </si>
  <si>
    <t>008158 - ROTISSERIA BIFE A ROLE BENDITO KG</t>
  </si>
  <si>
    <t>008006 - ROTISSERIA ALMONDEGAS AO MOLHO BENDITO KG</t>
  </si>
  <si>
    <t>008834 - ROTISSERIA STROGONOFF DE CARNE BENDITO KG</t>
  </si>
  <si>
    <t>008396 - ROTISSERIA LAGARTO AO MOLHO MADEIRA BENDITO KG</t>
  </si>
  <si>
    <t>008231 - ROTISSERIA CHARUTO BENDITO KG</t>
  </si>
  <si>
    <t>008837 - ROTISSERIA STROGONOFF DE FRANGO BENDITO KG</t>
  </si>
  <si>
    <t>008284 - ROTISSERIA COXA SOBRECOXA ASSADA BENDITO KG</t>
  </si>
  <si>
    <t>008519 - ROTISSERIA COXINHA BUFALO WINGS KG</t>
  </si>
  <si>
    <t>008298 - ROTISSERIA DOBRADINHA BENDITO KG</t>
  </si>
  <si>
    <t>002753 - OLEO COMP.SOJA/AZEITE GALAO (COLOCAR PRECO POR LITRO)</t>
  </si>
  <si>
    <t>KG/0005</t>
  </si>
  <si>
    <t>093964 - ROTISSERIA CUPIM ASSADO MOLHO ALHO KG</t>
  </si>
  <si>
    <t>006671 - OLEO DE ALGODAO GALAO (PRECO POR LITRO)</t>
  </si>
  <si>
    <t>008221 - ROTISSERIA CAPONATA BERINJELA BENDITO KG</t>
  </si>
  <si>
    <t>008695 - ROTISSERIA SALADA DE BETERRABA BENDITO KG</t>
  </si>
  <si>
    <t>008690 - ROTISSERIA SALADA DE BATATA CURTINHA BENDITO KG</t>
  </si>
  <si>
    <t>008671 - ROTISSERIA SALADA BATATONESE BENDITO KG</t>
  </si>
  <si>
    <t>008484 - ROTISSERIA MAMINHA ASSADA BENDITO KG</t>
  </si>
  <si>
    <t>035544 - OLEO SOJA GALAO (COLOCAR PRECO POR LITRO)</t>
  </si>
  <si>
    <t>008789 - ROTISSERIA SALADA SUNOMONO BENDITOKG</t>
  </si>
  <si>
    <t>008713 - ROTISSERIA SALADA DE GRAO DE BICO BENDITO KG</t>
  </si>
  <si>
    <t>008687 - ROTISSERIA SALADA CENOURA C/VAGEM BENDITO KG</t>
  </si>
  <si>
    <t>008839 - ROTISSERIA TABULE BENDITO KG</t>
  </si>
  <si>
    <t>008274 - ROTISSERIA COSTELINHA PORCO MOLHO BARBECUE BENDITO KG</t>
  </si>
  <si>
    <t>001895 - OLEO SOJA LT (GALAO)</t>
  </si>
  <si>
    <t>SALDAS PROTEICAS/C.JAPONESA</t>
  </si>
  <si>
    <t>008393 - ROTISSERIA JOELHO PORCO ASSADO BENDITO KG</t>
  </si>
  <si>
    <t>102365 - PADARIA TABUA DE FRIOS KG</t>
  </si>
  <si>
    <t>SALADAS PRÓTEICAS</t>
  </si>
  <si>
    <t>008963 - ROTISSERIA SALADA CEASER C/FRANGO BENDITO</t>
  </si>
  <si>
    <t>007652 - REFEICAO COXA SOBRECOXA ASSADA BENDITO UN</t>
  </si>
  <si>
    <t>002173 - PALMITO PUPUNHA PICADO KG</t>
  </si>
  <si>
    <t>008962 - ROTISSERIA SALADA MIX DE FOLHA E LEGUMES C/PROTEINAS BENDITO</t>
  </si>
  <si>
    <t>008523 - ROTISSERIA TULIPA BUFALO WINGS KG</t>
  </si>
  <si>
    <t>007573 - PATE DE ATUM BENDITO KG</t>
  </si>
  <si>
    <t>007574 - PATE DE AZEITONA PRETA BENDITO KG</t>
  </si>
  <si>
    <t>007575 - PATE DE AZEITONA VERDE BENDITO KG</t>
  </si>
  <si>
    <t>SUSHI</t>
  </si>
  <si>
    <t>009124 - ROTISSERIA HOT HOLL BENDITO UN</t>
  </si>
  <si>
    <t>009123 - ROTISSERIA SUSHI KANI C/CREAM CHEESE BENDITO UN</t>
  </si>
  <si>
    <t>009119 - ROTISSERIA CALIFORNIA BENDITO UN</t>
  </si>
  <si>
    <t>007576 - PATE DE GORGONZOLA BENDITO KG</t>
  </si>
  <si>
    <t>008079 - PATE DE NOZES BENDITO KG</t>
  </si>
  <si>
    <t>007580 - PATE DE TOMATE SECO BENDITO KG</t>
  </si>
  <si>
    <t>007582 - PRATO EXECUTIVO FIT BENDITO UND</t>
  </si>
  <si>
    <t>POKE/TEMAKI</t>
  </si>
  <si>
    <t>009129 - ROTISSERIA SALADA POKE DE SHIMEJI BENDITO UN</t>
  </si>
  <si>
    <t>009289 - ROTISSERIA TEMAKI HOT SALMAO GRELAHADO</t>
  </si>
  <si>
    <t>007930 - REF COPA LOMBO ACEBOLADA BENDITO</t>
  </si>
  <si>
    <t>007590 - REFEICAO ALMONDEGA BENDITO UN</t>
  </si>
  <si>
    <t>MASSAS/PATES/MOLHOS/ETC</t>
  </si>
  <si>
    <t>007602 - REFEICAO ARROZ E FILE FRANGO MILANESA BENDITO UN</t>
  </si>
  <si>
    <t>008307 - ROTISSERIA ESCONDIDINHO DE CARNE SECA BENDITO KG</t>
  </si>
  <si>
    <t>006878 - ROT REFRIGERADO PANQUECA FRANGO C/CATUPIRY KG</t>
  </si>
  <si>
    <t>008571 - ROTISSERIA POLENTA AO MOLHO CARNE MOIDA BENDITO KG</t>
  </si>
  <si>
    <t>007606 - REFEICAO BIFE ACEBOLADO BENDITO UN</t>
  </si>
  <si>
    <t>008316 - ROTISSERIA ESCONDIDINHO FRANGO BENDITO KG</t>
  </si>
  <si>
    <t>006879 - ROT REFRIGERADO PANQUECA DE CARNE AO POMODORO</t>
  </si>
  <si>
    <t>007608 - REFEICAO BIFE A PARMEGIANA BENDITO UN</t>
  </si>
  <si>
    <t>006960 - ROTISSERIA NHOQUE AO MOLHO SUGO KG</t>
  </si>
  <si>
    <t>008333 - ROTISSERIA BATATA/RECHEADA BROCOLIS E BACON</t>
  </si>
  <si>
    <t>002771 - ROT REFRIGERADO PANQUECA PRESUNTO MUSSARELA KG</t>
  </si>
  <si>
    <t>008663 - ROTISSERIA RONDELE FRANGO REQUEIJAO BENDITO KG</t>
  </si>
  <si>
    <t>007607 - REFEICAO BIFE A ROLE BENDITO UN</t>
  </si>
  <si>
    <t>008332 - ROTISSERIA BATATA/RECHEADA FRANGO C/ REQUEIJAO</t>
  </si>
  <si>
    <t>009067 - ROTISSERIA PANQUECA MASSA ESPINAFRE C/PALMITO BENDITO KG</t>
  </si>
  <si>
    <t>007609 - REFEICAO CARNE ASSADA BENDITO UN</t>
  </si>
  <si>
    <t>009075 - ROTISSERIA PANQUECA MASSA ESPINAFRE FRAN.CREAM.BENDITO KG</t>
  </si>
  <si>
    <t>PATÊ/MOLHOS/GELEIAS</t>
  </si>
  <si>
    <t>007610 - REFEICAO CARNE BOV+LINGUICA UND - REDONDA BENDITO</t>
  </si>
  <si>
    <t>008386 - ROTISSERIA GELEIA DE PIMENTA BENDITO KG</t>
  </si>
  <si>
    <t>007621 - REFEICAO CARNE MOIDA C/LEGUMES BENDITO UN</t>
  </si>
  <si>
    <t>008551 - ROTISSERIA PATE ALHO BENDITO KG</t>
  </si>
  <si>
    <t>008498 - ROTISSERIA MOLHO PIMENTA ARTESANAL BENDITO KG</t>
  </si>
  <si>
    <t>035999 - REFEICAO CARNE PANELA BENDITO UN</t>
  </si>
  <si>
    <t>007623 - REFEICAO CARNE PANELA REDONDA BENDITO</t>
  </si>
  <si>
    <t>035998 - REFEICAO CARNE PANELA REDONDA BENDITO</t>
  </si>
  <si>
    <t>007628 - REFEICAO COPA LOMBO ASSADO E LINGUICA REDONDA BENDITO</t>
  </si>
  <si>
    <t>007646 - REFEICAO COSTELA C.MANDIOCA UND - REDONDA BENDITO</t>
  </si>
  <si>
    <t>007647 - REFEICAO COSTELINHA PORCO ASSADA BENDITO UN</t>
  </si>
  <si>
    <t>007653 - REFEICAO CUPIM M.MADEIRA BENDITO UN</t>
  </si>
  <si>
    <t>007661 - REFEICAO FILE FRANGO A MILANESA BENDITO</t>
  </si>
  <si>
    <t>007663 - REFEICAO FILE FRANGO A PIZZAOLA BENDITO UN</t>
  </si>
  <si>
    <t>007778 - REFEICAO LINGUICA ASSADA BENDITO UN</t>
  </si>
  <si>
    <t>007789 - REFEICAO LOMBO ASSADO BENDITO UN</t>
  </si>
  <si>
    <t>007796 - REFEICAO MEDALHAO FRANGO BENDITO UN</t>
  </si>
  <si>
    <t>007814 - REFEICAO MEDALHAO SUINO - REDONDA BENDITO</t>
  </si>
  <si>
    <t>007840 - REFEICAO PERNIL + LINGUICA UN - REDONDA BENDITO</t>
  </si>
  <si>
    <t>007845 - REFEICAO PERNIL MOLHO FERRUGEM BENDITO UN</t>
  </si>
  <si>
    <t>007860 - REFEICAO PERNIL PANELA BENDITO UN</t>
  </si>
  <si>
    <t>007863 - REFEICAO PICANHA BENDITO UN</t>
  </si>
  <si>
    <t>007867 - REFEICAO PONTA PEITO MOLHO MADEIRA BENDITO UN</t>
  </si>
  <si>
    <t>007876 - REFEICAO TILAPIA EMPANADA BENDITO UN</t>
  </si>
  <si>
    <t>036010 - REFEICAO TILAPIA EMPANADA BENDITO UN</t>
  </si>
  <si>
    <t>007884 - REFEICAO VIRADO A PAULISTA BENDITO UN</t>
  </si>
  <si>
    <t>007943 - REF.LINGUICA.C/CATUPIRY+OVO FRITO+LEG+FAROFA BENDITO</t>
  </si>
  <si>
    <t>007887 - REF REDONDA BIFE ACEBOLADO +OVO+ BATATA BENDITO UND</t>
  </si>
  <si>
    <t>007901 - REF REDONDA BISTECA SUINA MILANESA BENDITO</t>
  </si>
  <si>
    <t>007907 - REF REDONDA CHURRASCO MAMINHA+LING+TULIPA+FAROFA BENDITO</t>
  </si>
  <si>
    <t>007923 - REF REDONDA COXINHA C/LINGUICINHA ASSADA BENDITO</t>
  </si>
  <si>
    <t>007925 - REF REDONDA COXINHA C/LINGUICINHA ASSADA BENDITO</t>
  </si>
  <si>
    <t>007927 - REF REDONDA FILE DE SOBRECOXA + LINGUICA ASSADA BENDITO</t>
  </si>
  <si>
    <t>005748 - RMP ABACATE KG</t>
  </si>
  <si>
    <t>003141 - RMP ABACAXI EM CALDA KG</t>
  </si>
  <si>
    <t>003128 - RMP ABACAXI KG</t>
  </si>
  <si>
    <t>002527 - RMP ABOBORA ITALIA KG</t>
  </si>
  <si>
    <t>002526 - RMP ABOBRINHA CAIPIRA KG</t>
  </si>
  <si>
    <t>005394 - RMP ABOBRINHA ITALIA KG</t>
  </si>
  <si>
    <t>003090 - RMP ABOBRINHA PAULISTA KG</t>
  </si>
  <si>
    <t>003133 - RMP ACAFRAO KG</t>
  </si>
  <si>
    <t>004275 - RMP ACELGA KG</t>
  </si>
  <si>
    <t>002590 - RMP ACUCAR CRISTAL KG</t>
  </si>
  <si>
    <t>002748 - RMP ACUCAR DEMERARA KG</t>
  </si>
  <si>
    <t>005023 - RMP ACUCAR MASCAVO KG</t>
  </si>
  <si>
    <t>002135 - RMP ALECRIM KG</t>
  </si>
  <si>
    <t>002458 - RMP ALFACE KG</t>
  </si>
  <si>
    <t>002220 - RMP ALHO A GRANEL KG</t>
  </si>
  <si>
    <t>005981 - RMP ALHO DESIDRATADO KG</t>
  </si>
  <si>
    <t>002548 - RMP ALHO PORO KG</t>
  </si>
  <si>
    <t>002080 - RMP ALHO TRITURADO KG</t>
  </si>
  <si>
    <t>003127 - RMP AMEIXA S/CAROCO KG</t>
  </si>
  <si>
    <t>002602 - RMP AMENDOIM SALGADO KG</t>
  </si>
  <si>
    <t>002481 - RMP AMIDO DE MILHO KG</t>
  </si>
  <si>
    <t>KG/0040</t>
  </si>
  <si>
    <t>005089 - RMP APRESUNTADO KG</t>
  </si>
  <si>
    <t>002036 - RMP ARROZ INTEGRAL KG</t>
  </si>
  <si>
    <t>002104 - RMP ARROZ KG</t>
  </si>
  <si>
    <t>005146 - RMP ARROZ PARBORIZADO KG</t>
  </si>
  <si>
    <t>002738 - RMP ATUM KG</t>
  </si>
  <si>
    <t>005990 - RMP AVEIA KG</t>
  </si>
  <si>
    <t>002647 - RMP AVES CARNE ASSAR ROTISSERIE KG</t>
  </si>
  <si>
    <t>002520 - RMP AVES FRANGO P/ASSAR KG</t>
  </si>
  <si>
    <t>023524 - RMP AVES FRANGO P/ASSAR UN</t>
  </si>
  <si>
    <t>001974 - RMP AZEITE OLIVA EXTRA VIRGEM KG</t>
  </si>
  <si>
    <t>002361 - RMP AZEITONA KG</t>
  </si>
  <si>
    <t>005088 - RMP AZEITONA SEM CAROCO KG</t>
  </si>
  <si>
    <t>005090 - RMP AZEITONA VERDE RECHEADA KG</t>
  </si>
  <si>
    <t>002319 - RMP BACALHAU KG</t>
  </si>
  <si>
    <t>002439 - RMP BANANA FRITAR KG</t>
  </si>
  <si>
    <t>002801 - RMP BANANA NANICA KG</t>
  </si>
  <si>
    <t>005913 - RMP BANANA PRATA KG</t>
  </si>
  <si>
    <t>004414 - RMP BATATA DOCE BRANCA KG</t>
  </si>
  <si>
    <t>002550 - RMP BATATA DOCE ROXA KG</t>
  </si>
  <si>
    <t>002221 - RMP BATATA KG</t>
  </si>
  <si>
    <t>002033 - RMP BATATA PALHA KG</t>
  </si>
  <si>
    <t>003436 - RMP BATATA PALITO KG</t>
  </si>
  <si>
    <t>002342 - RMP BATATA PIRULITO KG</t>
  </si>
  <si>
    <t>002515 - RMP BERINJELA KG</t>
  </si>
  <si>
    <t>002343 - RMP BETERRABA KG</t>
  </si>
  <si>
    <t>002484 - RMP BOV CARNE MOIDA KG</t>
  </si>
  <si>
    <t>002519 - RMP BOV CARNE P/ ASSAR ROTISSERIE KG</t>
  </si>
  <si>
    <t>005329 - RMP BOV CUPIM KG</t>
  </si>
  <si>
    <t>005330 - RMP BOV FRALDINHA KG</t>
  </si>
  <si>
    <t>006473 - RMP BOV LAGARTO KG</t>
  </si>
  <si>
    <t>002405 - RMP BOV MACA DA PALETA KG</t>
  </si>
  <si>
    <t>005943 - RMP BOV MAMINHA KG</t>
  </si>
  <si>
    <t>002216 - RMP BOV NOA PONTA DE CONTRA FILE PECA KG</t>
  </si>
  <si>
    <t>002412 - RMP BOV PALETA S/ OSSO KG</t>
  </si>
  <si>
    <t>006468 - RMP BOV PATINHO KG</t>
  </si>
  <si>
    <t>002419 - RMP BOV PONTA AGULHA KG</t>
  </si>
  <si>
    <t>002406 - RMP BOV PONTA DE ALCATRA KG</t>
  </si>
  <si>
    <t>002407 - RMP BOV P.PEITO MATURATTA KG</t>
  </si>
  <si>
    <t>002196 - RMP BROCOLIS KG</t>
  </si>
  <si>
    <t>005269 - RMP BUCHO KG</t>
  </si>
  <si>
    <t>002687 - RMP CABOTIA KG</t>
  </si>
  <si>
    <t>006780 - RMP CACHACA KG</t>
  </si>
  <si>
    <t>003747 - RMP CALDO CARNE KG</t>
  </si>
  <si>
    <t>005258 - RMP CALDO COSTELA KG</t>
  </si>
  <si>
    <t>002300 - RMP CALDO GALINHA KG</t>
  </si>
  <si>
    <t>004576 - RMP CANELA EM PO KG</t>
  </si>
  <si>
    <t>003153 - RMP CANELONE PRESUNTO/QUEIJO KG</t>
  </si>
  <si>
    <t>003140 - RMP CANELONE QUATRO QUEIJOS KG</t>
  </si>
  <si>
    <t>005265 - RMP CAPELETTI KG</t>
  </si>
  <si>
    <t>002480 - RMP CARNE BOV MARMITEX KG</t>
  </si>
  <si>
    <t>006081 - RMP CARNE DE FRANGO MARMITEX KG</t>
  </si>
  <si>
    <t>006082 - RMP CARNE DE PORCO MARMITEX KG</t>
  </si>
  <si>
    <t>002017 - RMP CARNE SECA KG</t>
  </si>
  <si>
    <t>KG/0060</t>
  </si>
  <si>
    <t>003125 - RMP CASTANHA DE CAJU KG</t>
  </si>
  <si>
    <t>003130 - RMP CASTANHA DO PARA SEM CASCA KG</t>
  </si>
  <si>
    <t>002616 - RMP CATCHUP KG</t>
  </si>
  <si>
    <t>002222 - RMP CEBOLA KG</t>
  </si>
  <si>
    <t>005434 - RMP CEBOLA PIRULITO KG</t>
  </si>
  <si>
    <t>002601 - RMP CEBOLA ROXA KG</t>
  </si>
  <si>
    <t>002339 - RMP CENOURA KG</t>
  </si>
  <si>
    <t>003143 - RMP CEREJA C/TALO KG</t>
  </si>
  <si>
    <t>003120 - RMP CEREJA KG</t>
  </si>
  <si>
    <t>003404 - RMP CERVEJA MALZEBIR KG</t>
  </si>
  <si>
    <t>KG/0027</t>
  </si>
  <si>
    <t>002205 - RMP CHEIRO VERDE KG</t>
  </si>
  <si>
    <t>003654 - RMP CHIMICHURI KG SEM PIMENTA</t>
  </si>
  <si>
    <t>005392 - RMP CHIMICHURRI KG</t>
  </si>
  <si>
    <t>002580 - RMP CHUCHU KG</t>
  </si>
  <si>
    <t>005719 - RMP COALHO LIQUIDO KG</t>
  </si>
  <si>
    <t>005408 - RMP COENTRO KG</t>
  </si>
  <si>
    <t>003470 - RMP COLORAU KG</t>
  </si>
  <si>
    <t>005011 - RMP CONCHIGLIONE KG</t>
  </si>
  <si>
    <t>006466 - RMP COPA LOMBO KG</t>
  </si>
  <si>
    <t>002195 - RMP COUVE FLOR KG</t>
  </si>
  <si>
    <t>002938 - RMP COUVE KG</t>
  </si>
  <si>
    <t>006465 - RMP COXINHA DA ASA KG</t>
  </si>
  <si>
    <t>002597 - RMP CRAVO DA INDIA KG</t>
  </si>
  <si>
    <t>002465 - RMP CREME CEBOLA KG</t>
  </si>
  <si>
    <t>002124 - RMP CREME DE LEITE KG</t>
  </si>
  <si>
    <t>006244 - RMP CREME MILHO KG</t>
  </si>
  <si>
    <t>006685 - RMP ERVILHA PRONTO KG</t>
  </si>
  <si>
    <t>023371 - RMP ESPETO PARA CHURRASCO UN</t>
  </si>
  <si>
    <t>002979 - RMP ESPINAFRE KG</t>
  </si>
  <si>
    <t>002125 - RMP EXTRATO TOMATE KG</t>
  </si>
  <si>
    <t>004289 - RMP FARINHA DE MILHO KG</t>
  </si>
  <si>
    <t>003730 - RMP FARINHA MANDIOCA BRANCA KG</t>
  </si>
  <si>
    <t>002518 - RMP FARINHA MANDIOCA TORRADA KG</t>
  </si>
  <si>
    <t>003578 - RMP FARINHA MILANESA KG</t>
  </si>
  <si>
    <t>KG/0010</t>
  </si>
  <si>
    <t>002098 - RMP FARINHA TRIGO KG</t>
  </si>
  <si>
    <t>002099 - RMP FAROFA KG</t>
  </si>
  <si>
    <t>002564 - RMP FEIJAO BRANCO KG</t>
  </si>
  <si>
    <t>002024 - RMP FEIJAO KG</t>
  </si>
  <si>
    <t>002020 - RMP FEIJAO PRETO KG</t>
  </si>
  <si>
    <t>004575 - RMP FERMENTO KG</t>
  </si>
  <si>
    <t>003145 - RMP FIGO EM CALDA KG</t>
  </si>
  <si>
    <t>002499 - RMP FILE COXA SOBRECOXA C/ PELE SEM OSSO KG</t>
  </si>
  <si>
    <t>005328 - RMP FILE DE COXA/SOBRECOXA TEMP KG</t>
  </si>
  <si>
    <t>002250 - RMP FILE FRANGO KG</t>
  </si>
  <si>
    <t>002420 - RMP FRANGO PASSARINHO KG</t>
  </si>
  <si>
    <t>001897 - RMP FUBA KG</t>
  </si>
  <si>
    <t>005054 - RMP GENGIBRE KG</t>
  </si>
  <si>
    <t>004353 - RMP GERGELIM KG</t>
  </si>
  <si>
    <t>003138 - RMP GLICOSE YOKI MEL KG</t>
  </si>
  <si>
    <t>002301 - RMP GRAO BICO KG</t>
  </si>
  <si>
    <t>005888 - RMP HAMBURGER KG</t>
  </si>
  <si>
    <t>002614 - RMP HORTELA KG</t>
  </si>
  <si>
    <t>006034 - RMP INHAME KG</t>
  </si>
  <si>
    <t>002505 - RMP JILO KG</t>
  </si>
  <si>
    <t>005209 - RMP KIBE PARA ASSAR KG</t>
  </si>
  <si>
    <t>002493 - RMP LARANJA KG</t>
  </si>
  <si>
    <t>003331 - RMP LEGUMES KG</t>
  </si>
  <si>
    <t>002565 - RMP LEITE COCO KG</t>
  </si>
  <si>
    <t>KG/0024</t>
  </si>
  <si>
    <t>002136 - RMP LEITE KG</t>
  </si>
  <si>
    <t>005393 - RMP LEMON PEPPER KG</t>
  </si>
  <si>
    <t>003265 - RMP LENTILHA KG</t>
  </si>
  <si>
    <t>002454 - RMP LIMAO KG</t>
  </si>
  <si>
    <t>002019 - RMP LINGUICA CALABRESA KG</t>
  </si>
  <si>
    <t>006431 - RMP LINGUICA FRANGO KG</t>
  </si>
  <si>
    <t>005230 - RMP LINGUICA KG</t>
  </si>
  <si>
    <t>002018 - RMP LINGUICA PAIO KG</t>
  </si>
  <si>
    <t>003162 - RMP LINGUICA TOSCANA KG</t>
  </si>
  <si>
    <t>002021 - RMP LOURO EM FOLHA KG</t>
  </si>
  <si>
    <t>002533 - RMP MACA KG</t>
  </si>
  <si>
    <t>003853 - RMP MACARRAO AVE MARIA KG</t>
  </si>
  <si>
    <t>002817 - RMP MACARRAO BAVETI KG</t>
  </si>
  <si>
    <t>002901 - RMP MACARRAO CABELOS ANJOS KG</t>
  </si>
  <si>
    <t>002316 - RMP MACARRAO ESPAGUETE KG</t>
  </si>
  <si>
    <t>002095 - RMP MACARRAO ESPAGUETINHO KG</t>
  </si>
  <si>
    <t>003746 - RMP MACARRAO FETTUCCINE KG</t>
  </si>
  <si>
    <t>002094 - RMP MACARRAO FURADINHO KG</t>
  </si>
  <si>
    <t>005843 - RMP MACARRAO GRAVATA KG</t>
  </si>
  <si>
    <t>002127 - RMP MACARRAO INTEGRAL ESPAGUETE KG</t>
  </si>
  <si>
    <t>006809 - RMP MACARRAO LINGUINE KG</t>
  </si>
  <si>
    <t>002695 - RMP MACARRAO NINHO KG</t>
  </si>
  <si>
    <t>KG/0020</t>
  </si>
  <si>
    <t>002317 - RMP MACARRAO ORIENTAL BIFUM KG</t>
  </si>
  <si>
    <t>003054 - RMP MACARRAO PADRE NOSSO</t>
  </si>
  <si>
    <t>002128 - RMP MACARRAO PARAFUSO KG</t>
  </si>
  <si>
    <t>002129 - RMP MACARRAO PENE KG</t>
  </si>
  <si>
    <t>002673 - RMP MACARRAO TALHARIM KG</t>
  </si>
  <si>
    <t>003339 - RMP MACARRAO TORTIGLIONI KG</t>
  </si>
  <si>
    <t>002076 - RMP MACARRAO YAKISSOBA KG</t>
  </si>
  <si>
    <t>002507 - RMP MAC.TRICOLORI GRAVATA KG</t>
  </si>
  <si>
    <t>002122 - RMP MAIONESE KG</t>
  </si>
  <si>
    <t>KG/0006</t>
  </si>
  <si>
    <t>002344 - RMP MANDIOQUINHA KG</t>
  </si>
  <si>
    <t>002568 - RMP MANJERICAO KG</t>
  </si>
  <si>
    <t>002627 - RMP MARACUJA KG</t>
  </si>
  <si>
    <t>002123 - RMP MARGARINA KG</t>
  </si>
  <si>
    <t>006488 - RMP MASSA PANQUECA KG</t>
  </si>
  <si>
    <t>033555 - RMP MASSA PANQUECA PRONTA</t>
  </si>
  <si>
    <t>002163 - RMP MASSA PARA LASANHA KG</t>
  </si>
  <si>
    <t>KG/0048</t>
  </si>
  <si>
    <t>002023 - RMP MILHO VERDE PRONTO KG</t>
  </si>
  <si>
    <t>021846 - RMP MILHO VERDE UND</t>
  </si>
  <si>
    <t>002699 - RMP MOLHO BARBECUE KG</t>
  </si>
  <si>
    <t>006456 - RMP MOLHO BOLONHESA KG</t>
  </si>
  <si>
    <t>002506 - RMP MOLHO BRANCO BECHAMEL KG</t>
  </si>
  <si>
    <t>006457 - RMP MOLHO BRANCO KG CASEIRO</t>
  </si>
  <si>
    <t>006521 - RMP MOLHO ESCURO DEMIGLACE KG</t>
  </si>
  <si>
    <t>002482 - RMP MOLHO INGLES KG</t>
  </si>
  <si>
    <t>006177 - RMP MOLHO MADEIRA KG</t>
  </si>
  <si>
    <t>005962 - RMP MOLHO PARA YAKISSOBA KG</t>
  </si>
  <si>
    <t>005527 - RMP MOLHO PESTO KG</t>
  </si>
  <si>
    <t>002096 - RMP MOLHO PIMENTA KG</t>
  </si>
  <si>
    <t>002137 - RMP MOLHO SHOYU KG</t>
  </si>
  <si>
    <t>006447 - RMP MOLHO TOMATE AO SUGO KG</t>
  </si>
  <si>
    <t>002100 - RMP MOLHO TOMATE KG</t>
  </si>
  <si>
    <t>006463 - RMP MOLHO TOMATE KG CASEIRO</t>
  </si>
  <si>
    <t>005987 - RMP MORANGA KG</t>
  </si>
  <si>
    <t>002238 - RMP MORTADELA KG</t>
  </si>
  <si>
    <t>002126 - RMP MOSTARDA KG</t>
  </si>
  <si>
    <t>002349 - RMP MUSSARELA KG</t>
  </si>
  <si>
    <t>002083 - RMP NHOQUE BATATA KG</t>
  </si>
  <si>
    <t>003084 - RMP NHOQUE RECHEADO KG</t>
  </si>
  <si>
    <t>002803 - RMP NOZES SEM CASCA KG</t>
  </si>
  <si>
    <t>007524 - RMP OLEO SOJA KG</t>
  </si>
  <si>
    <t>002566 - RMP OREGANO KG</t>
  </si>
  <si>
    <t>029785 - RMP OVOS GRANJA AMANO TP GRANDE UND</t>
  </si>
  <si>
    <t>002223 - RMP PADARIA FARINHA ROSCA CASEIRA KG</t>
  </si>
  <si>
    <t>021480 - RMP PALITO UN</t>
  </si>
  <si>
    <t>006474 - RMP PANCETA TEMP KG</t>
  </si>
  <si>
    <t>002224 - RMP PAO FRANCES KG</t>
  </si>
  <si>
    <t>KG/0008</t>
  </si>
  <si>
    <t>002366 - RMP PAPRICA KG</t>
  </si>
  <si>
    <t>005980 - RMP PEITO DE PERU KG</t>
  </si>
  <si>
    <t>002225 - RMP PEIXE BACALHAU COD DESFIADO KG</t>
  </si>
  <si>
    <t>002436 - RMP PEIXE FILE DE MAPARA KG</t>
  </si>
  <si>
    <t>002437 - RMP PEIXE FILE DE TILAPIA KG</t>
  </si>
  <si>
    <t>004785 - RMP PEIXE KANIKAMA KG</t>
  </si>
  <si>
    <t>005847 - RMP PEIXE POSTA TILAPIA KG</t>
  </si>
  <si>
    <t>004025 - RMP PEIXE SALMAO KG</t>
  </si>
  <si>
    <t>002735 - RMP PEPINO CAIPIRA KG</t>
  </si>
  <si>
    <t>002457 - RMP PEPINO JAPONES KG</t>
  </si>
  <si>
    <t>003146 - RMP PESSEGO EM CALDA KG</t>
  </si>
  <si>
    <t>002156 - RMP PIMENTA BIQUINHO KG</t>
  </si>
  <si>
    <t>002097 - RMP PIMENTA CALABRESA KG</t>
  </si>
  <si>
    <t>002691 - RMP PIMENTA CHAPEU DE PADRE KG</t>
  </si>
  <si>
    <t>002084 - RMP PIMENTA DO REINO MOIDA KG</t>
  </si>
  <si>
    <t>002226 - RMP PIMENTAO AMARELO KG</t>
  </si>
  <si>
    <t>004881 - RMP PIMENTAO LARANJA KG</t>
  </si>
  <si>
    <t>002516 - RMP PIMENTAO VERDE KG</t>
  </si>
  <si>
    <t>002227 - RMP PIMENTAO VERMELHO KG</t>
  </si>
  <si>
    <t>002085 - RMP PIMENTA REINO BRANCA MOIDA KG</t>
  </si>
  <si>
    <t>002914 - RMP PIMENTA VERMELHA KG</t>
  </si>
  <si>
    <t>006391 - RMP POLENTA PRONTA KG</t>
  </si>
  <si>
    <t>002363 - RMP PRESUNTO KG</t>
  </si>
  <si>
    <t>002535 - RMP QUEIJO COALHO PECA KG</t>
  </si>
  <si>
    <t>002251 - RMP QUEIJO COTTAGE KG</t>
  </si>
  <si>
    <t>003074 - RMP QUEIJO GORGONZOLA KG</t>
  </si>
  <si>
    <t>002951 - RMP QUEIJO GRUYERE KG</t>
  </si>
  <si>
    <t>002888 - RMP QUEIJO MASSDAM SAO VICENTE KG</t>
  </si>
  <si>
    <t>002926 - RMP QUEIJO PARMESAO KG</t>
  </si>
  <si>
    <t>002318 - RMP QUEIJO PARMESAO RALADO KG</t>
  </si>
  <si>
    <t>002345 - RMP QUEIJO PARMESAO T.MINAS KG</t>
  </si>
  <si>
    <t>002675 - RMP QUEIJO PRATO KG</t>
  </si>
  <si>
    <t>003840 - RMP QUEIJO PROVOLONE KG</t>
  </si>
  <si>
    <t>004345 - RMP QUEIJO RICOTA KG</t>
  </si>
  <si>
    <t>002341 - RMP QUIABO KG</t>
  </si>
  <si>
    <t>006445 - RMP RABADA KG</t>
  </si>
  <si>
    <t>002561 - RMP REPOLHO ROXO KG</t>
  </si>
  <si>
    <t>002491 - RMP REPOLHO VERDE KG</t>
  </si>
  <si>
    <t>002121 - RMP REQUEIJAO KG</t>
  </si>
  <si>
    <t>003148 - RMP RONDELLI 4 QUEIJO KG</t>
  </si>
  <si>
    <t>005025 - RMP RONDELLI FRANGO C/REQUEIJAO KG</t>
  </si>
  <si>
    <t>002138 - RMP RONDELLI PRESUNTO E MUSSARELA KG</t>
  </si>
  <si>
    <t>002456 - RMP RUCULA KG</t>
  </si>
  <si>
    <t>002022 - RMP SAL GROSSO KG</t>
  </si>
  <si>
    <t>001898 - RMP SAL REFINADO KG</t>
  </si>
  <si>
    <t>002466 - RMP SAL REFINADOLIGHT KG</t>
  </si>
  <si>
    <t>004603 - RMP SALSA KG</t>
  </si>
  <si>
    <t>005203 - RMP SALSICHA CELOFANE KG</t>
  </si>
  <si>
    <t>002562 - RMP SALSICHA KG</t>
  </si>
  <si>
    <t>002782 - RMP SALSINHA KG</t>
  </si>
  <si>
    <t>002045 - RMP SARDINHA EVISCERADA KG</t>
  </si>
  <si>
    <t>006246 - RMP SARDINHA KG</t>
  </si>
  <si>
    <t>003261 - RMP SAZON KG</t>
  </si>
  <si>
    <t>004140 - RMP SEBO PARA COZINHA KG</t>
  </si>
  <si>
    <t>002483 - RMP SELETA LEGUMES KG</t>
  </si>
  <si>
    <t>003507 - RMP SHIMEJI KG</t>
  </si>
  <si>
    <t>006533 - RMP SOFIATELI KG</t>
  </si>
  <si>
    <t>002240 - RMP SUI BACON KG</t>
  </si>
  <si>
    <t>006469 - RMP SUI BISTECA SUINO KG</t>
  </si>
  <si>
    <t>002556 - RMP SUI CARNE P/ ASSAR ROTISSERIE KG</t>
  </si>
  <si>
    <t>003161 - RMP SUI COSTELA PORCO KG</t>
  </si>
  <si>
    <t>002418 - RMP SUI JOELHO PORCO KG</t>
  </si>
  <si>
    <t>002242 - RMP SUI LOMBO SUINO KG</t>
  </si>
  <si>
    <t>002485 - RMP SUI MASCARA C/ORELHA PORCO SALGADA KG</t>
  </si>
  <si>
    <t>002722 - RMP SUI PELE SALGADA KG</t>
  </si>
  <si>
    <t>003101 - RMP SUI PE PORCO SALGADA KG</t>
  </si>
  <si>
    <t>004466 - RMP SUI PERNIL KG</t>
  </si>
  <si>
    <t>002557 - RMP SUI RABO SALGADO KG</t>
  </si>
  <si>
    <t>003137 - RMP SUI TENDER KG</t>
  </si>
  <si>
    <t>004061 - RMP TEMPERO ANA MARIA KG</t>
  </si>
  <si>
    <t>004290 - RMP TEMPERO BAIANO KG</t>
  </si>
  <si>
    <t>006472 - RMP TEMPERO CASEIRO KG</t>
  </si>
  <si>
    <t>006782 - RMP TEMPERO CURRY KG</t>
  </si>
  <si>
    <t>004354 - RMP TEMPERO EDU KG</t>
  </si>
  <si>
    <t>003344 - RMP TEMPERO KNORR KG</t>
  </si>
  <si>
    <t>004168 - RMP TEMPERO LEMON KG</t>
  </si>
  <si>
    <t>005420 - RMP TEMPERO PEGA MARIDO KG</t>
  </si>
  <si>
    <t>006207 - RMP TEMPERO PICANHA KG</t>
  </si>
  <si>
    <t>002455 - RMP TOMATE CEREJA KG</t>
  </si>
  <si>
    <t>002239 - RMP TOMATE KG</t>
  </si>
  <si>
    <t>003190 - RMP TRIGO P/KIBE KG</t>
  </si>
  <si>
    <t>003160 - RMP UVA KG</t>
  </si>
  <si>
    <t>002365 - RMP UVA PASSA BRANCA KG</t>
  </si>
  <si>
    <t>002364 - RMP UVA PASSA PRETA KG</t>
  </si>
  <si>
    <t>002340 - RMP VAGEM KG</t>
  </si>
  <si>
    <t>002293 - RMP VINAGRE ARROZ KG</t>
  </si>
  <si>
    <t>002101 - RMP VINAGRE KG</t>
  </si>
  <si>
    <t>002130 - RMP VINAGRE LIMAO KG</t>
  </si>
  <si>
    <t>002324 - RMP VINHO BRANCO KG</t>
  </si>
  <si>
    <t>007960 - ROT CALDO DE FEIJAO C/ BACON BENDITO KG</t>
  </si>
  <si>
    <t>007990 - ROTISSERIA ABOBRINHA RECHEADA BENDITO KG</t>
  </si>
  <si>
    <t>008000 - ROTISSERIA ABOBRINHA REFOGADA BENDITO KG</t>
  </si>
  <si>
    <t>008015 - ROTISSERIA ANTEPASTO DE ABOBRINHA BENDITO KG</t>
  </si>
  <si>
    <t>008019 - ROTISSERIA ANTEPASTO DE BERINJELA BENDITO KG</t>
  </si>
  <si>
    <t>008039 - ROTISSERIA ARROZ COM OVOS MEXIDOS BENDITO KG</t>
  </si>
  <si>
    <t>008040 - ROTISSERIA ARROZ INTEGRAL BENDITO KG</t>
  </si>
  <si>
    <t>008046 - ROTISSERIA ARROZ LENTILHA BENDITO KG</t>
  </si>
  <si>
    <t>008047 - ROTISSERIA ARROZ PRIMAVERA BENDITO KG</t>
  </si>
  <si>
    <t>008048 - ROTISSERIA ARROZ TEMPERADO BENDITO KG</t>
  </si>
  <si>
    <t>093908 - ROTISSERIA ARROZ TEMPERADO KG</t>
  </si>
  <si>
    <t>008051 - ROTISSERIA AVE RECHEADA COM FAROFA BENDITO KG</t>
  </si>
  <si>
    <t>008064 - ROTISSERIA BACALHOADA BENDITO KG</t>
  </si>
  <si>
    <t>008090 - ROTISSERIA BATATA BENDITO KG</t>
  </si>
  <si>
    <t>008093 - ROTISSERIA BATATA DOCE ASSADA BENDITO KG</t>
  </si>
  <si>
    <t>008098 - ROTISSERIA BATATA FRITA BENDITO KG</t>
  </si>
  <si>
    <t>008104 - ROTISSERIA BATATA GRATINADA BENDITO KG</t>
  </si>
  <si>
    <t>008111 - ROTISSERIA BATATA RECHEADA FRICASSE FRANGO BENDITO KG</t>
  </si>
  <si>
    <t>008133 - ROTISSERIA BATATA RECHEADA PRES/QUEIJO BENDITO KG</t>
  </si>
  <si>
    <t>008148 - ROTISSERIA BATATA RECHEADA STROGONOFF CARNE BENDITO KG</t>
  </si>
  <si>
    <t>008149 - ROTISSERIA BERINJELA EMPANADA BENDITO KG</t>
  </si>
  <si>
    <t>008151 - ROTISSERIA BERINJELA PARMEGGIANA BENDITO KG</t>
  </si>
  <si>
    <t>008154 - ROTISSERIA BERINJELA RECHEADA BENDITO KG</t>
  </si>
  <si>
    <t>008155 - ROTISSERIA BIFE ACEBOLADO BENDITO KG</t>
  </si>
  <si>
    <t>008156 - ROTISSERIA BIFE A MILANESA BENDITO KG</t>
  </si>
  <si>
    <t>008157 - ROTISSERIA BIFE A PARMEGIANA BENDITO KG</t>
  </si>
  <si>
    <t>008159 - ROTISSERIA BIFE DE LOMBO BENDITO KG</t>
  </si>
  <si>
    <t>008160 - ROTISSERIA BIFE DE PERNIL AO MOLHO BARBECUE BENDITO KG</t>
  </si>
  <si>
    <t>008161 - ROTISSERIA BIFE DE PERNIL BENDITO KG</t>
  </si>
  <si>
    <t>008162 - ROTISSERIA BIFE EM TIRAS C/PALMITO E REQUEIJAO BENDITO KG</t>
  </si>
  <si>
    <t>008163 - ROTISSERIA BIFE SUINO A MILANESA BENDITO KG</t>
  </si>
  <si>
    <t>008164 - ROTISSERIA BISTECA ACEBOLADA BENDITO KG</t>
  </si>
  <si>
    <t>009016 - ROTISSERIA BISTECA MILSANES BENDITO KG</t>
  </si>
  <si>
    <t>008165 - ROTISSERIA BOLINHA DE QUEIJO BENITO KG</t>
  </si>
  <si>
    <t>008166 - ROTISSERIA BOLINHO DE ARROZ BENDITO KG</t>
  </si>
  <si>
    <t>008167 - ROTISSERIA BOLINHO DE BACALHAU FRITO BENDITO KG</t>
  </si>
  <si>
    <t>008168 - ROTISSERIA BOLINHO DE CARNE BENDITO KG</t>
  </si>
  <si>
    <t>008169 - ROTISSERIA BOLINHO DE FEIJOADA BENDITO KG</t>
  </si>
  <si>
    <t>008170 - ROTISSERIA BOMBOM DO ALCATRA AO MOLHO MADEIRA BENDITO KG</t>
  </si>
  <si>
    <t>008171 - ROTISSERIA CABOTIA COM CREME DE ALHO BENDITO KG</t>
  </si>
  <si>
    <t>008172 - ROTISSERIA CABOTIA REFOGADA BENDITO KG</t>
  </si>
  <si>
    <t>008174 - ROTISSERIA CALDO DE CABOTIA BENDITO KG</t>
  </si>
  <si>
    <t>008173 - ROTISSERIA CALDO DE CABOTIA/CARNE SECA BENDITO KG</t>
  </si>
  <si>
    <t>008176 - ROTISSERIA CALDO DE MANDIOCA BENDITO KG</t>
  </si>
  <si>
    <t>008175 - ROTISSERIA CALDO DE MANDIOCA COM CARNE BENDITO KG</t>
  </si>
  <si>
    <t>008178 - ROTISSERIA CALDO DE MANDIOQUINHA BENDITO KG</t>
  </si>
  <si>
    <t>008177 - ROTISSERIA CALDO DE MANDIOQUINHA C/CARNE SECA BENDITO KG</t>
  </si>
  <si>
    <t>008179 - ROTISSERIA CALDO FRANGO BENDITO KG</t>
  </si>
  <si>
    <t>008197 - ROTISSERIA CALDO VERDE BENDITO KG</t>
  </si>
  <si>
    <t>008201 - ROTISSERIA CANELONE FRANGO COM REQUEIJAO BENDITO KG</t>
  </si>
  <si>
    <t>008204 - ROTISSERIA CANELONE PRESUNTO E MUSSARELA BENDITO KG</t>
  </si>
  <si>
    <t>008206 - ROTISSERIA CANELONE Q.QUEIJOS BENDITO KG</t>
  </si>
  <si>
    <t>008222 - ROTISSERIA CARNE C/ LEGUMES BENDITO KG</t>
  </si>
  <si>
    <t>008223 - ROTISSERIA CARNE DE PANELA BENDITO KG</t>
  </si>
  <si>
    <t>008224 - ROTISSERIA CARNE FATIADA COM CEBOLA A DORE BENDITO KG</t>
  </si>
  <si>
    <t>008226 - ROTISSERIA CARNE FRIA DE PERNIL BENDITO KG</t>
  </si>
  <si>
    <t>008228 - ROTISSERIA CARNE MOIDA COM LEGUMES BENDITO KG</t>
  </si>
  <si>
    <t>008229 - ROTISSERIA CARNE MOIDA COM LEGUMES BENDITO KG</t>
  </si>
  <si>
    <t>008232 - ROTISSERIA COMBO MINI LANCHE BENDITO UN</t>
  </si>
  <si>
    <t>008235 - ROTISSERIA CONCHIGLIONE BENDITO KG</t>
  </si>
  <si>
    <t>008237 - ROTISSERIA COPA LOMBO ACEBOLADO BENDITO KG</t>
  </si>
  <si>
    <t>008239 - ROTISSERIA COPA LOMBO A MILANESA BENDITO KG</t>
  </si>
  <si>
    <t>008240 - ROTISSERIA COSTELA ASSADA COM OSSO BENDITO KG</t>
  </si>
  <si>
    <t>008247 - ROTISSERIA COSTELA BOI DE PANELA BENDITO KG</t>
  </si>
  <si>
    <t>008259 - ROTISSERIA COSTELA BOVINA ASSADA BENDITO UN</t>
  </si>
  <si>
    <t>036025 - ROTISSERIA COSTELA BOVINA ASSADA BENDITO UN</t>
  </si>
  <si>
    <t>008251 - ROTISSERIA COSTELA BOVINA ASSADA SEM OSSO BENDITO KG</t>
  </si>
  <si>
    <t>008267 - ROTISSERIA COSTELA C/ MANDIOCA BENDITO KG</t>
  </si>
  <si>
    <t>093693 - ROTISSERIA COSTELINHA DE PORCO FRITA KG</t>
  </si>
  <si>
    <t>008273 - ROTISSERIA COSTELINHA PORCO ASSADA BENDITO KG</t>
  </si>
  <si>
    <t>008276 - ROTISSERIA COUVE FLOR AO MOLHO BRANCO BENDITO KG</t>
  </si>
  <si>
    <t>008281 - ROTISSERIA COUVE REFOGADA BENDITO KG</t>
  </si>
  <si>
    <t>008282 - ROTISSERIA COXA ASSADA BENDITO KG</t>
  </si>
  <si>
    <t>008287 - ROTISSERIA COXINHA ASA ASSADA BENDITO KG</t>
  </si>
  <si>
    <t>008290 - ROTISSERIA COXINHA ASA EMPANADA BENDITO KG</t>
  </si>
  <si>
    <t>008291 - ROTISSERIA CREME DE BACALHAU BENDITO KG</t>
  </si>
  <si>
    <t>001717 - ROTISSERIA CROQUETE DE CARNE KG</t>
  </si>
  <si>
    <t>093966 - ROTISSERIA CUBOS DE FRANGO COM CREME MILHO KG</t>
  </si>
  <si>
    <t>008296 - ROTISSERIA CUPIM ASSADO AO MOLHO MADEIRA BENDITO KG</t>
  </si>
  <si>
    <t>008302 - ROTISSERIA ESCONDIDINHO CALABRESA BENDITO KG</t>
  </si>
  <si>
    <t>008306 - ROTISSERIA ESCONDIDINHO DE CARNE BENDITO KG</t>
  </si>
  <si>
    <t>008309 - ROTISSERIA ESCONDIDINHO DE PERNIL BENDITO KG</t>
  </si>
  <si>
    <t>008308 - ROTISSERIA ESCONDIDINHO FRANGO C/REQ.MANDIO.BENDITO KG</t>
  </si>
  <si>
    <t>008312 - ROTISSERIA ESCONDI.FRANGO C/PURE BATATA DOCE BENDITO KG</t>
  </si>
  <si>
    <t>008317 - ROTISSERIA ESPAGUETE A BOLONHESA BENDITO KG</t>
  </si>
  <si>
    <t>006903 - ROTISSERIA ESPAGUETE A BOLONHESA + POLPETONE RECHEADO</t>
  </si>
  <si>
    <t>008324 - ROTISSERIA FEIJAO GORDO BENDITO KG</t>
  </si>
  <si>
    <t>008331 - ROTISSERIA FEIJAO PRETO GORDO BENDITO KG</t>
  </si>
  <si>
    <t>008330 - ROTISSERIA FEIJAO PRETO GORDO BENDITO KG</t>
  </si>
  <si>
    <t>008334 - ROTISSERIA FEIJAO TROPEIRO BENDITO KG</t>
  </si>
  <si>
    <t>008337 - ROTISSERIA FILE FRANGO 3 QUEIJOS BENDITO KG</t>
  </si>
  <si>
    <t>008341 - ROTISSERIA FILE FRANGO A MILANESA BENDITO KG</t>
  </si>
  <si>
    <t>003683 - ROTISSERIA FILE FRANGO AO MOLHO BRANCO KG</t>
  </si>
  <si>
    <t>008346 - ROTISSERIA FILE FRANGO BENDITO KG</t>
  </si>
  <si>
    <t>008345 - ROTISSERIA FILE FRANGO GRELHADO BENDITO KG</t>
  </si>
  <si>
    <t>103645 - ROTISSERIA FILE FRANGO KG</t>
  </si>
  <si>
    <t>006952 - ROTISSERIA FILE FRANGO M. MOSTARDA KG</t>
  </si>
  <si>
    <t>008350 - ROTISSERIA FILE FRANGO PIZZAIOLA BENDITO KG</t>
  </si>
  <si>
    <t>008352 - ROTISSERIA FILE MERLUZA EMPANADO BENDITO KG</t>
  </si>
  <si>
    <t>008358 - ROTISSERIA FILE PEIXE EMPANADO BENDITO KG</t>
  </si>
  <si>
    <t>008360 - ROTISSERIA FILE PEIXE FRITO BENDITO KG</t>
  </si>
  <si>
    <t>008362 - ROTISSERIA FILE TILAPIA A PARMEGIANA BENDITO KG</t>
  </si>
  <si>
    <t>008363 - ROTISSERIA FILE TILAPIA ASSADA BENDITO KG</t>
  </si>
  <si>
    <t>008367 - ROTISSERIA FILE TILAPIA GRELHADA BENDITO KG</t>
  </si>
  <si>
    <t>001560 - ROTISSERIA FILE TILAPIA GRELHADA KG</t>
  </si>
  <si>
    <t>008371 - ROTISSERIA FILE TILAPIA MILANESA BENDITO KG</t>
  </si>
  <si>
    <t>001706 - ROTISSERIA FILE TILAPIA MILANESA KG</t>
  </si>
  <si>
    <t>008372 - ROTISSERIA FRALDINHA ASSADA BENDITO KG</t>
  </si>
  <si>
    <t>003682 - ROTISSERIA FRALDINHA ASSADA KG</t>
  </si>
  <si>
    <t>008374 - ROTISSERIA FRALDINHA BENDITO KG</t>
  </si>
  <si>
    <t>001814 - ROTISSERIA FRALDINHA KG</t>
  </si>
  <si>
    <t>008375 - ROTISSERIA FRANGO ASSADO C/FAROFA BENDITO KG</t>
  </si>
  <si>
    <t>003156 - ROTISSERIA FRANGO ASSADO C/FAROFA KG</t>
  </si>
  <si>
    <t>008379 - ROTISSERIA FRANGO DE PANELA BENDITO KG</t>
  </si>
  <si>
    <t>096119 - ROTISSERIA FRANGO DE PANELA KG</t>
  </si>
  <si>
    <t>004083 - ROTISSERIA FRANGO DESOSSADO RECHEADO</t>
  </si>
  <si>
    <t>008380 - ROTISSERIA FRANGO DESOSSADO RECHEADO BENDITO KG</t>
  </si>
  <si>
    <t>094313 - ROTISSERIA FRANGO XADREZ KG</t>
  </si>
  <si>
    <t>008383 - ROTISSERIA FRICASSE DE FRANGO BENDITO KG</t>
  </si>
  <si>
    <t>109163 - ROTISSERIA FRICASSE DE FRANGO KG</t>
  </si>
  <si>
    <t>008384 - ROTISSERIA GALINHADA BENDITO KG</t>
  </si>
  <si>
    <t>008385 - ROTISSERIA GELEIA DE PIMENTA C/ABACAXI BENDITO KG</t>
  </si>
  <si>
    <t>004642 - ROTISSERIA GELEIA DE PIMENTA C/ABACAXI KG</t>
  </si>
  <si>
    <t>005688 - ROTISSERIA GELEIA DE PIMENTA C/ CREAM CHEESE 200 GR</t>
  </si>
  <si>
    <t>005687 - ROTISSERIA GELEIA DE PIMENTA KG</t>
  </si>
  <si>
    <t>008387 - ROTISSERIA HAMBURGUER FRANGO BENDITO KG</t>
  </si>
  <si>
    <t>004141 - ROTISSERIA HAMBURGUER FRANGO KG</t>
  </si>
  <si>
    <t>008389 - ROTISSERIA HAMBURGUER GOURMET BENDITO KG</t>
  </si>
  <si>
    <t>008390 - ROTISSERIA ISCA DE FRANGO ACEBOLADA BENDITO KG</t>
  </si>
  <si>
    <t>008392 - ROTISSERIA JILO REFOGADO BENDITO KG</t>
  </si>
  <si>
    <t>095389 - ROTISSERIA JOELHO PORCO ASSADO KG</t>
  </si>
  <si>
    <t>093466 - ROTISSERIA LAGARTO AO MOLHO MADEIRA KG</t>
  </si>
  <si>
    <t>008397 - ROTISSERIA LAGARTO ASSADO BENDITO KG</t>
  </si>
  <si>
    <t>008398 - ROTISSERIA LAGARTO RECH AO MOLHO MADEIRA BENDITO KG</t>
  </si>
  <si>
    <t>005764 - ROTISSERIA LAGARTO RECH AO MOLHO MADEIRA KG</t>
  </si>
  <si>
    <t>008399 - ROTISSERIA LASANHA ABOBRINHA BENDITO KG</t>
  </si>
  <si>
    <t>003706 - ROTISSERIA LASANHA ABOBRINHA KG</t>
  </si>
  <si>
    <t>008401 - ROTISSERIA LASANHA A BOLONHESA MASSA FRESCA BENDITO KG</t>
  </si>
  <si>
    <t>008402 - ROTISSERIA LASANHA BERINJELA BENDITO KG</t>
  </si>
  <si>
    <t>008404 - ROTISSERIA LEGUMES REFOGADO BENDITO KG</t>
  </si>
  <si>
    <t>008408 - ROTISSERIA LINGUICA ARTESANAL ASSADA BENDITO KG</t>
  </si>
  <si>
    <t>008410 - ROTISSERIA LINGUICA FRANGO ASSADA BENDITO KG</t>
  </si>
  <si>
    <t>008416 - ROTISSERIA LINGUICA RECHEADA ASSADA BENDITO KG</t>
  </si>
  <si>
    <t>008424 - ROTISSERIA LINGUICINHA FINININHA BENDITO KG</t>
  </si>
  <si>
    <t>008426 - ROTISSERIA LOMBO ASSADO BENDITO KG</t>
  </si>
  <si>
    <t>008427 - ROTISSERIA LOMBO EMPANADO BENDITO KG</t>
  </si>
  <si>
    <t>004980 - ROTISSERIA LOMBO RECHEADO 1KG</t>
  </si>
  <si>
    <t>036026 - ROTISSERIA LOMBO RECHEADO BENDITO 1KG</t>
  </si>
  <si>
    <t>008435 - ROTISSERIA LOMBO RECHEADO BENDITO KG</t>
  </si>
  <si>
    <t>008436 - ROTISSERIA MACARRAO ALHO E OLEO BENDITO KG</t>
  </si>
  <si>
    <t>100058 - ROTISSERIA MACARRAO ALHO E OLEO KG</t>
  </si>
  <si>
    <t>102857 - ROTISSERIA MACARRAO ALHO E OLEO KG</t>
  </si>
  <si>
    <t>008438 - ROTISSERIA MACARRAO A MODA BENDITO KG</t>
  </si>
  <si>
    <t>008439 - ROTISSERIA MACARRAO AO MOLHO BRANCO BENDITO KG</t>
  </si>
  <si>
    <t>107413 - ROTISSERIA MACARRAO AO MOLHO BRANCO KG</t>
  </si>
  <si>
    <t>008474 - ROTISSERIA MACARRAO BENDITO KG</t>
  </si>
  <si>
    <t>008441 - ROTISSERIA MACARRAO C/ALMONDEGA BENDITO KG</t>
  </si>
  <si>
    <t>008326 - ROTISSERIA MACARRAO C/CHEDDAR E BACON</t>
  </si>
  <si>
    <t>008444 - ROTISSERIA MACARRAO C/ MOLHO PESTO BENDITO KG</t>
  </si>
  <si>
    <t>008445 - ROTISSERIA MACARRAO COM BACALHAU BENDITO KG</t>
  </si>
  <si>
    <t>008450 - ROTISSERIA MACARRAO C/SALSICHA BENDITO KG</t>
  </si>
  <si>
    <t>008459 - ROTISSERIA MACARRAO ESPECIAL BENDITO KG</t>
  </si>
  <si>
    <t>001998 - ROTISSERIA MACARRAO ESPECIAL KG</t>
  </si>
  <si>
    <t>008465 - ROTISSERIA MACARRAO INTEGRAL ALHO PORO TOMATE BENDITO KG</t>
  </si>
  <si>
    <t>008473 - ROTISSERIA MACARRAO INTEGRAL C/ MOLHO PESTO BENDITO KG</t>
  </si>
  <si>
    <t>110332 - ROTISSERIA MACARRAO KG</t>
  </si>
  <si>
    <t>008475 - ROTISSERIA MACARRAO MOLHO BRANCO C/ALHO PORO BENDITO KG</t>
  </si>
  <si>
    <t>008479 - ROTISSERIA MACARRAO PRIMAVERA BENDITO KG</t>
  </si>
  <si>
    <t>002957 - ROTISSERIA MACARRAO PRIMAVERA KG</t>
  </si>
  <si>
    <t>094461 - ROTISSERIA MACARRONADA A BOLONHESA KG</t>
  </si>
  <si>
    <t>008481 - ROTISSERIA MAC.SPAGUETI M.ALMONDEGA FGO BENDITO KG</t>
  </si>
  <si>
    <t>006237 - ROTISSERIA MAC.SPAGUETI M.ALMONDEGA FGO KG</t>
  </si>
  <si>
    <t>008483 - ROTISSERIA MAIONESE BENDITO KG</t>
  </si>
  <si>
    <t>093469 - ROTISSERIA MAIONESE KG</t>
  </si>
  <si>
    <t>100865 - ROTISSERIA MAMINHA ASSADA</t>
  </si>
  <si>
    <t>008485 - ROTISSERIA MANDIOCA FRITA BENDITO KG</t>
  </si>
  <si>
    <t>096166 - ROTISSERIA MANDIOCA FRITA KG</t>
  </si>
  <si>
    <t>094146 - ROTISSERIA MEDALHAO FRANGO KG</t>
  </si>
  <si>
    <t>008492 - ROTISSERIA MEDALHAO SUINO BENDITO KG</t>
  </si>
  <si>
    <t>094808 - ROTISSERIA MEDALHAO SUINO DESCONTAO KG</t>
  </si>
  <si>
    <t>008493 - ROTISSERIA MILHO REFOGADO BENDITO KG</t>
  </si>
  <si>
    <t>100583 - ROTISSERIA MILHO REFOGADO KG</t>
  </si>
  <si>
    <t>008494 - ROTISSERIA MIX CHURRASCO BENDITO KG</t>
  </si>
  <si>
    <t>006815 - ROTISSERIA MIX CHURRASCO KG</t>
  </si>
  <si>
    <t>008497 - ROTISSERIA MIX LEGUMES ASSADO BENDITO KG</t>
  </si>
  <si>
    <t>001984 - ROTISSERIA MIX LEGUMES ASSADO KG</t>
  </si>
  <si>
    <t>004651 - ROTISSERIA MOLHO PIMENTA ARTESANAL</t>
  </si>
  <si>
    <t>008502 - ROTISSERIA NHOQUE DE BATATA C/ CARNE BENDITO KG</t>
  </si>
  <si>
    <t>093473 - ROTISSERIA NHOQUE DE BATATA C/ CARNE KG</t>
  </si>
  <si>
    <t>008503 - ROTISSERIA OMELETE DE FORNO BENDITO KG</t>
  </si>
  <si>
    <t>006519 - ROTISSERIA OMELETE DE FORNO KG</t>
  </si>
  <si>
    <t>008505 - ROTISSERIA OVOS COZIDO BENDITO KG</t>
  </si>
  <si>
    <t>005299 - ROTISSERIA OVOS COZIDO KG</t>
  </si>
  <si>
    <t>008506 - ROTISSERIA OVOS FRITOS BENDITO KG</t>
  </si>
  <si>
    <t>005312 - ROTISSERIA OVOS FRITOS KG</t>
  </si>
  <si>
    <t>008507 - ROTISSERIA PANCETA ASSADA BENDITO KG</t>
  </si>
  <si>
    <t>098130 - ROTISSERIA PANCETA ASSADA KG</t>
  </si>
  <si>
    <t>008518 - ROTISSERIA PANCETA PURURUCA BENDITO KG</t>
  </si>
  <si>
    <t>001293 - ROTISSERIA PANCETA PURURUCA KG</t>
  </si>
  <si>
    <t>006991 - ROTISSERIA PANQUECA 3 QUEJOS KG</t>
  </si>
  <si>
    <t>006998 - ROTISSERIA PANQUECA 3 QUEJOS KG</t>
  </si>
  <si>
    <t>008525 - ROTISSERIA PANQUECA CALABRESA BENDITO KG</t>
  </si>
  <si>
    <t>006578 - ROTISSERIA PANQUECA CALABRESA KG</t>
  </si>
  <si>
    <t>008526 - ROTISSERIA PANQUECA CARNE QUEIJO BENDITO KG</t>
  </si>
  <si>
    <t>005753 - ROTISSERIA PANQUECA CARNE QUEIJO KG</t>
  </si>
  <si>
    <t>105406 - ROTISSERIA PANQUECA DE CARNE AO POMODORO</t>
  </si>
  <si>
    <t>008529 - ROTISSERIA PANQUECA DE CARNE AO POMODORO BENDITO KG</t>
  </si>
  <si>
    <t>008532 - ROTISSERIA PANQUECA DE FRANGO BENDITO KG</t>
  </si>
  <si>
    <t>105407 - ROTISSERIA PANQUECA DE FRANGO KG</t>
  </si>
  <si>
    <t>008541 - ROTISSERIA PANQUECA FRANGO C REQUEIJAO BENDITO KG</t>
  </si>
  <si>
    <t>005752 - ROTISSERIA PANQUECA FRANGO C REQUEIJAO KG</t>
  </si>
  <si>
    <t>006032 - ROTISSERIA PANQUECA INTEGRAL DE BETERRABA COM FRANGO KG</t>
  </si>
  <si>
    <t>006031 - ROTISSERIA PANQUECA INTEGRAL DE COUVE COM CARNE MOIDA KG</t>
  </si>
  <si>
    <t>008544 - ROTISSERIA PANQUECA PRESUNTO E MUSSARELA BENDITO KG</t>
  </si>
  <si>
    <t>093471 - ROTISSERIA PANQUECA PRESUNTO E MUSSARELA KG</t>
  </si>
  <si>
    <t>008545 - ROTISSERIA PANQUECA S/MOLHO CARNE BENDITO KG</t>
  </si>
  <si>
    <t>006834 - ROTISSERIA PANQUECA S/MOLHO CARNE KG</t>
  </si>
  <si>
    <t>008546 - ROTISSERIA PANQUECA S/MOLHO FRANGO BENDITO KG</t>
  </si>
  <si>
    <t>006833 - ROTISSERIA PANQUECA S/MOLHO FRANGO KG</t>
  </si>
  <si>
    <t>008547 - ROTISSERIA PANQUECA S/MOLHO PRESUNTO E QUEIJO BENDITO KG</t>
  </si>
  <si>
    <t>006832 - ROTISSERIA PANQUECA S/MOLHO PRESUNTO E QUEIJO KG</t>
  </si>
  <si>
    <t>027995 - ROTISSERIA PATE ALHO 180GR</t>
  </si>
  <si>
    <t>008548 - ROTISSERIA PATE ALHO BENDITO 180GR</t>
  </si>
  <si>
    <t>003221 - ROTISSERIA PATE ALHO C/ AZEITONA PRETA</t>
  </si>
  <si>
    <t>008549 - ROTISSERIA PATE ALHO C/ AZEITONA PRETA BENDITO KG</t>
  </si>
  <si>
    <t>003219 - ROTISSERIA PATE ALHO KG</t>
  </si>
  <si>
    <t>008552 - ROTISSERIA PATE BACONESE BENDITO KG</t>
  </si>
  <si>
    <t>006558 - ROTISSERIA PATE BACONESE KG</t>
  </si>
  <si>
    <t>001613 - ROTISSERIA PATE DE ALHO CROCANTE KG</t>
  </si>
  <si>
    <t>027997 - ROTISSERIA PATE DE RICOTA 180GR</t>
  </si>
  <si>
    <t>008553 - ROTISSERIA PATE DE RICOTA BENDITO 180GR</t>
  </si>
  <si>
    <t>008554 - ROTISSERIA PATE DE RICOTA BENDITO KG</t>
  </si>
  <si>
    <t>004347 - ROTISSERIA PATE DE RICOTA KG</t>
  </si>
  <si>
    <t>008555 - ROTISSERIA PATE GORGONZOLA BENDITO KG</t>
  </si>
  <si>
    <t>006835 - ROTISSERIA PATE GORGONZOLA KG</t>
  </si>
  <si>
    <t>008556 - ROTISSERIA PATE PIMENTA BIQUINHO BENDITO KG</t>
  </si>
  <si>
    <t>006689 - ROTISSERIA PATE PIMENTA BIQUINHO KG</t>
  </si>
  <si>
    <t>094812 - ROTISSERIA PEIXE ASSADO</t>
  </si>
  <si>
    <t>008557 - ROTISSERIA PEIXE ASSADO BENDITO KG</t>
  </si>
  <si>
    <t>006901 - ROTISSERIA PENNE MOLHO BECHAMEL C/ BROCOLIS E BACON</t>
  </si>
  <si>
    <t>008559 - ROTISSERIA PENNE MOLHO BECHAMEL C/ BROCOLIS E BACON BENDITO</t>
  </si>
  <si>
    <t>008563 - ROTISSERIA PERNIL ACEBOLADO BENDITO KG</t>
  </si>
  <si>
    <t>093485 - ROTISSERIA PERNIL ACEBOLADO KG</t>
  </si>
  <si>
    <t>008565 - ROTISSERIA PERNIL ASSADO C/OSSO BENDITO KG</t>
  </si>
  <si>
    <t>101682 - ROTISSERIA PERNIL ASSADO C/OSSO KG</t>
  </si>
  <si>
    <t>093651 - ROTISSERIA PERNIL ASSADO DESOSSADO KG</t>
  </si>
  <si>
    <t>008566 - ROTISSERIA PERNIL DE PANELA BENDITO KG</t>
  </si>
  <si>
    <t>094646 - ROTISSERIA PERNIL DE PANELA KG</t>
  </si>
  <si>
    <t>008568 - ROTISSERIA PICADINHO CARNE ASSADA BENDITO KG</t>
  </si>
  <si>
    <t>097608 - ROTISSERIA PICADINHO CARNE ASSADA KG</t>
  </si>
  <si>
    <t>008569 - ROTISSERIA PICANHA ASSADA BENDITO KG</t>
  </si>
  <si>
    <t>099666 - ROTISSERIA PICANHA ASSADA KG</t>
  </si>
  <si>
    <t>101183 - ROTISSERIA POLENTA AO MOLHO KG</t>
  </si>
  <si>
    <t>008572 - ROTISSERIA POLENTA COM COUVE E FRANGO BENDITO KG</t>
  </si>
  <si>
    <t>008574 - ROTISSERIA POLENTA COM COUVE E FRANGO BENDITO UND</t>
  </si>
  <si>
    <t>005966 - ROTISSERIA POLENTA COM COUVE E FRANGO KG</t>
  </si>
  <si>
    <t>004699 - ROTISSERIA POLENTA COM COUVE E FRANGO UND</t>
  </si>
  <si>
    <t>008575 - ROTISSERIA POLPETONE ITALIANO BENDITO KG</t>
  </si>
  <si>
    <t>005686 - ROTISSERIA POLPETONE ITALIANO KG</t>
  </si>
  <si>
    <t>008577 - ROTISSERIA PONTA DE PEITO ASSADA BENDITO KG</t>
  </si>
  <si>
    <t>094424 - ROTISSERIA PONTA DE PEITO ASSADA KG</t>
  </si>
  <si>
    <t>096543 - ROTISSERIA PONTA PEITO ASSADA UNIDADE</t>
  </si>
  <si>
    <t>008578 - ROTISSERIA POSTA DE TILAPIA BENDITO KG</t>
  </si>
  <si>
    <t>005848 - ROTISSERIA POSTA DE TILAPIA KG</t>
  </si>
  <si>
    <t>008580 - ROTISSERIA PRIME RIB ASSADO BENDITO KG</t>
  </si>
  <si>
    <t>002822 - ROTISSERIA PRIME RIB ASSADO KG</t>
  </si>
  <si>
    <t>093489 - ROTISSERIA PURE DE BATATA KG</t>
  </si>
  <si>
    <t>008599 - ROTISSERIA PURE DE MANDIOQUINHA BENDITO KG</t>
  </si>
  <si>
    <t>001227 - ROTISSERIA PURE DE MANDIOQUINHA KG</t>
  </si>
  <si>
    <t>094238 - ROTISSERIA QUIBE ASSADO KG</t>
  </si>
  <si>
    <t>008605 - ROTISSERIA QUIBEBE DE MANDIOCA BENDITO KG</t>
  </si>
  <si>
    <t>003480 - ROTISSERIA QUIBEBE DE MANDIOCA KG</t>
  </si>
  <si>
    <t>008614 - ROTISSERIA QUIBE FRITO BENDITO KG</t>
  </si>
  <si>
    <t>095180 - ROTISSERIA QUIBE FRITO KG</t>
  </si>
  <si>
    <t>008616 - ROTISSERIA QUIBE RECHEADO BENDITO KG</t>
  </si>
  <si>
    <t>102073 - ROTISSERIA QUIBE RECHEADO KG</t>
  </si>
  <si>
    <t>008619 - ROTISSERIA RABADA AO MOLHO BENDITO KG</t>
  </si>
  <si>
    <t>094692 - ROTISSERIA RABADA AO MOLHO KG</t>
  </si>
  <si>
    <t>008624 - ROTISSERIA RABADA COM POLENTA BENDITO KG</t>
  </si>
  <si>
    <t>003456 - ROTISSERIA RABADA COM POLENTA KG</t>
  </si>
  <si>
    <t>008633 - ROTISSERIA REPOLHO REFOGADO BENDITO KG</t>
  </si>
  <si>
    <t>098190 - ROTISSERIA REPOLHO REFOGADO KG</t>
  </si>
  <si>
    <t>008646 - ROTISSERIA ROCAMBOLE DE CARNE MOIDA BENDITO KG</t>
  </si>
  <si>
    <t>093456 - ROTISSERIA ROCAMBOLE DE CARNE MOIDA KG</t>
  </si>
  <si>
    <t>004985 - ROTISSERIA ROCAMBOLE DE FRANGO 650G</t>
  </si>
  <si>
    <t>008647 - ROTISSERIA ROCAMBOLE DE FRANGO BENDITO 650G</t>
  </si>
  <si>
    <t>008648 - ROTISSERIA ROCAMBOLE DE FRANGO BENDITO KG</t>
  </si>
  <si>
    <t>093907 - ROTISSERIA ROCAMBOLE DE FRANGO KG</t>
  </si>
  <si>
    <t>008649 - ROTISSERIA ROCAMBOLE DE KAFTA RECHEADO BENDITO KG</t>
  </si>
  <si>
    <t>001734 - ROTISSERIA ROCAMBOLE DE KAFTA RECHEADO KG</t>
  </si>
  <si>
    <t>008658 - ROTISSERIA ROLE FRANGO RECHEADO BENDITO KG</t>
  </si>
  <si>
    <t>001017 - ROTISSERIA ROLE FRANGO RECHEADO KG</t>
  </si>
  <si>
    <t>003152 - ROTISSERIA RONDELE 4 QUEIJOS</t>
  </si>
  <si>
    <t>008659 - ROTISSERIA RONDELE 4 QUEIJOS BENDITO KG</t>
  </si>
  <si>
    <t>001296 - ROTISSERIA RONDELE FRANGO REQUEIJAO KG</t>
  </si>
  <si>
    <t>008667 - ROTISSERIA RONDELE PRESUNTO MUSSARELA BOLONHESA BENDITO KG</t>
  </si>
  <si>
    <t>093480 - ROTISSERIA RONDELE PRESUNTO MUSSARELA BOLONHESA KG</t>
  </si>
  <si>
    <t>009121 - ROTISSERIA RUCULA C/CREAM CHEESE BENDITO UN</t>
  </si>
  <si>
    <t>008668 - ROTISSERIA SALADA BATATA DOCE BENDITO KG</t>
  </si>
  <si>
    <t>008688 - ROTISSERIA SALADA CENOURA BENDITO KG</t>
  </si>
  <si>
    <t>008673 - ROTISSERIA SALADA CENOURA/BETERRABA BENDITO KG</t>
  </si>
  <si>
    <t>003232 - ROTISSERIA SALADA CENOURA/BETERRABA KG</t>
  </si>
  <si>
    <t>008674 - ROTISSERIA SALADA CENOURA C/CHUCHU BENDITO KG</t>
  </si>
  <si>
    <t>008689 - ROTISSERIA SALADA CENOURA/VAGEM/MANDIOQ BENDITO KG</t>
  </si>
  <si>
    <t>008694 - ROTISSERIA SALADA DE BERINJELA BENDITO KG</t>
  </si>
  <si>
    <t>005497 - ROTISSERIA SALADA DE BETERRABA KG</t>
  </si>
  <si>
    <t>008703 - ROTISSERIA SALADA DE BROCOLIS BENDITO KG</t>
  </si>
  <si>
    <t>008702 - ROTISSERIA SALADA DE BROCOLIS C/COUVE FLOR BENDITO KG</t>
  </si>
  <si>
    <t>105400 - ROTISSERIA SALADA DE CHUCHU KG</t>
  </si>
  <si>
    <t>008704 - ROTISSERIA SALADA DE COUVE FLOR BENDITO KG</t>
  </si>
  <si>
    <t>094885 - ROTISSERIA SALADA DE COUVE FLOR KG</t>
  </si>
  <si>
    <t>008707 - ROTISSERIA SALADA DE GRAO DE BICO C/ ATUM BENDITO KG</t>
  </si>
  <si>
    <t>008712 - ROTISSERIA SALADA DE GRAO DE BICO C/BACALHAU BENDITO KG</t>
  </si>
  <si>
    <t>008714 - ROTISSERIA SALADA DE JILO BENDITO KG</t>
  </si>
  <si>
    <t>105659 - ROTISSERIA SALADA DE JILO DESCONTAO KG</t>
  </si>
  <si>
    <t>008725 - ROTISSERIA SALADA DE MACARRAO BENDITO KG</t>
  </si>
  <si>
    <t>008716 - ROTISSERIA SALADA DE MACARRAO BIFUM BENDITO KG</t>
  </si>
  <si>
    <t>001490 - ROTISSERIA SALADA DE MACARRAO BIFUM KG</t>
  </si>
  <si>
    <t>008726 - ROTISSERIA SALADA DE VINAGRETE BENDITO KG</t>
  </si>
  <si>
    <t>004593 - ROTISSERIA SALADA DE VINAGRETE KG</t>
  </si>
  <si>
    <t>008727 - ROTISSERIA SALADA FEIJAO BRANCO BENDITO KG</t>
  </si>
  <si>
    <t>008728 - ROTISSERIA SALADA FRIA BENDITO KG</t>
  </si>
  <si>
    <t>008729 - ROTISSERIA SALADA MANDIOCA VINAGRETE BENDITO KG</t>
  </si>
  <si>
    <t>008964 - ROTISSERIA SALADA MIX DE FOLHA C/PEITO PERU BENDITO</t>
  </si>
  <si>
    <t>008960 - ROTISSERIA SALADA MIX DE FOLHA E LEGUMES C/PROTEINAS KG</t>
  </si>
  <si>
    <t>008759 - ROTISSERIA SALADA MIX LEGUMES BENDITO KG</t>
  </si>
  <si>
    <t>008769 - ROTISSERIA SALADA OVO CODORNA MIX BENDITO KG</t>
  </si>
  <si>
    <t>009125 - ROTISSERIA SALADA POKE DE KANI BENDITO UN</t>
  </si>
  <si>
    <t>009126 - ROTISSERIA SALADA POKE DE SALMAO GRELHADO BENDITO UN</t>
  </si>
  <si>
    <t>008782 - ROTISSERIA SALADA QUIABO BENDITO KG</t>
  </si>
  <si>
    <t>009120 - ROTISSERIA SALMAO GRELHADO BEDNITO UN</t>
  </si>
  <si>
    <t>008790 - ROTISSERIA SALPICAO BENDITO KG</t>
  </si>
  <si>
    <t>008791 - ROTISSERIA SALSICHA AO MOLHO BENDITO KG</t>
  </si>
  <si>
    <t>102528 - ROTISSERIA SALSICHA AO MOLHO KG</t>
  </si>
  <si>
    <t>008801 - ROTISSERIA SOBRECOXA DE FRANGO DE PANELA BENDITO KG</t>
  </si>
  <si>
    <t>111271 - ROTISSERIA SOBRECOXA DE FRANGO DE PANELA KG</t>
  </si>
  <si>
    <t>008821 - ROTISSERIA SOBRECOXA RECHEADA BENDITO KG</t>
  </si>
  <si>
    <t>093965 - ROTISSERIA SOBRECOXA RECHEADA KG</t>
  </si>
  <si>
    <t>008824 - ROTISSERIA SOFIATELLI PRESUNTO E MUSSARELA BENDITO KG</t>
  </si>
  <si>
    <t>006435 - ROTISSERIA SOFIATELLI PRESUNTO E MUSSARELA KG</t>
  </si>
  <si>
    <t>008829 - ROTISSERIA SOFIATELLI Q.QUEIJO BENDITO KG</t>
  </si>
  <si>
    <t>006437 - ROTISSERIA SOFIATELLI Q.QUEIJO KG</t>
  </si>
  <si>
    <t>009122 - ROTISSERIA SUSHI TOMATE SECO BENDITO UN</t>
  </si>
  <si>
    <t>008846 - ROTISSERIA TENDER BOLINHA BENDITO UN</t>
  </si>
  <si>
    <t>036049 - ROTISSERIA TENDER BOLINHA BENDITO UN</t>
  </si>
  <si>
    <t>008847 - ROTISSERIA TIRINHA DE CARNE BENDITO KG</t>
  </si>
  <si>
    <t>008854 - ROTISSERIA TIRINHA MERLUZA EMPANADA BENDITO KG</t>
  </si>
  <si>
    <t>006768 - ROTISSERIA TIRINHA MERLUZA EMPANADA KG</t>
  </si>
  <si>
    <t>008855 - ROTISSERIA TIRINHA TILAPIA EMPANADA BENDITO KG</t>
  </si>
  <si>
    <t>002829 - ROTISSERIA TIRINHA TILAPIA EMPANADA KG</t>
  </si>
  <si>
    <t>008862 - ROTISSERIA TOMATE CONFIT BENDITO KG</t>
  </si>
  <si>
    <t>008863 - ROTISSERIA TOMATE RECHEADO BENDITO KG</t>
  </si>
  <si>
    <t>008872 - ROTISSERIA TULIPA ASSADA BENDITO KG</t>
  </si>
  <si>
    <t>008874 - ROTISSERIA TUTU DE FEIJAO BENDITO KG</t>
  </si>
  <si>
    <t>096167 - ROTISSERIA TUTU DE FEIJAO KG</t>
  </si>
  <si>
    <t>008895 - ROTISSERIA VACA ATOLADA BENDITO KG</t>
  </si>
  <si>
    <t>008898 - ROTISSERIA YAKISSOBA INTEGRAL BENDITO KG</t>
  </si>
  <si>
    <t>001669 - ROTISSERIA YAKISSOBA KG</t>
  </si>
  <si>
    <t>008542 - ROT.PANQUECA INTEGRAL BETERRABA C/FRANGO BENDITO KG</t>
  </si>
  <si>
    <t>008543 - ROT.PANQUECA INTEGRAL DE COUVE COM CARNE MOIDA BENDITO KG</t>
  </si>
  <si>
    <t>006872 - ROT REFFRIGERADO FEIJOADA KG</t>
  </si>
  <si>
    <t>006925 - ROT REFRIGERADA COSTELINHA PORCO MOLHO BARBECUE UN</t>
  </si>
  <si>
    <t>005988 - ROT REFRIGERADO BOBO DE FRANGO KG</t>
  </si>
  <si>
    <t>005932 - ROT REFRIGERADO CALDO DE CABOTIA COM CARNE SECA KG</t>
  </si>
  <si>
    <t>005937 - ROT REFRIGERADO CALDO DE MANDIOCA KG</t>
  </si>
  <si>
    <t>005933 - ROT REFRIGERADO CALDO DE MANDIOQUINHA COM BACON KG</t>
  </si>
  <si>
    <t>093444 - ROT REFRIGERADO CANELONE AO MOLHO SUGO KG</t>
  </si>
  <si>
    <t>005768 - ROT REFRIGERADO CANELONE PRESUNTO E MUSSARELA AO PESTO KG</t>
  </si>
  <si>
    <t>006910 - ROT REFRIGERADO CARNE MOIDA COM LEGUMES KG</t>
  </si>
  <si>
    <t>005935 - ROT REFRIGERADO CARNE PANELA C BATATA KG</t>
  </si>
  <si>
    <t>001859 - ROT REFRIGERADO COSTELINHA MOLHO BARBECUE KG</t>
  </si>
  <si>
    <t>006875 - ROT REFRIGERADO COUVE KG</t>
  </si>
  <si>
    <t>006906 - ROT REFRIGERADO DOBRADINHA KG</t>
  </si>
  <si>
    <t>006896 - ROT REFRIGERADO ESPAGUETE A BOLONHESA</t>
  </si>
  <si>
    <t>006904 - ROT REFRIGERADO ESPAGUETE + POLPETONE</t>
  </si>
  <si>
    <t>005974 - ROT REFRIGERADO FILE FRANGO A PARMEGIANA KG</t>
  </si>
  <si>
    <t>001857 - ROT REFRIGERADO LAGARTO AO MOLHO MADEIRA KG</t>
  </si>
  <si>
    <t>006077 - ROT REFRIGERADO LASANHA DE BROCOLIS E QUEIJO KG</t>
  </si>
  <si>
    <t>005975 - ROT REFRIGERADO MAMINHA AO MOLHO MADEIRA KG</t>
  </si>
  <si>
    <t>002764 - ROT REFRIGERADO NHOQUE A BOLONHESA KG</t>
  </si>
  <si>
    <t>005908 - ROT REFRIGERADO PANQUECA DE ESPINAFRE KG</t>
  </si>
  <si>
    <t>006874 - ROT REFRIGERADO PENNE AO MOLHO BRANCO C/BACON</t>
  </si>
  <si>
    <t>006898 - ROT REFRIGERADO PENNE MOLHO BECHAMEL BROCOLIS E BACON</t>
  </si>
  <si>
    <t>003129 - ROT REFRIGERADO PERNIL ASSADO AO MOLHO FERRUGEM KG</t>
  </si>
  <si>
    <t>006893 - ROT REFRIGERADO REFEICAO CARNE MOIDA C/ LEGUMES</t>
  </si>
  <si>
    <t>005395 - ROT REFRIGERADO REFEICAO FEIJOADA UN</t>
  </si>
  <si>
    <t>006894 - ROT REFRIGERADO REFEICAO LAGARTO MOLHO MADEIRA</t>
  </si>
  <si>
    <t>006876 - ROT REFRIGERADO REFEICAO STROGONOFF FRANGO UN</t>
  </si>
  <si>
    <t>005782 - ROT REFRIGERADO RONDELE RICOTA E ALHO PORO AO MOLHO SUGO KG</t>
  </si>
  <si>
    <t>005775 - ROT REFRIGERADO RONDELLI RICOTA COM ALHO PORO AO SUGO KG</t>
  </si>
  <si>
    <t>001861 - ROT REFRIGERADO STROGONOFE DE FRANGO KG</t>
  </si>
  <si>
    <t>008904 - SALADA PRIMAVERA BENDITO KG</t>
  </si>
  <si>
    <t>008901 - SALADA PRIMAVERA GRANDE BENDITO UND</t>
  </si>
  <si>
    <t>036055 - SALADA PRIMAVERA PEQUENA BENDITO UND</t>
  </si>
  <si>
    <t>008905 - SOPA DE LEGUMES COM FRANGO BENDITO KG</t>
  </si>
  <si>
    <t>008907 - STEAK DE FRANGO BENDITO KG</t>
  </si>
  <si>
    <t>008908 - SUI PROD.BANHA BENDITO KG</t>
  </si>
  <si>
    <t>007065 - SUI PROD.BANHA KG</t>
  </si>
  <si>
    <t>007075 - SUI PROD.TORRESMO FRITO KG</t>
  </si>
  <si>
    <t>SEGUNDA (LOJA 1 BENDITO-ROTISSERIA)</t>
  </si>
  <si>
    <t>SUJESTÃO DE PEDIDO</t>
  </si>
  <si>
    <t>INFORMAÇÕES DO PEDIDO</t>
  </si>
  <si>
    <t>INFORMAÇÕES SUGESTÃO DE PEDIDO</t>
  </si>
  <si>
    <t>QTD</t>
  </si>
  <si>
    <t>KG/UN</t>
  </si>
  <si>
    <t>P.PADRÃO</t>
  </si>
  <si>
    <t>Q.PCT</t>
  </si>
  <si>
    <t>PREÇO</t>
  </si>
  <si>
    <t>TOTAL</t>
  </si>
  <si>
    <t>VENDA QTD</t>
  </si>
  <si>
    <t>EM PCT</t>
  </si>
  <si>
    <t>EM VALORES</t>
  </si>
  <si>
    <t>PERIODO BASE</t>
  </si>
  <si>
    <t>STATUS</t>
  </si>
  <si>
    <t>VALORES</t>
  </si>
  <si>
    <t>META</t>
  </si>
  <si>
    <t>PEDIDO</t>
  </si>
  <si>
    <t>ULT.VENDA</t>
  </si>
  <si>
    <t>SALADAS C/PROTEINAS</t>
  </si>
  <si>
    <t>pedido</t>
  </si>
  <si>
    <t>SALADAS PROTEICAS</t>
  </si>
  <si>
    <t>POKE /TEMAKI</t>
  </si>
  <si>
    <t>MASSAS/MOLHOS/GELEIAS</t>
  </si>
  <si>
    <t>MOLHOS/PATES/GELEIAS</t>
  </si>
  <si>
    <t>TOTAL ROTISSERIA</t>
  </si>
  <si>
    <t>TERÇA (LOJA 1 BENDITO-ROTISSERIA)</t>
  </si>
  <si>
    <t>TERÇA FEIRA (LOJA 1 BENDITO-ROTISSERIA)</t>
  </si>
  <si>
    <t>DESCRIÇÃO PRODUTO</t>
  </si>
  <si>
    <t>QUARTA (LOJA 1 BENDITO-ROTISSERIA)</t>
  </si>
  <si>
    <t>QUINTA (LOJA 1 BENDITO-PRODUÇÃO PADARIA)</t>
  </si>
  <si>
    <t>QUINTA (LOJA 1 BENDITO-ROTISSERIA)</t>
  </si>
  <si>
    <t>MOLHOS</t>
  </si>
  <si>
    <t>SEXTA (LOJA 1 BENDITO-ROTISSERIA)</t>
  </si>
  <si>
    <t>\</t>
  </si>
  <si>
    <t>SABADO (LOJA 1 DESCONTÃO-ROTISSERIA)</t>
  </si>
  <si>
    <t>SABADO (LOJA 1 BENDITO-ROTISSERIA)</t>
  </si>
  <si>
    <t>DOMINGO (LOJA 1 DESCONTÃO-PRODUÇÃO PADARIA)</t>
  </si>
  <si>
    <t>SEGUNDA (LOJA 1 DESCONTÃO-ROTISSERIA)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</si>
</sst>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0.00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0"/>
      <name val="Calibri"/>
    </font>
    <font>
      <b/>
      <sz val="11.0"/>
      <color theme="1"/>
      <name val="Aptos Narrow"/>
    </font>
    <font>
      <color theme="1"/>
      <name val="Calibri"/>
      <scheme val="minor"/>
    </font>
    <font>
      <sz val="10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104861"/>
      <name val="Calibri"/>
    </font>
    <font>
      <sz val="11.0"/>
      <color rgb="FFFFFFFF"/>
      <name val="Calibri"/>
    </font>
    <font>
      <sz val="16.0"/>
      <color theme="0"/>
      <name val="Calibri"/>
    </font>
    <font>
      <b/>
      <sz val="12.0"/>
      <color theme="1"/>
      <name val="Calibri"/>
    </font>
    <font>
      <b/>
      <sz val="10.0"/>
      <color theme="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26.0"/>
      <color theme="1"/>
      <name val="Calibri"/>
    </font>
    <font>
      <sz val="20.0"/>
      <color theme="1"/>
      <name val="Calibri"/>
    </font>
    <font>
      <sz val="11.0"/>
      <color theme="0"/>
      <name val="Calibri"/>
    </font>
    <font>
      <b/>
      <u/>
      <sz val="10.0"/>
      <color theme="0"/>
      <name val="Calibri"/>
    </font>
    <font>
      <b/>
      <u/>
      <sz val="10.0"/>
      <color theme="0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u/>
      <sz val="11.0"/>
      <color theme="1"/>
      <name val="Calibri"/>
    </font>
    <font>
      <b/>
      <u/>
      <sz val="14.0"/>
      <color theme="1"/>
      <name val="Calibri"/>
    </font>
    <font>
      <b/>
      <sz val="14.0"/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5050"/>
        <bgColor rgb="FFFF5050"/>
      </patternFill>
    </fill>
    <fill>
      <patternFill patternType="solid">
        <fgColor rgb="FFFF00FF"/>
        <bgColor rgb="FFFF00FF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44B3E1"/>
        <bgColor rgb="FF44B3E1"/>
      </patternFill>
    </fill>
    <fill>
      <patternFill patternType="solid">
        <fgColor rgb="FFF1A983"/>
        <bgColor rgb="FFF1A983"/>
      </patternFill>
    </fill>
    <fill>
      <patternFill patternType="solid">
        <fgColor rgb="FFADADAD"/>
        <bgColor rgb="FFADADAD"/>
      </patternFill>
    </fill>
    <fill>
      <patternFill patternType="solid">
        <fgColor rgb="FF215C98"/>
        <bgColor rgb="FF215C98"/>
      </patternFill>
    </fill>
    <fill>
      <patternFill patternType="solid">
        <fgColor rgb="FFFF0000"/>
        <bgColor rgb="FFFF0000"/>
      </patternFill>
    </fill>
    <fill>
      <patternFill patternType="solid">
        <fgColor rgb="FF156082"/>
        <bgColor rgb="FF156082"/>
      </patternFill>
    </fill>
    <fill>
      <patternFill patternType="solid">
        <fgColor rgb="FF4EA72E"/>
        <bgColor rgb="FF4EA72E"/>
      </patternFill>
    </fill>
    <fill>
      <patternFill patternType="solid">
        <fgColor rgb="FFBE5014"/>
        <bgColor rgb="FFBE5014"/>
      </patternFill>
    </fill>
    <fill>
      <patternFill patternType="solid">
        <fgColor rgb="FF000000"/>
        <bgColor rgb="FF000000"/>
      </patternFill>
    </fill>
    <fill>
      <patternFill patternType="solid">
        <fgColor rgb="FF104861"/>
        <bgColor rgb="FF104861"/>
      </patternFill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  <fill>
      <patternFill patternType="solid">
        <fgColor rgb="FFC0E6F5"/>
        <bgColor rgb="FFC0E6F5"/>
      </patternFill>
    </fill>
    <fill>
      <patternFill patternType="solid">
        <fgColor rgb="FFDAF2D0"/>
        <bgColor rgb="FFDAF2D0"/>
      </patternFill>
    </fill>
    <fill>
      <patternFill patternType="solid">
        <fgColor rgb="FFFBE2D5"/>
        <bgColor rgb="FFFBE2D5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FF3300"/>
        <bgColor rgb="FFFF3300"/>
      </patternFill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57070"/>
        <bgColor rgb="FF757070"/>
      </patternFill>
    </fill>
    <fill>
      <patternFill patternType="solid">
        <fgColor rgb="FF00B0F0"/>
        <bgColor rgb="FF00B0F0"/>
      </patternFill>
    </fill>
  </fills>
  <borders count="10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thin">
        <color theme="0"/>
      </right>
      <top/>
      <bottom/>
    </border>
    <border>
      <left style="thin">
        <color theme="0"/>
      </left>
      <right/>
      <top/>
      <bottom style="thin">
        <color rgb="FFE7E6E6"/>
      </bottom>
    </border>
    <border>
      <left/>
      <top/>
      <bottom style="thin">
        <color rgb="FFE7E6E6"/>
      </bottom>
    </border>
    <border>
      <top/>
      <bottom style="thin">
        <color rgb="FFE7E6E6"/>
      </bottom>
    </border>
    <border>
      <right style="thin">
        <color theme="0"/>
      </right>
      <top/>
      <bottom style="thin">
        <color rgb="FFE7E6E6"/>
      </bottom>
    </border>
    <border>
      <right style="medium">
        <color rgb="FF000000"/>
      </right>
      <top/>
      <bottom style="thin">
        <color rgb="FFE7E6E6"/>
      </bottom>
    </border>
    <border>
      <left style="thin">
        <color theme="0"/>
      </left>
      <top/>
      <bottom style="thin">
        <color rgb="FFE7E6E6"/>
      </bottom>
    </border>
    <border>
      <right/>
      <top/>
      <bottom style="thin">
        <color rgb="FFE7E6E6"/>
      </bottom>
    </border>
    <border>
      <left style="medium">
        <color rgb="FF000000"/>
      </left>
      <right style="medium">
        <color rgb="FFE7E6E6"/>
      </right>
      <top style="medium">
        <color rgb="FFE7E6E6"/>
      </top>
      <bottom/>
    </border>
    <border>
      <left/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thin">
        <color rgb="FFE7E6E6"/>
      </right>
      <top style="thin">
        <color rgb="FFE7E6E6"/>
      </top>
      <bottom/>
    </border>
    <border>
      <left style="thin">
        <color rgb="FFE7E6E6"/>
      </left>
      <right style="medium">
        <color rgb="FF000000"/>
      </right>
      <top style="thin">
        <color rgb="FFE7E6E6"/>
      </top>
      <bottom/>
    </border>
    <border>
      <left style="medium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rgb="FF000000"/>
      </bottom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000000"/>
      </bottom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/>
      <top style="medium">
        <color theme="1"/>
      </top>
      <bottom style="thin">
        <color rgb="FF000000"/>
      </bottom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</border>
    <border>
      <left/>
      <right style="medium">
        <color rgb="FF000000"/>
      </right>
      <top style="medium">
        <color theme="1"/>
      </top>
      <bottom style="thin">
        <color theme="1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  <bottom/>
    </border>
    <border>
      <left style="medium">
        <color theme="1"/>
      </left>
      <right style="thin">
        <color rgb="FF000000"/>
      </right>
      <top style="medium">
        <color theme="1"/>
      </top>
      <bottom/>
    </border>
    <border>
      <left style="thin">
        <color rgb="FF000000"/>
      </left>
      <right style="medium">
        <color theme="1"/>
      </right>
      <top style="thin">
        <color rgb="FF000000"/>
      </top>
      <bottom/>
    </border>
    <border>
      <left style="medium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medium">
        <color theme="1"/>
      </right>
      <top style="thin">
        <color theme="1"/>
      </top>
      <bottom/>
    </border>
    <border>
      <left/>
      <right style="medium">
        <color rgb="FF000000"/>
      </right>
      <top style="medium">
        <color theme="1"/>
      </top>
      <bottom/>
    </border>
    <border>
      <left style="thin">
        <color rgb="FF000000"/>
      </left>
      <right style="medium">
        <color theme="1"/>
      </right>
      <top style="medium">
        <color theme="1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000000"/>
      </bottom>
    </border>
    <border>
      <left style="medium">
        <color theme="1"/>
      </left>
      <right style="thin">
        <color rgb="FF000000"/>
      </right>
      <top style="medium">
        <color theme="1"/>
      </top>
      <bottom style="medium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</border>
    <border>
      <left style="medium">
        <color theme="1"/>
      </left>
      <right style="thin">
        <color theme="1"/>
      </right>
      <top style="thin">
        <color theme="1"/>
      </top>
      <bottom style="medium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</border>
    <border>
      <left/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E7E6E6"/>
      </left>
      <top/>
      <bottom/>
    </border>
    <border>
      <top/>
      <bottom/>
    </border>
    <border>
      <right/>
      <top/>
      <bottom/>
    </border>
    <border>
      <left/>
      <top/>
      <bottom/>
    </border>
    <border>
      <bottom style="thin">
        <color rgb="FFE7E6E6"/>
      </bottom>
    </border>
    <border>
      <left style="medium">
        <color rgb="FFE7E6E6"/>
      </left>
      <right style="medium">
        <color rgb="FFE7E6E6"/>
      </right>
      <top style="medium">
        <color rgb="FFE7E6E6"/>
      </top>
      <bottom/>
    </border>
    <border>
      <left style="thin">
        <color rgb="FF000000"/>
      </left>
      <right style="medium">
        <color theme="1"/>
      </right>
      <top style="medium">
        <color theme="1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theme="0"/>
      </right>
      <top style="medium">
        <color rgb="FF000000"/>
      </top>
      <bottom/>
    </border>
    <border>
      <left style="thin">
        <color theme="0"/>
      </left>
      <top style="medium">
        <color rgb="FF000000"/>
      </top>
      <bottom style="thin">
        <color rgb="FFE7E6E6"/>
      </bottom>
    </border>
    <border>
      <right/>
      <top style="medium">
        <color rgb="FF000000"/>
      </top>
      <bottom style="thin">
        <color rgb="FFE7E6E6"/>
      </bottom>
    </border>
    <border>
      <left style="thin">
        <color rgb="FF000000"/>
      </left>
      <right/>
      <top style="medium">
        <color theme="1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theme="1"/>
      </top>
      <bottom style="medium">
        <color rgb="FF000000"/>
      </bottom>
    </border>
    <border>
      <left style="thin">
        <color rgb="FF000000"/>
      </left>
      <right/>
      <top style="medium">
        <color theme="1"/>
      </top>
      <bottom/>
    </border>
  </borders>
  <cellStyleXfs count="1">
    <xf borderId="0" fillId="0" fontId="0" numFmtId="0" applyAlignment="1" applyFont="1"/>
  </cellStyleXfs>
  <cellXfs count="4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3" fillId="2" fontId="1" numFmtId="0" xfId="0" applyBorder="1" applyFont="1"/>
    <xf borderId="4" fillId="2" fontId="1" numFmtId="0" xfId="0" applyBorder="1" applyFont="1"/>
    <xf borderId="1" fillId="4" fontId="1" numFmtId="0" xfId="0" applyBorder="1" applyFill="1" applyFont="1"/>
    <xf borderId="2" fillId="5" fontId="2" numFmtId="0" xfId="0" applyBorder="1" applyFill="1" applyFont="1"/>
    <xf borderId="3" fillId="4" fontId="1" numFmtId="0" xfId="0" applyBorder="1" applyFont="1"/>
    <xf borderId="4" fillId="4" fontId="1" numFmtId="0" xfId="0" applyBorder="1" applyFont="1"/>
    <xf borderId="1" fillId="6" fontId="1" numFmtId="0" xfId="0" applyBorder="1" applyFill="1" applyFont="1"/>
    <xf borderId="2" fillId="7" fontId="2" numFmtId="0" xfId="0" applyBorder="1" applyFill="1" applyFont="1"/>
    <xf borderId="3" fillId="6" fontId="1" numFmtId="0" xfId="0" applyBorder="1" applyFont="1"/>
    <xf borderId="4" fillId="6" fontId="1" numFmtId="0" xfId="0" applyBorder="1" applyFont="1"/>
    <xf borderId="1" fillId="8" fontId="1" numFmtId="0" xfId="0" applyBorder="1" applyFill="1" applyFont="1"/>
    <xf borderId="2" fillId="9" fontId="2" numFmtId="0" xfId="0" applyBorder="1" applyFill="1" applyFont="1"/>
    <xf borderId="3" fillId="8" fontId="1" numFmtId="0" xfId="0" applyBorder="1" applyFont="1"/>
    <xf borderId="4" fillId="8" fontId="1" numFmtId="0" xfId="0" applyBorder="1" applyFont="1"/>
    <xf borderId="1" fillId="10" fontId="1" numFmtId="0" xfId="0" applyBorder="1" applyFill="1" applyFont="1"/>
    <xf borderId="2" fillId="4" fontId="2" numFmtId="0" xfId="0" applyBorder="1" applyFont="1"/>
    <xf borderId="3" fillId="10" fontId="1" numFmtId="0" xfId="0" applyBorder="1" applyFont="1"/>
    <xf borderId="4" fillId="10" fontId="1" numFmtId="0" xfId="0" applyBorder="1" applyFont="1"/>
    <xf borderId="1" fillId="11" fontId="1" numFmtId="0" xfId="0" applyBorder="1" applyFill="1" applyFont="1"/>
    <xf borderId="2" fillId="12" fontId="2" numFmtId="0" xfId="0" applyBorder="1" applyFill="1" applyFont="1"/>
    <xf borderId="3" fillId="11" fontId="1" numFmtId="0" xfId="0" applyBorder="1" applyFont="1"/>
    <xf borderId="4" fillId="11" fontId="1" numFmtId="0" xfId="0" applyBorder="1" applyFont="1"/>
    <xf borderId="1" fillId="13" fontId="1" numFmtId="0" xfId="0" applyBorder="1" applyFill="1" applyFont="1"/>
    <xf borderId="2" fillId="13" fontId="2" numFmtId="0" xfId="0" applyBorder="1" applyFont="1"/>
    <xf borderId="3" fillId="13" fontId="1" numFmtId="0" xfId="0" applyBorder="1" applyFont="1"/>
    <xf borderId="4" fillId="13" fontId="1" numFmtId="0" xfId="0" applyBorder="1" applyFont="1"/>
    <xf borderId="5" fillId="14" fontId="3" numFmtId="0" xfId="0" applyBorder="1" applyFill="1" applyFont="1"/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5" fillId="15" fontId="1" numFmtId="0" xfId="0" applyAlignment="1" applyBorder="1" applyFill="1" applyFont="1">
      <alignment horizontal="center" vertical="center"/>
    </xf>
    <xf borderId="0" fillId="0" fontId="4" numFmtId="12" xfId="0" applyAlignment="1" applyFont="1" applyNumberFormat="1">
      <alignment horizontal="right" shrinkToFit="0" wrapText="1"/>
    </xf>
    <xf borderId="0" fillId="0" fontId="1" numFmtId="16" xfId="0" applyFont="1" applyNumberFormat="1"/>
    <xf borderId="0" fillId="0" fontId="6" numFmtId="2" xfId="0" applyAlignment="1" applyFont="1" applyNumberFormat="1">
      <alignment vertical="center"/>
    </xf>
    <xf borderId="5" fillId="15" fontId="6" numFmtId="2" xfId="0" applyAlignment="1" applyBorder="1" applyFont="1" applyNumberFormat="1">
      <alignment vertical="center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0" fontId="1" numFmtId="164" xfId="0" applyFont="1" applyNumberFormat="1"/>
    <xf borderId="5" fillId="15" fontId="1" numFmtId="0" xfId="0" applyBorder="1" applyFont="1"/>
    <xf borderId="6" fillId="16" fontId="7" numFmtId="0" xfId="0" applyAlignment="1" applyBorder="1" applyFill="1" applyFont="1">
      <alignment horizontal="center" readingOrder="0" shrinkToFit="0" vertical="bottom" wrapText="0"/>
    </xf>
    <xf borderId="7" fillId="0" fontId="8" numFmtId="0" xfId="0" applyBorder="1" applyFont="1"/>
    <xf borderId="8" fillId="0" fontId="8" numFmtId="0" xfId="0" applyBorder="1" applyFont="1"/>
    <xf borderId="0" fillId="17" fontId="7" numFmtId="0" xfId="0" applyAlignment="1" applyFill="1" applyFont="1">
      <alignment horizontal="center" shrinkToFit="0" vertical="bottom" wrapText="0"/>
    </xf>
    <xf borderId="6" fillId="18" fontId="7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6" fillId="19" fontId="7" numFmtId="0" xfId="0" applyAlignment="1" applyBorder="1" applyFill="1" applyFont="1">
      <alignment horizontal="center" readingOrder="0" shrinkToFit="0" vertical="bottom" wrapText="0"/>
    </xf>
    <xf borderId="6" fillId="20" fontId="7" numFmtId="0" xfId="0" applyAlignment="1" applyBorder="1" applyFill="1" applyFont="1">
      <alignment horizontal="center" readingOrder="0" shrinkToFit="0" vertical="bottom" wrapText="0"/>
    </xf>
    <xf borderId="6" fillId="21" fontId="7" numFmtId="0" xfId="0" applyAlignment="1" applyBorder="1" applyFill="1" applyFont="1">
      <alignment horizontal="center" readingOrder="0" shrinkToFit="0" vertical="bottom" wrapText="0"/>
    </xf>
    <xf borderId="6" fillId="12" fontId="7" numFmtId="0" xfId="0" applyAlignment="1" applyBorder="1" applyFont="1">
      <alignment horizontal="center" readingOrder="0" shrinkToFit="0" vertical="bottom" wrapText="0"/>
    </xf>
    <xf borderId="6" fillId="22" fontId="7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9" fillId="23" fontId="9" numFmtId="0" xfId="0" applyAlignment="1" applyBorder="1" applyFill="1" applyFont="1">
      <alignment readingOrder="0" shrinkToFit="0" vertical="bottom" wrapText="0"/>
    </xf>
    <xf borderId="10" fillId="23" fontId="9" numFmtId="0" xfId="0" applyAlignment="1" applyBorder="1" applyFont="1">
      <alignment readingOrder="0" shrinkToFit="0" vertical="bottom" wrapText="0"/>
    </xf>
    <xf borderId="11" fillId="23" fontId="9" numFmtId="0" xfId="0" applyAlignment="1" applyBorder="1" applyFont="1">
      <alignment readingOrder="0" shrinkToFit="0" vertical="bottom" wrapText="0"/>
    </xf>
    <xf borderId="12" fillId="24" fontId="9" numFmtId="0" xfId="0" applyAlignment="1" applyBorder="1" applyFill="1" applyFont="1">
      <alignment readingOrder="0" shrinkToFit="0" vertical="bottom" wrapText="0"/>
    </xf>
    <xf borderId="7" fillId="24" fontId="9" numFmtId="0" xfId="0" applyAlignment="1" applyBorder="1" applyFont="1">
      <alignment readingOrder="0" shrinkToFit="0" vertical="bottom" wrapText="0"/>
    </xf>
    <xf borderId="6" fillId="24" fontId="9" numFmtId="0" xfId="0" applyAlignment="1" applyBorder="1" applyFont="1">
      <alignment readingOrder="0" shrinkToFit="0" vertical="bottom" wrapText="0"/>
    </xf>
    <xf borderId="8" fillId="24" fontId="9" numFmtId="0" xfId="0" applyAlignment="1" applyBorder="1" applyFont="1">
      <alignment readingOrder="0" shrinkToFit="0" vertical="bottom" wrapText="0"/>
    </xf>
    <xf borderId="0" fillId="17" fontId="9" numFmtId="0" xfId="0" applyAlignment="1" applyFont="1">
      <alignment shrinkToFit="0" vertical="bottom" wrapText="0"/>
    </xf>
    <xf borderId="12" fillId="21" fontId="9" numFmtId="0" xfId="0" applyAlignment="1" applyBorder="1" applyFont="1">
      <alignment readingOrder="0" shrinkToFit="0" vertical="bottom" wrapText="0"/>
    </xf>
    <xf borderId="7" fillId="21" fontId="9" numFmtId="0" xfId="0" applyAlignment="1" applyBorder="1" applyFont="1">
      <alignment readingOrder="0" shrinkToFit="0" vertical="bottom" wrapText="0"/>
    </xf>
    <xf borderId="6" fillId="21" fontId="9" numFmtId="0" xfId="0" applyAlignment="1" applyBorder="1" applyFont="1">
      <alignment readingOrder="0" shrinkToFit="0" vertical="bottom" wrapText="0"/>
    </xf>
    <xf borderId="8" fillId="21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2" fillId="25" fontId="9" numFmtId="0" xfId="0" applyAlignment="1" applyBorder="1" applyFill="1" applyFont="1">
      <alignment readingOrder="0" shrinkToFit="0" vertical="bottom" wrapText="0"/>
    </xf>
    <xf borderId="7" fillId="25" fontId="9" numFmtId="0" xfId="0" applyAlignment="1" applyBorder="1" applyFont="1">
      <alignment readingOrder="0" shrinkToFit="0" vertical="bottom" wrapText="0"/>
    </xf>
    <xf borderId="6" fillId="25" fontId="9" numFmtId="0" xfId="0" applyAlignment="1" applyBorder="1" applyFont="1">
      <alignment readingOrder="0" shrinkToFit="0" vertical="bottom" wrapText="0"/>
    </xf>
    <xf borderId="8" fillId="25" fontId="9" numFmtId="0" xfId="0" applyAlignment="1" applyBorder="1" applyFont="1">
      <alignment readingOrder="0" shrinkToFit="0" vertical="bottom" wrapText="0"/>
    </xf>
    <xf borderId="12" fillId="26" fontId="9" numFmtId="0" xfId="0" applyAlignment="1" applyBorder="1" applyFill="1" applyFont="1">
      <alignment readingOrder="0" shrinkToFit="0" vertical="bottom" wrapText="0"/>
    </xf>
    <xf borderId="7" fillId="26" fontId="9" numFmtId="0" xfId="0" applyAlignment="1" applyBorder="1" applyFont="1">
      <alignment readingOrder="0" shrinkToFit="0" vertical="bottom" wrapText="0"/>
    </xf>
    <xf borderId="6" fillId="26" fontId="9" numFmtId="0" xfId="0" applyAlignment="1" applyBorder="1" applyFont="1">
      <alignment readingOrder="0" shrinkToFit="0" vertical="bottom" wrapText="0"/>
    </xf>
    <xf borderId="8" fillId="26" fontId="9" numFmtId="0" xfId="0" applyAlignment="1" applyBorder="1" applyFont="1">
      <alignment readingOrder="0" shrinkToFit="0" vertical="bottom" wrapText="0"/>
    </xf>
    <xf borderId="12" fillId="27" fontId="9" numFmtId="0" xfId="0" applyAlignment="1" applyBorder="1" applyFill="1" applyFont="1">
      <alignment readingOrder="0" shrinkToFit="0" vertical="bottom" wrapText="0"/>
    </xf>
    <xf borderId="7" fillId="27" fontId="9" numFmtId="0" xfId="0" applyAlignment="1" applyBorder="1" applyFont="1">
      <alignment readingOrder="0" shrinkToFit="0" vertical="bottom" wrapText="0"/>
    </xf>
    <xf borderId="6" fillId="27" fontId="9" numFmtId="0" xfId="0" applyAlignment="1" applyBorder="1" applyFont="1">
      <alignment readingOrder="0" shrinkToFit="0" vertical="bottom" wrapText="0"/>
    </xf>
    <xf borderId="8" fillId="27" fontId="9" numFmtId="0" xfId="0" applyAlignment="1" applyBorder="1" applyFont="1">
      <alignment readingOrder="0" shrinkToFit="0" vertical="bottom" wrapText="0"/>
    </xf>
    <xf borderId="12" fillId="28" fontId="9" numFmtId="0" xfId="0" applyAlignment="1" applyBorder="1" applyFill="1" applyFont="1">
      <alignment readingOrder="0" shrinkToFit="0" vertical="bottom" wrapText="0"/>
    </xf>
    <xf borderId="7" fillId="28" fontId="9" numFmtId="0" xfId="0" applyAlignment="1" applyBorder="1" applyFont="1">
      <alignment readingOrder="0" shrinkToFit="0" vertical="bottom" wrapText="0"/>
    </xf>
    <xf borderId="6" fillId="28" fontId="9" numFmtId="0" xfId="0" applyAlignment="1" applyBorder="1" applyFont="1">
      <alignment readingOrder="0" shrinkToFit="0" vertical="bottom" wrapText="0"/>
    </xf>
    <xf borderId="8" fillId="28" fontId="9" numFmtId="0" xfId="0" applyAlignment="1" applyBorder="1" applyFont="1">
      <alignment readingOrder="0" shrinkToFit="0" vertical="bottom" wrapText="0"/>
    </xf>
    <xf borderId="12" fillId="29" fontId="9" numFmtId="0" xfId="0" applyAlignment="1" applyBorder="1" applyFill="1" applyFont="1">
      <alignment readingOrder="0" shrinkToFit="0" vertical="bottom" wrapText="0"/>
    </xf>
    <xf borderId="7" fillId="29" fontId="9" numFmtId="0" xfId="0" applyAlignment="1" applyBorder="1" applyFont="1">
      <alignment readingOrder="0" shrinkToFit="0" vertical="bottom" wrapText="0"/>
    </xf>
    <xf borderId="6" fillId="29" fontId="9" numFmtId="0" xfId="0" applyAlignment="1" applyBorder="1" applyFont="1">
      <alignment readingOrder="0" shrinkToFit="0" vertical="bottom" wrapText="0"/>
    </xf>
    <xf borderId="8" fillId="29" fontId="9" numFmtId="0" xfId="0" applyAlignment="1" applyBorder="1" applyFont="1">
      <alignment readingOrder="0" shrinkToFit="0" vertical="bottom" wrapText="0"/>
    </xf>
    <xf borderId="9" fillId="30" fontId="10" numFmtId="0" xfId="0" applyAlignment="1" applyBorder="1" applyFill="1" applyFont="1">
      <alignment readingOrder="0" shrinkToFit="0" vertical="bottom" wrapText="0"/>
    </xf>
    <xf borderId="10" fillId="30" fontId="10" numFmtId="0" xfId="0" applyAlignment="1" applyBorder="1" applyFont="1">
      <alignment readingOrder="0" shrinkToFit="0" vertical="bottom" wrapText="0"/>
    </xf>
    <xf borderId="10" fillId="30" fontId="10" numFmtId="0" xfId="0" applyAlignment="1" applyBorder="1" applyFont="1">
      <alignment horizontal="right" readingOrder="0" shrinkToFit="0" vertical="bottom" wrapText="0"/>
    </xf>
    <xf borderId="11" fillId="30" fontId="10" numFmtId="0" xfId="0" applyAlignment="1" applyBorder="1" applyFont="1">
      <alignment horizontal="right" readingOrder="0" shrinkToFit="0" vertical="bottom" wrapText="0"/>
    </xf>
    <xf borderId="13" fillId="0" fontId="7" numFmtId="0" xfId="0" applyAlignment="1" applyBorder="1" applyFont="1">
      <alignment horizontal="center" readingOrder="0" shrinkToFit="0" wrapText="0"/>
    </xf>
    <xf borderId="7" fillId="31" fontId="7" numFmtId="0" xfId="0" applyAlignment="1" applyBorder="1" applyFill="1" applyFont="1">
      <alignment horizontal="right" readingOrder="0" shrinkToFit="0" vertical="bottom" wrapText="0"/>
    </xf>
    <xf borderId="6" fillId="31" fontId="7" numFmtId="0" xfId="0" applyAlignment="1" applyBorder="1" applyFont="1">
      <alignment readingOrder="0" shrinkToFit="0" vertical="bottom" wrapText="0"/>
    </xf>
    <xf borderId="14" fillId="31" fontId="7" numFmtId="0" xfId="0" applyAlignment="1" applyBorder="1" applyFont="1">
      <alignment horizontal="right" readingOrder="0" shrinkToFit="0" vertical="bottom" wrapText="0"/>
    </xf>
    <xf borderId="0" fillId="17" fontId="7" numFmtId="0" xfId="0" applyAlignment="1" applyFont="1">
      <alignment shrinkToFit="0" vertical="bottom" wrapText="0"/>
    </xf>
    <xf borderId="14" fillId="31" fontId="7" numFmtId="0" xfId="0" applyAlignment="1" applyBorder="1" applyFont="1">
      <alignment readingOrder="0" shrinkToFit="0" vertical="bottom" wrapText="0"/>
    </xf>
    <xf borderId="8" fillId="31" fontId="7" numFmtId="0" xfId="0" applyAlignment="1" applyBorder="1" applyFont="1">
      <alignment horizontal="right" readingOrder="0" shrinkToFit="0" vertical="bottom" wrapText="0"/>
    </xf>
    <xf borderId="7" fillId="32" fontId="7" numFmtId="0" xfId="0" applyAlignment="1" applyBorder="1" applyFill="1" applyFont="1">
      <alignment horizontal="right" readingOrder="0" shrinkToFit="0" vertical="bottom" wrapText="0"/>
    </xf>
    <xf borderId="14" fillId="32" fontId="7" numFmtId="0" xfId="0" applyAlignment="1" applyBorder="1" applyFont="1">
      <alignment readingOrder="0" shrinkToFit="0" vertical="bottom" wrapText="0"/>
    </xf>
    <xf borderId="8" fillId="32" fontId="7" numFmtId="0" xfId="0" applyAlignment="1" applyBorder="1" applyFont="1">
      <alignment horizontal="right" readingOrder="0" shrinkToFit="0" vertical="bottom" wrapText="0"/>
    </xf>
    <xf borderId="7" fillId="33" fontId="7" numFmtId="0" xfId="0" applyAlignment="1" applyBorder="1" applyFill="1" applyFont="1">
      <alignment horizontal="right" readingOrder="0" shrinkToFit="0" vertical="bottom" wrapText="0"/>
    </xf>
    <xf borderId="14" fillId="33" fontId="7" numFmtId="0" xfId="0" applyAlignment="1" applyBorder="1" applyFont="1">
      <alignment readingOrder="0" shrinkToFit="0" vertical="bottom" wrapText="0"/>
    </xf>
    <xf borderId="8" fillId="33" fontId="7" numFmtId="0" xfId="0" applyAlignment="1" applyBorder="1" applyFont="1">
      <alignment horizontal="right" readingOrder="0" shrinkToFit="0" vertical="bottom" wrapText="0"/>
    </xf>
    <xf borderId="7" fillId="30" fontId="7" numFmtId="0" xfId="0" applyAlignment="1" applyBorder="1" applyFont="1">
      <alignment horizontal="right" readingOrder="0" shrinkToFit="0" vertical="bottom" wrapText="0"/>
    </xf>
    <xf borderId="14" fillId="30" fontId="7" numFmtId="0" xfId="0" applyAlignment="1" applyBorder="1" applyFont="1">
      <alignment readingOrder="0" shrinkToFit="0" vertical="bottom" wrapText="0"/>
    </xf>
    <xf borderId="8" fillId="30" fontId="7" numFmtId="0" xfId="0" applyAlignment="1" applyBorder="1" applyFont="1">
      <alignment horizontal="right" readingOrder="0" shrinkToFit="0" vertical="bottom" wrapText="0"/>
    </xf>
    <xf borderId="15" fillId="0" fontId="7" numFmtId="0" xfId="0" applyAlignment="1" applyBorder="1" applyFont="1">
      <alignment shrinkToFit="0" vertical="bottom" wrapText="0"/>
    </xf>
    <xf borderId="16" fillId="17" fontId="7" numFmtId="0" xfId="0" applyAlignment="1" applyBorder="1" applyFont="1">
      <alignment shrinkToFit="0" vertical="bottom" wrapText="0"/>
    </xf>
    <xf borderId="13" fillId="0" fontId="8" numFmtId="0" xfId="0" applyBorder="1" applyFont="1"/>
    <xf borderId="14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14" fillId="0" fontId="7" numFmtId="0" xfId="0" applyAlignment="1" applyBorder="1" applyFont="1">
      <alignment horizontal="center" readingOrder="0" shrinkToFit="0" wrapText="0"/>
    </xf>
    <xf borderId="7" fillId="34" fontId="7" numFmtId="0" xfId="0" applyAlignment="1" applyBorder="1" applyFill="1" applyFont="1">
      <alignment horizontal="right" readingOrder="0" shrinkToFit="0" vertical="bottom" wrapText="0"/>
    </xf>
    <xf borderId="14" fillId="34" fontId="7" numFmtId="0" xfId="0" applyAlignment="1" applyBorder="1" applyFont="1">
      <alignment readingOrder="0" shrinkToFit="0" vertical="bottom" wrapText="0"/>
    </xf>
    <xf borderId="8" fillId="34" fontId="7" numFmtId="0" xfId="0" applyAlignment="1" applyBorder="1" applyFont="1">
      <alignment horizontal="right" readingOrder="0" shrinkToFit="0" vertical="bottom" wrapText="0"/>
    </xf>
    <xf borderId="17" fillId="0" fontId="8" numFmtId="0" xfId="0" applyBorder="1" applyFont="1"/>
    <xf borderId="18" fillId="31" fontId="7" numFmtId="0" xfId="0" applyAlignment="1" applyBorder="1" applyFont="1">
      <alignment horizontal="right" readingOrder="0" shrinkToFit="0" vertical="bottom" wrapText="0"/>
    </xf>
    <xf borderId="19" fillId="31" fontId="7" numFmtId="0" xfId="0" applyAlignment="1" applyBorder="1" applyFont="1">
      <alignment readingOrder="0" shrinkToFit="0" vertical="bottom" wrapText="0"/>
    </xf>
    <xf borderId="12" fillId="31" fontId="7" numFmtId="0" xfId="0" applyAlignment="1" applyBorder="1" applyFont="1">
      <alignment horizontal="right" readingOrder="0" shrinkToFit="0" vertical="bottom" wrapText="0"/>
    </xf>
    <xf borderId="12" fillId="31" fontId="7" numFmtId="0" xfId="0" applyAlignment="1" applyBorder="1" applyFont="1">
      <alignment readingOrder="0" shrinkToFit="0" vertical="bottom" wrapText="0"/>
    </xf>
    <xf borderId="20" fillId="31" fontId="7" numFmtId="0" xfId="0" applyAlignment="1" applyBorder="1" applyFont="1">
      <alignment horizontal="right" readingOrder="0" shrinkToFit="0" vertical="bottom" wrapText="0"/>
    </xf>
    <xf borderId="18" fillId="32" fontId="7" numFmtId="0" xfId="0" applyAlignment="1" applyBorder="1" applyFont="1">
      <alignment horizontal="right" readingOrder="0" shrinkToFit="0" vertical="bottom" wrapText="0"/>
    </xf>
    <xf borderId="12" fillId="32" fontId="7" numFmtId="0" xfId="0" applyAlignment="1" applyBorder="1" applyFont="1">
      <alignment readingOrder="0" shrinkToFit="0" vertical="bottom" wrapText="0"/>
    </xf>
    <xf borderId="20" fillId="32" fontId="7" numFmtId="0" xfId="0" applyAlignment="1" applyBorder="1" applyFont="1">
      <alignment horizontal="right" readingOrder="0" shrinkToFit="0" vertical="bottom" wrapText="0"/>
    </xf>
    <xf borderId="18" fillId="33" fontId="7" numFmtId="0" xfId="0" applyAlignment="1" applyBorder="1" applyFont="1">
      <alignment horizontal="right" readingOrder="0" shrinkToFit="0" vertical="bottom" wrapText="0"/>
    </xf>
    <xf borderId="12" fillId="33" fontId="7" numFmtId="0" xfId="0" applyAlignment="1" applyBorder="1" applyFont="1">
      <alignment readingOrder="0" shrinkToFit="0" vertical="bottom" wrapText="0"/>
    </xf>
    <xf borderId="20" fillId="33" fontId="7" numFmtId="0" xfId="0" applyAlignment="1" applyBorder="1" applyFont="1">
      <alignment horizontal="right" readingOrder="0" shrinkToFit="0" vertical="bottom" wrapText="0"/>
    </xf>
    <xf borderId="18" fillId="30" fontId="7" numFmtId="0" xfId="0" applyAlignment="1" applyBorder="1" applyFont="1">
      <alignment horizontal="right" readingOrder="0" shrinkToFit="0" vertical="bottom" wrapText="0"/>
    </xf>
    <xf borderId="12" fillId="30" fontId="7" numFmtId="0" xfId="0" applyAlignment="1" applyBorder="1" applyFont="1">
      <alignment readingOrder="0" shrinkToFit="0" vertical="bottom" wrapText="0"/>
    </xf>
    <xf borderId="20" fillId="30" fontId="7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18" fillId="34" fontId="7" numFmtId="0" xfId="0" applyAlignment="1" applyBorder="1" applyFont="1">
      <alignment horizontal="right" readingOrder="0" shrinkToFit="0" vertical="bottom" wrapText="0"/>
    </xf>
    <xf borderId="12" fillId="34" fontId="7" numFmtId="0" xfId="0" applyAlignment="1" applyBorder="1" applyFont="1">
      <alignment readingOrder="0" shrinkToFit="0" vertical="bottom" wrapText="0"/>
    </xf>
    <xf borderId="20" fillId="34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center" readingOrder="0" shrinkToFit="0" wrapText="0"/>
    </xf>
    <xf borderId="6" fillId="31" fontId="7" numFmtId="0" xfId="0" applyAlignment="1" applyBorder="1" applyFont="1">
      <alignment horizontal="right" readingOrder="0" shrinkToFit="0" vertical="bottom" wrapText="0"/>
    </xf>
    <xf borderId="6" fillId="32" fontId="7" numFmtId="0" xfId="0" applyAlignment="1" applyBorder="1" applyFont="1">
      <alignment horizontal="right" readingOrder="0" shrinkToFit="0" vertical="bottom" wrapText="0"/>
    </xf>
    <xf borderId="6" fillId="33" fontId="7" numFmtId="0" xfId="0" applyAlignment="1" applyBorder="1" applyFont="1">
      <alignment horizontal="right" readingOrder="0" shrinkToFit="0" vertical="bottom" wrapText="0"/>
    </xf>
    <xf borderId="6" fillId="30" fontId="7" numFmtId="0" xfId="0" applyAlignment="1" applyBorder="1" applyFont="1">
      <alignment horizontal="right" readingOrder="0" shrinkToFit="0" vertical="bottom" wrapText="0"/>
    </xf>
    <xf borderId="21" fillId="34" fontId="7" numFmtId="0" xfId="0" applyAlignment="1" applyBorder="1" applyFont="1">
      <alignment horizontal="right" readingOrder="0" shrinkToFit="0" vertical="bottom" wrapText="0"/>
    </xf>
    <xf borderId="22" fillId="34" fontId="7" numFmtId="0" xfId="0" applyAlignment="1" applyBorder="1" applyFont="1">
      <alignment horizontal="right" readingOrder="0" shrinkToFit="0" vertical="bottom" wrapText="0"/>
    </xf>
    <xf borderId="15" fillId="0" fontId="8" numFmtId="0" xfId="0" applyBorder="1" applyFont="1"/>
    <xf borderId="15" fillId="0" fontId="7" numFmtId="0" xfId="0" applyAlignment="1" applyBorder="1" applyFont="1">
      <alignment shrinkToFit="0" wrapText="0"/>
    </xf>
    <xf borderId="23" fillId="0" fontId="8" numFmtId="0" xfId="0" applyBorder="1" applyFont="1"/>
    <xf borderId="19" fillId="31" fontId="7" numFmtId="0" xfId="0" applyAlignment="1" applyBorder="1" applyFont="1">
      <alignment horizontal="right" readingOrder="0" shrinkToFit="0" vertical="bottom" wrapText="0"/>
    </xf>
    <xf borderId="19" fillId="32" fontId="7" numFmtId="0" xfId="0" applyAlignment="1" applyBorder="1" applyFont="1">
      <alignment horizontal="right" readingOrder="0" shrinkToFit="0" vertical="bottom" wrapText="0"/>
    </xf>
    <xf borderId="19" fillId="33" fontId="7" numFmtId="0" xfId="0" applyAlignment="1" applyBorder="1" applyFont="1">
      <alignment horizontal="right" readingOrder="0" shrinkToFit="0" vertical="bottom" wrapText="0"/>
    </xf>
    <xf borderId="19" fillId="30" fontId="7" numFmtId="0" xfId="0" applyAlignment="1" applyBorder="1" applyFont="1">
      <alignment horizontal="right" readingOrder="0" shrinkToFit="0" vertical="bottom" wrapText="0"/>
    </xf>
    <xf borderId="21" fillId="31" fontId="7" numFmtId="0" xfId="0" applyAlignment="1" applyBorder="1" applyFont="1">
      <alignment horizontal="right" readingOrder="0" shrinkToFit="0" vertical="bottom" wrapText="0"/>
    </xf>
    <xf borderId="23" fillId="31" fontId="7" numFmtId="0" xfId="0" applyAlignment="1" applyBorder="1" applyFont="1">
      <alignment readingOrder="0" shrinkToFit="0" vertical="bottom" wrapText="0"/>
    </xf>
    <xf borderId="17" fillId="31" fontId="7" numFmtId="0" xfId="0" applyAlignment="1" applyBorder="1" applyFont="1">
      <alignment horizontal="right" readingOrder="0" shrinkToFit="0" vertical="bottom" wrapText="0"/>
    </xf>
    <xf borderId="22" fillId="31" fontId="7" numFmtId="0" xfId="0" applyAlignment="1" applyBorder="1" applyFont="1">
      <alignment horizontal="right" readingOrder="0" shrinkToFit="0" vertical="bottom" wrapText="0"/>
    </xf>
    <xf borderId="21" fillId="32" fontId="7" numFmtId="0" xfId="0" applyAlignment="1" applyBorder="1" applyFont="1">
      <alignment horizontal="right" readingOrder="0" shrinkToFit="0" vertical="bottom" wrapText="0"/>
    </xf>
    <xf borderId="22" fillId="32" fontId="7" numFmtId="0" xfId="0" applyAlignment="1" applyBorder="1" applyFont="1">
      <alignment horizontal="right" readingOrder="0" shrinkToFit="0" vertical="bottom" wrapText="0"/>
    </xf>
    <xf borderId="21" fillId="33" fontId="7" numFmtId="0" xfId="0" applyAlignment="1" applyBorder="1" applyFont="1">
      <alignment horizontal="right" readingOrder="0" shrinkToFit="0" vertical="bottom" wrapText="0"/>
    </xf>
    <xf borderId="22" fillId="33" fontId="7" numFmtId="0" xfId="0" applyAlignment="1" applyBorder="1" applyFont="1">
      <alignment horizontal="right" readingOrder="0" shrinkToFit="0" vertical="bottom" wrapText="0"/>
    </xf>
    <xf borderId="21" fillId="30" fontId="7" numFmtId="0" xfId="0" applyAlignment="1" applyBorder="1" applyFont="1">
      <alignment horizontal="right" readingOrder="0" shrinkToFit="0" vertical="bottom" wrapText="0"/>
    </xf>
    <xf borderId="22" fillId="30" fontId="7" numFmtId="0" xfId="0" applyAlignment="1" applyBorder="1" applyFont="1">
      <alignment horizontal="right" readingOrder="0" shrinkToFit="0" vertical="bottom" wrapText="0"/>
    </xf>
    <xf borderId="13" fillId="0" fontId="7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8" fillId="34" fontId="7" numFmtId="0" xfId="0" applyAlignment="1" applyBorder="1" applyFont="1">
      <alignment readingOrder="0" shrinkToFit="0" vertical="bottom" wrapText="0"/>
    </xf>
    <xf borderId="12" fillId="34" fontId="7" numFmtId="0" xfId="0" applyAlignment="1" applyBorder="1" applyFont="1">
      <alignment horizontal="right" readingOrder="0" shrinkToFit="0" vertical="bottom" wrapText="0"/>
    </xf>
    <xf borderId="16" fillId="17" fontId="7" numFmtId="0" xfId="0" applyAlignment="1" applyBorder="1" applyFont="1">
      <alignment horizontal="right" readingOrder="0" shrinkToFit="0" vertical="bottom" wrapText="0"/>
    </xf>
    <xf borderId="12" fillId="17" fontId="7" numFmtId="0" xfId="0" applyAlignment="1" applyBorder="1" applyFont="1">
      <alignment horizontal="right" readingOrder="0" shrinkToFit="0" vertical="bottom" wrapText="0"/>
    </xf>
    <xf borderId="21" fillId="17" fontId="7" numFmtId="0" xfId="0" applyAlignment="1" applyBorder="1" applyFont="1">
      <alignment readingOrder="0" shrinkToFit="0" vertical="bottom" wrapText="0"/>
    </xf>
    <xf borderId="21" fillId="17" fontId="7" numFmtId="0" xfId="0" applyAlignment="1" applyBorder="1" applyFont="1">
      <alignment horizontal="right" readingOrder="0" shrinkToFit="0" vertical="bottom" wrapText="0"/>
    </xf>
    <xf borderId="20" fillId="17" fontId="7" numFmtId="0" xfId="0" applyAlignment="1" applyBorder="1" applyFont="1">
      <alignment horizontal="right" readingOrder="0" shrinkToFit="0" vertical="bottom" wrapText="0"/>
    </xf>
    <xf borderId="15" fillId="17" fontId="7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horizontal="right" readingOrder="0" shrinkToFit="0" vertical="bottom" wrapText="0"/>
    </xf>
    <xf borderId="14" fillId="29" fontId="9" numFmtId="0" xfId="0" applyAlignment="1" applyBorder="1" applyFont="1">
      <alignment readingOrder="0" shrinkToFit="0" vertical="bottom" wrapText="0"/>
    </xf>
    <xf borderId="17" fillId="0" fontId="7" numFmtId="0" xfId="0" applyAlignment="1" applyBorder="1" applyFont="1">
      <alignment horizontal="right" readingOrder="0" shrinkToFit="0" vertical="bottom" wrapText="0"/>
    </xf>
    <xf borderId="16" fillId="33" fontId="7" numFmtId="0" xfId="0" applyAlignment="1" applyBorder="1" applyFont="1">
      <alignment shrinkToFit="0" vertical="bottom" wrapText="0"/>
    </xf>
    <xf borderId="9" fillId="30" fontId="10" numFmtId="0" xfId="0" applyAlignment="1" applyBorder="1" applyFont="1">
      <alignment shrinkToFit="0" vertical="bottom" wrapText="0"/>
    </xf>
    <xf borderId="10" fillId="30" fontId="10" numFmtId="0" xfId="0" applyAlignment="1" applyBorder="1" applyFont="1">
      <alignment shrinkToFit="0" vertical="bottom" wrapText="0"/>
    </xf>
    <xf borderId="11" fillId="30" fontId="10" numFmtId="0" xfId="0" applyAlignment="1" applyBorder="1" applyFont="1">
      <alignment shrinkToFit="0" vertical="bottom" wrapText="0"/>
    </xf>
    <xf borderId="17" fillId="0" fontId="7" numFmtId="0" xfId="0" applyAlignment="1" applyBorder="1" applyFont="1">
      <alignment shrinkToFit="0" vertical="bottom" wrapText="0"/>
    </xf>
    <xf borderId="7" fillId="32" fontId="7" numFmtId="0" xfId="0" applyAlignment="1" applyBorder="1" applyFont="1">
      <alignment shrinkToFit="0" vertical="bottom" wrapText="0"/>
    </xf>
    <xf borderId="14" fillId="32" fontId="7" numFmtId="0" xfId="0" applyAlignment="1" applyBorder="1" applyFont="1">
      <alignment shrinkToFit="0" vertical="bottom" wrapText="0"/>
    </xf>
    <xf borderId="22" fillId="32" fontId="7" numFmtId="0" xfId="0" applyAlignment="1" applyBorder="1" applyFont="1">
      <alignment shrinkToFit="0" vertical="bottom" wrapText="0"/>
    </xf>
    <xf borderId="7" fillId="33" fontId="7" numFmtId="0" xfId="0" applyAlignment="1" applyBorder="1" applyFont="1">
      <alignment shrinkToFit="0" vertical="bottom" wrapText="0"/>
    </xf>
    <xf borderId="14" fillId="33" fontId="7" numFmtId="0" xfId="0" applyAlignment="1" applyBorder="1" applyFont="1">
      <alignment shrinkToFit="0" vertical="bottom" wrapText="0"/>
    </xf>
    <xf borderId="7" fillId="30" fontId="7" numFmtId="0" xfId="0" applyAlignment="1" applyBorder="1" applyFont="1">
      <alignment shrinkToFit="0" vertical="bottom" wrapText="0"/>
    </xf>
    <xf borderId="14" fillId="30" fontId="7" numFmtId="0" xfId="0" applyAlignment="1" applyBorder="1" applyFont="1">
      <alignment shrinkToFit="0" vertical="bottom" wrapText="0"/>
    </xf>
    <xf borderId="22" fillId="30" fontId="7" numFmtId="0" xfId="0" applyAlignment="1" applyBorder="1" applyFont="1">
      <alignment shrinkToFit="0" vertical="bottom" wrapText="0"/>
    </xf>
    <xf borderId="21" fillId="34" fontId="7" numFmtId="0" xfId="0" applyAlignment="1" applyBorder="1" applyFont="1">
      <alignment shrinkToFit="0" vertical="bottom" wrapText="0"/>
    </xf>
    <xf borderId="12" fillId="34" fontId="7" numFmtId="0" xfId="0" applyAlignment="1" applyBorder="1" applyFont="1">
      <alignment shrinkToFit="0" vertical="bottom" wrapText="0"/>
    </xf>
    <xf borderId="22" fillId="34" fontId="7" numFmtId="0" xfId="0" applyAlignment="1" applyBorder="1" applyFont="1">
      <alignment shrinkToFit="0" vertical="bottom" wrapText="0"/>
    </xf>
    <xf borderId="13" fillId="24" fontId="9" numFmtId="0" xfId="0" applyAlignment="1" applyBorder="1" applyFont="1">
      <alignment readingOrder="0" shrinkToFit="0" vertical="bottom" wrapText="0"/>
    </xf>
    <xf borderId="0" fillId="24" fontId="9" numFmtId="0" xfId="0" applyAlignment="1" applyFont="1">
      <alignment readingOrder="0" shrinkToFit="0" vertical="bottom" wrapText="0"/>
    </xf>
    <xf borderId="15" fillId="24" fontId="9" numFmtId="0" xfId="0" applyAlignment="1" applyBorder="1" applyFont="1">
      <alignment readingOrder="0" shrinkToFit="0" vertical="bottom" wrapText="0"/>
    </xf>
    <xf borderId="16" fillId="24" fontId="9" numFmtId="0" xfId="0" applyAlignment="1" applyBorder="1" applyFont="1">
      <alignment readingOrder="0" shrinkToFit="0" vertical="bottom" wrapText="0"/>
    </xf>
    <xf borderId="13" fillId="21" fontId="9" numFmtId="0" xfId="0" applyAlignment="1" applyBorder="1" applyFont="1">
      <alignment readingOrder="0" shrinkToFit="0" vertical="bottom" wrapText="0"/>
    </xf>
    <xf borderId="0" fillId="21" fontId="9" numFmtId="0" xfId="0" applyAlignment="1" applyFont="1">
      <alignment readingOrder="0" shrinkToFit="0" vertical="bottom" wrapText="0"/>
    </xf>
    <xf borderId="16" fillId="21" fontId="9" numFmtId="0" xfId="0" applyAlignment="1" applyBorder="1" applyFont="1">
      <alignment readingOrder="0" shrinkToFit="0" vertical="bottom" wrapText="0"/>
    </xf>
    <xf borderId="13" fillId="25" fontId="9" numFmtId="0" xfId="0" applyAlignment="1" applyBorder="1" applyFont="1">
      <alignment readingOrder="0" shrinkToFit="0" vertical="bottom" wrapText="0"/>
    </xf>
    <xf borderId="0" fillId="25" fontId="9" numFmtId="0" xfId="0" applyAlignment="1" applyFont="1">
      <alignment readingOrder="0" shrinkToFit="0" vertical="bottom" wrapText="0"/>
    </xf>
    <xf borderId="16" fillId="25" fontId="9" numFmtId="0" xfId="0" applyAlignment="1" applyBorder="1" applyFont="1">
      <alignment readingOrder="0" shrinkToFit="0" vertical="bottom" wrapText="0"/>
    </xf>
    <xf borderId="13" fillId="26" fontId="9" numFmtId="0" xfId="0" applyAlignment="1" applyBorder="1" applyFont="1">
      <alignment readingOrder="0" shrinkToFit="0" vertical="bottom" wrapText="0"/>
    </xf>
    <xf borderId="0" fillId="26" fontId="9" numFmtId="0" xfId="0" applyAlignment="1" applyFont="1">
      <alignment readingOrder="0" shrinkToFit="0" vertical="bottom" wrapText="0"/>
    </xf>
    <xf borderId="16" fillId="26" fontId="9" numFmtId="0" xfId="0" applyAlignment="1" applyBorder="1" applyFont="1">
      <alignment readingOrder="0" shrinkToFit="0" vertical="bottom" wrapText="0"/>
    </xf>
    <xf borderId="13" fillId="27" fontId="9" numFmtId="0" xfId="0" applyAlignment="1" applyBorder="1" applyFont="1">
      <alignment readingOrder="0" shrinkToFit="0" vertical="bottom" wrapText="0"/>
    </xf>
    <xf borderId="0" fillId="27" fontId="9" numFmtId="0" xfId="0" applyAlignment="1" applyFont="1">
      <alignment readingOrder="0" shrinkToFit="0" vertical="bottom" wrapText="0"/>
    </xf>
    <xf borderId="16" fillId="27" fontId="9" numFmtId="0" xfId="0" applyAlignment="1" applyBorder="1" applyFont="1">
      <alignment readingOrder="0" shrinkToFit="0" vertical="bottom" wrapText="0"/>
    </xf>
    <xf borderId="13" fillId="35" fontId="9" numFmtId="0" xfId="0" applyAlignment="1" applyBorder="1" applyFill="1" applyFont="1">
      <alignment readingOrder="0" shrinkToFit="0" vertical="bottom" wrapText="0"/>
    </xf>
    <xf borderId="0" fillId="35" fontId="9" numFmtId="0" xfId="0" applyAlignment="1" applyFont="1">
      <alignment readingOrder="0" shrinkToFit="0" vertical="bottom" wrapText="0"/>
    </xf>
    <xf borderId="6" fillId="35" fontId="9" numFmtId="0" xfId="0" applyAlignment="1" applyBorder="1" applyFont="1">
      <alignment readingOrder="0" shrinkToFit="0" vertical="bottom" wrapText="0"/>
    </xf>
    <xf borderId="16" fillId="35" fontId="9" numFmtId="0" xfId="0" applyAlignment="1" applyBorder="1" applyFont="1">
      <alignment readingOrder="0" shrinkToFit="0" vertical="bottom" wrapText="0"/>
    </xf>
    <xf borderId="6" fillId="12" fontId="7" numFmtId="0" xfId="0" applyAlignment="1" applyBorder="1" applyFont="1">
      <alignment readingOrder="0" shrinkToFit="0" vertical="bottom" wrapText="0"/>
    </xf>
    <xf borderId="15" fillId="17" fontId="7" numFmtId="0" xfId="0" applyAlignment="1" applyBorder="1" applyFont="1">
      <alignment shrinkToFit="0" wrapText="0"/>
    </xf>
    <xf borderId="13" fillId="28" fontId="9" numFmtId="0" xfId="0" applyAlignment="1" applyBorder="1" applyFont="1">
      <alignment readingOrder="0" shrinkToFit="0" vertical="bottom" wrapText="0"/>
    </xf>
    <xf borderId="0" fillId="28" fontId="9" numFmtId="0" xfId="0" applyAlignment="1" applyFont="1">
      <alignment readingOrder="0" shrinkToFit="0" vertical="bottom" wrapText="0"/>
    </xf>
    <xf borderId="15" fillId="28" fontId="9" numFmtId="0" xfId="0" applyAlignment="1" applyBorder="1" applyFont="1">
      <alignment readingOrder="0" shrinkToFit="0" vertical="bottom" wrapText="0"/>
    </xf>
    <xf borderId="16" fillId="28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4" fillId="17" fontId="7" numFmtId="0" xfId="0" applyAlignment="1" applyBorder="1" applyFont="1">
      <alignment horizontal="center" readingOrder="0" shrinkToFit="0" wrapText="0"/>
    </xf>
    <xf borderId="21" fillId="31" fontId="7" numFmtId="0" xfId="0" applyAlignment="1" applyBorder="1" applyFont="1">
      <alignment shrinkToFit="0" vertical="bottom" wrapText="0"/>
    </xf>
    <xf borderId="23" fillId="31" fontId="7" numFmtId="0" xfId="0" applyAlignment="1" applyBorder="1" applyFont="1">
      <alignment shrinkToFit="0" vertical="bottom" wrapText="0"/>
    </xf>
    <xf borderId="17" fillId="31" fontId="7" numFmtId="0" xfId="0" applyAlignment="1" applyBorder="1" applyFont="1">
      <alignment shrinkToFit="0" vertical="bottom" wrapText="0"/>
    </xf>
    <xf borderId="6" fillId="31" fontId="7" numFmtId="0" xfId="0" applyAlignment="1" applyBorder="1" applyFont="1">
      <alignment shrinkToFit="0" vertical="bottom" wrapText="0"/>
    </xf>
    <xf borderId="22" fillId="33" fontId="7" numFmtId="0" xfId="0" applyAlignment="1" applyBorder="1" applyFont="1">
      <alignment shrinkToFit="0" vertical="bottom" wrapText="0"/>
    </xf>
    <xf borderId="0" fillId="31" fontId="7" numFmtId="0" xfId="0" applyAlignment="1" applyFont="1">
      <alignment horizontal="right" readingOrder="0" shrinkToFit="0" vertical="bottom" wrapText="0"/>
    </xf>
    <xf borderId="16" fillId="30" fontId="7" numFmtId="0" xfId="0" applyAlignment="1" applyBorder="1" applyFont="1">
      <alignment horizontal="right" readingOrder="0" shrinkToFit="0" vertical="bottom" wrapText="0"/>
    </xf>
    <xf borderId="9" fillId="0" fontId="10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shrinkToFit="0" vertical="bottom" wrapText="0"/>
    </xf>
    <xf borderId="12" fillId="30" fontId="7" numFmtId="0" xfId="0" applyAlignment="1" applyBorder="1" applyFont="1">
      <alignment horizontal="right" readingOrder="0" shrinkToFit="0" vertical="bottom" wrapText="0"/>
    </xf>
    <xf borderId="12" fillId="30" fontId="7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horizontal="right" readingOrder="0" shrinkToFit="0" vertical="bottom" wrapText="0"/>
    </xf>
    <xf borderId="11" fillId="0" fontId="10" numFmtId="0" xfId="0" applyAlignment="1" applyBorder="1" applyFont="1">
      <alignment horizontal="right" readingOrder="0" shrinkToFit="0" vertical="bottom" wrapText="0"/>
    </xf>
    <xf borderId="10" fillId="30" fontId="10" numFmtId="11" xfId="0" applyAlignment="1" applyBorder="1" applyFont="1" applyNumberFormat="1">
      <alignment horizontal="right" readingOrder="0" shrinkToFit="0" vertical="bottom" wrapText="0"/>
    </xf>
    <xf borderId="9" fillId="0" fontId="10" numFmtId="0" xfId="0" applyAlignment="1" applyBorder="1" applyFont="1">
      <alignment readingOrder="0"/>
    </xf>
    <xf borderId="10" fillId="0" fontId="10" numFmtId="0" xfId="0" applyAlignment="1" applyBorder="1" applyFont="1">
      <alignment readingOrder="0"/>
    </xf>
    <xf borderId="10" fillId="0" fontId="10" numFmtId="0" xfId="0" applyAlignment="1" applyBorder="1" applyFont="1">
      <alignment horizontal="right" readingOrder="0"/>
    </xf>
    <xf borderId="11" fillId="0" fontId="10" numFmtId="0" xfId="0" applyAlignment="1" applyBorder="1" applyFont="1">
      <alignment horizontal="right" readingOrder="0"/>
    </xf>
    <xf borderId="10" fillId="0" fontId="10" numFmtId="11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30" fontId="10" numFmtId="0" xfId="0" applyAlignment="1" applyFont="1">
      <alignment readingOrder="0" shrinkToFit="0" vertical="bottom" wrapText="0"/>
    </xf>
    <xf borderId="0" fillId="30" fontId="10" numFmtId="0" xfId="0" applyAlignment="1" applyFont="1">
      <alignment horizontal="right" readingOrder="0" shrinkToFit="0" vertical="bottom" wrapText="0"/>
    </xf>
    <xf borderId="0" fillId="30" fontId="10" numFmtId="0" xfId="0" applyAlignment="1" applyFont="1">
      <alignment readingOrder="0"/>
    </xf>
    <xf borderId="0" fillId="30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7" numFmtId="0" xfId="0" applyFont="1"/>
    <xf borderId="24" fillId="36" fontId="12" numFmtId="0" xfId="0" applyAlignment="1" applyBorder="1" applyFill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36" fontId="12" numFmtId="0" xfId="0" applyBorder="1" applyFont="1"/>
    <xf borderId="28" fillId="36" fontId="12" numFmtId="0" xfId="0" applyAlignment="1" applyBorder="1" applyFont="1">
      <alignment horizontal="center"/>
    </xf>
    <xf borderId="29" fillId="0" fontId="8" numFmtId="0" xfId="0" applyBorder="1" applyFont="1"/>
    <xf borderId="30" fillId="0" fontId="13" numFmtId="0" xfId="0" applyAlignment="1" applyBorder="1" applyFont="1">
      <alignment horizontal="left"/>
    </xf>
    <xf borderId="31" fillId="0" fontId="8" numFmtId="0" xfId="0" applyBorder="1" applyFont="1"/>
    <xf borderId="30" fillId="0" fontId="13" numFmtId="0" xfId="0" applyBorder="1" applyFont="1"/>
    <xf borderId="32" fillId="0" fontId="13" numFmtId="14" xfId="0" applyBorder="1" applyFont="1" applyNumberFormat="1"/>
    <xf borderId="33" fillId="37" fontId="14" numFmtId="0" xfId="0" applyAlignment="1" applyBorder="1" applyFill="1" applyFont="1">
      <alignment horizontal="center"/>
    </xf>
    <xf borderId="34" fillId="0" fontId="8" numFmtId="0" xfId="0" applyBorder="1" applyFont="1"/>
    <xf borderId="35" fillId="37" fontId="14" numFmtId="0" xfId="0" applyBorder="1" applyFont="1"/>
    <xf borderId="36" fillId="37" fontId="14" numFmtId="0" xfId="0" applyAlignment="1" applyBorder="1" applyFont="1">
      <alignment horizontal="center"/>
    </xf>
    <xf borderId="37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40" fillId="37" fontId="14" numFmtId="0" xfId="0" applyAlignment="1" applyBorder="1" applyFont="1">
      <alignment horizontal="center"/>
    </xf>
    <xf borderId="41" fillId="0" fontId="8" numFmtId="0" xfId="0" applyBorder="1" applyFont="1"/>
    <xf borderId="42" fillId="37" fontId="3" numFmtId="0" xfId="0" applyBorder="1" applyFont="1"/>
    <xf borderId="43" fillId="37" fontId="3" numFmtId="0" xfId="0" applyBorder="1" applyFont="1"/>
    <xf borderId="44" fillId="37" fontId="3" numFmtId="0" xfId="0" applyAlignment="1" applyBorder="1" applyFont="1">
      <alignment horizontal="center" vertical="center"/>
    </xf>
    <xf borderId="44" fillId="37" fontId="3" numFmtId="164" xfId="0" applyAlignment="1" applyBorder="1" applyFont="1" applyNumberFormat="1">
      <alignment horizontal="center" vertical="center"/>
    </xf>
    <xf borderId="44" fillId="37" fontId="14" numFmtId="0" xfId="0" applyAlignment="1" applyBorder="1" applyFont="1">
      <alignment horizontal="center" vertical="center"/>
    </xf>
    <xf borderId="45" fillId="37" fontId="3" numFmtId="0" xfId="0" applyAlignment="1" applyBorder="1" applyFont="1">
      <alignment horizontal="center" vertical="center"/>
    </xf>
    <xf borderId="46" fillId="38" fontId="1" numFmtId="0" xfId="0" applyBorder="1" applyFill="1" applyFont="1"/>
    <xf borderId="47" fillId="38" fontId="1" numFmtId="0" xfId="0" applyBorder="1" applyFont="1"/>
    <xf borderId="48" fillId="7" fontId="15" numFmtId="165" xfId="0" applyBorder="1" applyFont="1" applyNumberFormat="1"/>
    <xf borderId="49" fillId="38" fontId="1" numFmtId="0" xfId="0" applyBorder="1" applyFont="1"/>
    <xf borderId="50" fillId="38" fontId="1" numFmtId="0" xfId="0" applyBorder="1" applyFont="1"/>
    <xf borderId="48" fillId="38" fontId="15" numFmtId="1" xfId="0" applyBorder="1" applyFont="1" applyNumberFormat="1"/>
    <xf borderId="49" fillId="38" fontId="1" numFmtId="164" xfId="0" applyBorder="1" applyFont="1" applyNumberFormat="1"/>
    <xf borderId="47" fillId="38" fontId="1" numFmtId="164" xfId="0" applyBorder="1" applyFont="1" applyNumberFormat="1"/>
    <xf borderId="51" fillId="39" fontId="1" numFmtId="2" xfId="0" applyBorder="1" applyFill="1" applyFont="1" applyNumberFormat="1"/>
    <xf borderId="52" fillId="39" fontId="1" numFmtId="2" xfId="0" applyAlignment="1" applyBorder="1" applyFont="1" applyNumberFormat="1">
      <alignment horizontal="center" vertical="center"/>
    </xf>
    <xf borderId="52" fillId="39" fontId="1" numFmtId="164" xfId="0" applyAlignment="1" applyBorder="1" applyFont="1" applyNumberFormat="1">
      <alignment horizontal="center" vertical="center"/>
    </xf>
    <xf borderId="53" fillId="39" fontId="1" numFmtId="0" xfId="0" applyBorder="1" applyFont="1"/>
    <xf borderId="54" fillId="38" fontId="16" numFmtId="0" xfId="0" applyAlignment="1" applyBorder="1" applyFont="1">
      <alignment horizontal="center" vertical="top"/>
    </xf>
    <xf borderId="55" fillId="38" fontId="1" numFmtId="164" xfId="0" applyBorder="1" applyFont="1" applyNumberFormat="1"/>
    <xf borderId="56" fillId="39" fontId="1" numFmtId="2" xfId="0" applyBorder="1" applyFont="1" applyNumberFormat="1"/>
    <xf borderId="57" fillId="39" fontId="1" numFmtId="2" xfId="0" applyAlignment="1" applyBorder="1" applyFont="1" applyNumberFormat="1">
      <alignment horizontal="center" vertical="center"/>
    </xf>
    <xf borderId="57" fillId="39" fontId="1" numFmtId="164" xfId="0" applyAlignment="1" applyBorder="1" applyFont="1" applyNumberFormat="1">
      <alignment horizontal="center" vertical="center"/>
    </xf>
    <xf borderId="58" fillId="39" fontId="1" numFmtId="0" xfId="0" applyBorder="1" applyFont="1"/>
    <xf borderId="59" fillId="7" fontId="15" numFmtId="165" xfId="0" applyBorder="1" applyFont="1" applyNumberFormat="1"/>
    <xf borderId="60" fillId="38" fontId="1" numFmtId="0" xfId="0" applyBorder="1" applyFont="1"/>
    <xf borderId="59" fillId="38" fontId="15" numFmtId="1" xfId="0" applyBorder="1" applyFont="1" applyNumberFormat="1"/>
    <xf borderId="60" fillId="38" fontId="1" numFmtId="164" xfId="0" applyBorder="1" applyFont="1" applyNumberFormat="1"/>
    <xf borderId="61" fillId="38" fontId="1" numFmtId="164" xfId="0" applyBorder="1" applyFont="1" applyNumberFormat="1"/>
    <xf borderId="62" fillId="39" fontId="1" numFmtId="2" xfId="0" applyBorder="1" applyFont="1" applyNumberFormat="1"/>
    <xf borderId="63" fillId="39" fontId="1" numFmtId="2" xfId="0" applyAlignment="1" applyBorder="1" applyFont="1" applyNumberFormat="1">
      <alignment horizontal="center" vertical="center"/>
    </xf>
    <xf borderId="63" fillId="39" fontId="1" numFmtId="164" xfId="0" applyAlignment="1" applyBorder="1" applyFont="1" applyNumberFormat="1">
      <alignment horizontal="center" vertical="center"/>
    </xf>
    <xf borderId="64" fillId="39" fontId="1" numFmtId="0" xfId="0" applyBorder="1" applyFont="1"/>
    <xf borderId="65" fillId="38" fontId="16" numFmtId="0" xfId="0" applyAlignment="1" applyBorder="1" applyFont="1">
      <alignment horizontal="center" vertical="top"/>
    </xf>
    <xf borderId="66" fillId="38" fontId="1" numFmtId="0" xfId="0" applyBorder="1" applyFont="1"/>
    <xf borderId="67" fillId="0" fontId="1" numFmtId="0" xfId="0" applyBorder="1" applyFont="1"/>
    <xf borderId="12" fillId="0" fontId="15" numFmtId="165" xfId="0" applyBorder="1" applyFont="1" applyNumberFormat="1"/>
    <xf borderId="19" fillId="0" fontId="1" numFmtId="0" xfId="0" applyAlignment="1" applyBorder="1" applyFont="1">
      <alignment horizontal="center"/>
    </xf>
    <xf borderId="20" fillId="0" fontId="8" numFmtId="0" xfId="0" applyBorder="1" applyFont="1"/>
    <xf borderId="12" fillId="0" fontId="15" numFmtId="1" xfId="0" applyBorder="1" applyFont="1" applyNumberFormat="1"/>
    <xf borderId="19" fillId="0" fontId="1" numFmtId="164" xfId="0" applyAlignment="1" applyBorder="1" applyFont="1" applyNumberFormat="1">
      <alignment horizontal="center"/>
    </xf>
    <xf borderId="19" fillId="0" fontId="1" numFmtId="2" xfId="0" applyAlignment="1" applyBorder="1" applyFont="1" applyNumberFormat="1">
      <alignment horizontal="center" vertical="center"/>
    </xf>
    <xf borderId="12" fillId="0" fontId="1" numFmtId="0" xfId="0" applyBorder="1" applyFont="1"/>
    <xf borderId="68" fillId="0" fontId="16" numFmtId="0" xfId="0" applyAlignment="1" applyBorder="1" applyFont="1">
      <alignment horizontal="center" vertical="top"/>
    </xf>
    <xf borderId="30" fillId="0" fontId="15" numFmtId="165" xfId="0" applyAlignment="1" applyBorder="1" applyFont="1" applyNumberFormat="1">
      <alignment horizontal="center"/>
    </xf>
    <xf borderId="32" fillId="0" fontId="8" numFmtId="0" xfId="0" applyBorder="1" applyFont="1"/>
    <xf borderId="30" fillId="7" fontId="15" numFmtId="165" xfId="0" applyAlignment="1" applyBorder="1" applyFont="1" applyNumberFormat="1">
      <alignment horizontal="center"/>
    </xf>
    <xf borderId="0" fillId="0" fontId="15" numFmtId="165" xfId="0" applyFont="1" applyNumberFormat="1"/>
    <xf borderId="0" fillId="0" fontId="15" numFmtId="1" xfId="0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9" fillId="0" fontId="16" numFmtId="0" xfId="0" applyAlignment="1" applyBorder="1" applyFont="1">
      <alignment horizontal="center" vertical="top"/>
    </xf>
    <xf borderId="70" fillId="7" fontId="15" numFmtId="165" xfId="0" applyBorder="1" applyFont="1" applyNumberFormat="1"/>
    <xf borderId="71" fillId="38" fontId="1" numFmtId="0" xfId="0" applyBorder="1" applyFont="1"/>
    <xf borderId="70" fillId="38" fontId="15" numFmtId="1" xfId="0" applyBorder="1" applyFont="1" applyNumberFormat="1"/>
    <xf borderId="71" fillId="38" fontId="1" numFmtId="164" xfId="0" applyBorder="1" applyFont="1" applyNumberFormat="1"/>
    <xf borderId="72" fillId="38" fontId="1" numFmtId="164" xfId="0" applyBorder="1" applyFont="1" applyNumberFormat="1"/>
    <xf borderId="73" fillId="39" fontId="1" numFmtId="2" xfId="0" applyBorder="1" applyFont="1" applyNumberFormat="1"/>
    <xf borderId="74" fillId="39" fontId="1" numFmtId="2" xfId="0" applyAlignment="1" applyBorder="1" applyFont="1" applyNumberFormat="1">
      <alignment horizontal="center" vertical="center"/>
    </xf>
    <xf borderId="74" fillId="39" fontId="1" numFmtId="164" xfId="0" applyAlignment="1" applyBorder="1" applyFont="1" applyNumberFormat="1">
      <alignment horizontal="center" vertical="center"/>
    </xf>
    <xf borderId="75" fillId="39" fontId="1" numFmtId="0" xfId="0" applyBorder="1" applyFont="1"/>
    <xf borderId="76" fillId="38" fontId="16" numFmtId="0" xfId="0" applyAlignment="1" applyBorder="1" applyFont="1">
      <alignment horizontal="center" vertical="top"/>
    </xf>
    <xf borderId="0" fillId="0" fontId="16" numFmtId="0" xfId="0" applyAlignment="1" applyFont="1">
      <alignment horizontal="center" vertical="top"/>
    </xf>
    <xf borderId="77" fillId="0" fontId="17" numFmtId="0" xfId="0" applyAlignment="1" applyBorder="1" applyFont="1">
      <alignment horizontal="center" vertical="center"/>
    </xf>
    <xf borderId="78" fillId="0" fontId="8" numFmtId="0" xfId="0" applyBorder="1" applyFont="1"/>
    <xf borderId="77" fillId="0" fontId="18" numFmtId="165" xfId="0" applyAlignment="1" applyBorder="1" applyFont="1" applyNumberFormat="1">
      <alignment horizontal="center" vertical="center"/>
    </xf>
    <xf borderId="79" fillId="0" fontId="8" numFmtId="0" xfId="0" applyBorder="1" applyFont="1"/>
    <xf borderId="67" fillId="0" fontId="8" numFmtId="0" xfId="0" applyBorder="1" applyFont="1"/>
    <xf borderId="69" fillId="0" fontId="8" numFmtId="0" xfId="0" applyBorder="1" applyFont="1"/>
    <xf borderId="80" fillId="0" fontId="8" numFmtId="0" xfId="0" applyBorder="1" applyFont="1"/>
    <xf borderId="81" fillId="0" fontId="8" numFmtId="0" xfId="0" applyBorder="1" applyFont="1"/>
    <xf borderId="82" fillId="0" fontId="8" numFmtId="0" xfId="0" applyBorder="1" applyFont="1"/>
    <xf borderId="83" fillId="4" fontId="12" numFmtId="0" xfId="0" applyAlignment="1" applyBorder="1" applyFont="1">
      <alignment horizontal="center"/>
    </xf>
    <xf borderId="84" fillId="0" fontId="8" numFmtId="0" xfId="0" applyBorder="1" applyFont="1"/>
    <xf borderId="85" fillId="0" fontId="8" numFmtId="0" xfId="0" applyBorder="1" applyFont="1"/>
    <xf borderId="5" fillId="4" fontId="12" numFmtId="0" xfId="0" applyBorder="1" applyFont="1"/>
    <xf borderId="28" fillId="4" fontId="12" numFmtId="0" xfId="0" applyAlignment="1" applyBorder="1" applyFont="1">
      <alignment horizontal="center"/>
    </xf>
    <xf borderId="86" fillId="37" fontId="14" numFmtId="0" xfId="0" applyAlignment="1" applyBorder="1" applyFont="1">
      <alignment horizontal="center"/>
    </xf>
    <xf borderId="87" fillId="0" fontId="14" numFmtId="0" xfId="0" applyBorder="1" applyFont="1"/>
    <xf borderId="88" fillId="37" fontId="3" numFmtId="0" xfId="0" applyBorder="1" applyFont="1"/>
    <xf borderId="89" fillId="38" fontId="1" numFmtId="0" xfId="0" applyBorder="1" applyFont="1"/>
    <xf borderId="90" fillId="38" fontId="1" numFmtId="0" xfId="0" applyBorder="1" applyFont="1"/>
    <xf borderId="91" fillId="0" fontId="15" numFmtId="165" xfId="0" applyBorder="1" applyFont="1" applyNumberFormat="1"/>
    <xf borderId="92" fillId="0" fontId="1" numFmtId="0" xfId="0" applyAlignment="1" applyBorder="1" applyFont="1">
      <alignment horizontal="center"/>
    </xf>
    <xf borderId="93" fillId="0" fontId="8" numFmtId="0" xfId="0" applyBorder="1" applyFont="1"/>
    <xf borderId="91" fillId="0" fontId="15" numFmtId="1" xfId="0" applyBorder="1" applyFont="1" applyNumberFormat="1"/>
    <xf borderId="92" fillId="0" fontId="1" numFmtId="164" xfId="0" applyAlignment="1" applyBorder="1" applyFont="1" applyNumberFormat="1">
      <alignment horizontal="center"/>
    </xf>
    <xf borderId="51" fillId="0" fontId="1" numFmtId="2" xfId="0" applyBorder="1" applyFont="1" applyNumberFormat="1"/>
    <xf borderId="92" fillId="0" fontId="1" numFmtId="2" xfId="0" applyAlignment="1" applyBorder="1" applyFont="1" applyNumberFormat="1">
      <alignment horizontal="center" vertical="center"/>
    </xf>
    <xf borderId="91" fillId="0" fontId="1" numFmtId="0" xfId="0" applyBorder="1" applyFont="1"/>
    <xf borderId="94" fillId="0" fontId="16" numFmtId="0" xfId="0" applyAlignment="1" applyBorder="1" applyFont="1">
      <alignment horizontal="center" vertical="top"/>
    </xf>
    <xf borderId="95" fillId="0" fontId="15" numFmtId="165" xfId="0" applyAlignment="1" applyBorder="1" applyFont="1" applyNumberFormat="1">
      <alignment horizontal="center"/>
    </xf>
    <xf borderId="96" fillId="0" fontId="8" numFmtId="0" xfId="0" applyBorder="1" applyFont="1"/>
    <xf borderId="95" fillId="7" fontId="15" numFmtId="165" xfId="0" applyAlignment="1" applyBorder="1" applyFont="1" applyNumberFormat="1">
      <alignment horizontal="center"/>
    </xf>
    <xf borderId="27" fillId="4" fontId="12" numFmtId="0" xfId="0" applyBorder="1" applyFont="1"/>
    <xf borderId="0" fillId="0" fontId="15" numFmtId="165" xfId="0" applyAlignment="1" applyFont="1" applyNumberFormat="1">
      <alignment horizontal="center"/>
    </xf>
    <xf borderId="5" fillId="7" fontId="15" numFmtId="165" xfId="0" applyAlignment="1" applyBorder="1" applyFont="1" applyNumberFormat="1">
      <alignment horizontal="center"/>
    </xf>
    <xf borderId="24" fillId="37" fontId="14" numFmtId="0" xfId="0" applyAlignment="1" applyBorder="1" applyFont="1">
      <alignment horizontal="center"/>
    </xf>
    <xf borderId="97" fillId="0" fontId="8" numFmtId="0" xfId="0" applyBorder="1" applyFont="1"/>
    <xf borderId="98" fillId="37" fontId="14" numFmtId="0" xfId="0" applyAlignment="1" applyBorder="1" applyFont="1">
      <alignment horizontal="center"/>
    </xf>
    <xf borderId="99" fillId="0" fontId="8" numFmtId="0" xfId="0" applyBorder="1" applyFont="1"/>
    <xf borderId="83" fillId="2" fontId="12" numFmtId="0" xfId="0" applyAlignment="1" applyBorder="1" applyFont="1">
      <alignment horizontal="center"/>
    </xf>
    <xf borderId="5" fillId="2" fontId="12" numFmtId="0" xfId="0" applyBorder="1" applyFont="1"/>
    <xf borderId="28" fillId="2" fontId="12" numFmtId="0" xfId="0" applyAlignment="1" applyBorder="1" applyFont="1">
      <alignment horizontal="center"/>
    </xf>
    <xf borderId="47" fillId="38" fontId="19" numFmtId="0" xfId="0" applyBorder="1" applyFont="1"/>
    <xf borderId="27" fillId="2" fontId="12" numFmtId="0" xfId="0" applyBorder="1" applyFont="1"/>
    <xf borderId="24" fillId="40" fontId="12" numFmtId="0" xfId="0" applyAlignment="1" applyBorder="1" applyFill="1" applyFont="1">
      <alignment horizontal="center"/>
    </xf>
    <xf borderId="27" fillId="40" fontId="12" numFmtId="0" xfId="0" applyBorder="1" applyFont="1"/>
    <xf borderId="28" fillId="40" fontId="12" numFmtId="0" xfId="0" applyAlignment="1" applyBorder="1" applyFont="1">
      <alignment horizontal="center"/>
    </xf>
    <xf borderId="53" fillId="39" fontId="1" numFmtId="16" xfId="0" applyBorder="1" applyFont="1" applyNumberFormat="1"/>
    <xf borderId="0" fillId="0" fontId="1" numFmtId="165" xfId="0" applyFont="1" applyNumberFormat="1"/>
    <xf borderId="0" fillId="0" fontId="1" numFmtId="1" xfId="0" applyAlignment="1" applyFont="1" applyNumberFormat="1">
      <alignment horizontal="center" vertical="center"/>
    </xf>
    <xf borderId="100" fillId="38" fontId="1" numFmtId="0" xfId="0" applyBorder="1" applyFont="1"/>
    <xf borderId="33" fillId="37" fontId="20" numFmtId="0" xfId="0" applyAlignment="1" applyBorder="1" applyFont="1">
      <alignment horizontal="center"/>
    </xf>
    <xf borderId="35" fillId="37" fontId="21" numFmtId="0" xfId="0" applyBorder="1" applyFont="1"/>
    <xf borderId="42" fillId="37" fontId="22" numFmtId="0" xfId="0" applyBorder="1" applyFont="1"/>
    <xf borderId="43" fillId="37" fontId="23" numFmtId="0" xfId="0" applyBorder="1" applyFont="1"/>
    <xf borderId="44" fillId="37" fontId="24" numFmtId="0" xfId="0" applyAlignment="1" applyBorder="1" applyFont="1">
      <alignment horizontal="center" vertical="center"/>
    </xf>
    <xf borderId="46" fillId="38" fontId="25" numFmtId="0" xfId="0" applyBorder="1" applyFont="1"/>
    <xf borderId="48" fillId="7" fontId="26" numFmtId="165" xfId="0" applyBorder="1" applyFont="1" applyNumberFormat="1"/>
    <xf borderId="24" fillId="41" fontId="12" numFmtId="0" xfId="0" applyAlignment="1" applyBorder="1" applyFill="1" applyFont="1">
      <alignment horizontal="center"/>
    </xf>
    <xf borderId="28" fillId="41" fontId="12" numFmtId="0" xfId="0" applyAlignment="1" applyBorder="1" applyFont="1">
      <alignment horizontal="center"/>
    </xf>
    <xf borderId="24" fillId="12" fontId="12" numFmtId="0" xfId="0" applyAlignment="1" applyBorder="1" applyFont="1">
      <alignment horizontal="center"/>
    </xf>
    <xf borderId="28" fillId="12" fontId="12" numFmtId="0" xfId="0" applyAlignment="1" applyBorder="1" applyFont="1">
      <alignment horizontal="center"/>
    </xf>
    <xf borderId="5" fillId="38" fontId="1" numFmtId="0" xfId="0" applyBorder="1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7" numFmtId="0" xfId="0" applyFont="1"/>
    <xf borderId="101" fillId="38" fontId="1" numFmtId="0" xfId="0" applyBorder="1" applyFont="1"/>
    <xf borderId="83" fillId="13" fontId="12" numFmtId="0" xfId="0" applyAlignment="1" applyBorder="1" applyFont="1">
      <alignment horizontal="center"/>
    </xf>
    <xf borderId="102" fillId="38" fontId="1" numFmtId="0" xfId="0" applyBorder="1" applyFont="1"/>
    <xf borderId="0" fillId="0" fontId="13" numFmtId="1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0"/>
    <col customWidth="1" min="3" max="3" width="8.71"/>
    <col customWidth="1" min="4" max="4" width="10.57"/>
    <col customWidth="1" min="5" max="5" width="12.57"/>
    <col customWidth="1" min="6" max="7" width="8.71"/>
    <col customWidth="1" min="8" max="8" width="56.0"/>
    <col customWidth="1" min="9" max="9" width="8.71"/>
    <col customWidth="1" min="10" max="10" width="10.57"/>
    <col customWidth="1" min="11" max="11" width="12.57"/>
    <col customWidth="1" min="12" max="13" width="8.71"/>
    <col customWidth="1" min="14" max="14" width="56.0"/>
    <col customWidth="1" min="15" max="15" width="15.0"/>
    <col customWidth="1" min="16" max="16" width="8.71"/>
    <col customWidth="1" min="17" max="17" width="12.57"/>
    <col customWidth="1" min="18" max="19" width="8.71"/>
    <col customWidth="1" min="20" max="20" width="56.0"/>
    <col customWidth="1" min="21" max="21" width="15.0"/>
    <col customWidth="1" min="22" max="22" width="8.71"/>
    <col customWidth="1" min="23" max="23" width="12.57"/>
    <col customWidth="1" min="24" max="25" width="8.71"/>
    <col customWidth="1" min="26" max="26" width="56.0"/>
    <col customWidth="1" min="27" max="27" width="15.0"/>
    <col customWidth="1" min="28" max="28" width="8.71"/>
    <col customWidth="1" min="29" max="29" width="12.57"/>
    <col customWidth="1" min="30" max="31" width="8.71"/>
    <col customWidth="1" min="32" max="32" width="56.0"/>
    <col customWidth="1" min="33" max="33" width="15.0"/>
    <col customWidth="1" min="34" max="34" width="8.71"/>
    <col customWidth="1" min="35" max="35" width="12.57"/>
    <col customWidth="1" min="36" max="36" width="8.71"/>
    <col customWidth="1" min="37" max="37" width="7.57"/>
    <col customWidth="1" min="38" max="38" width="56.0"/>
    <col customWidth="1" min="39" max="40" width="8.71"/>
    <col customWidth="1" min="41" max="41" width="12.57"/>
    <col customWidth="1" min="42" max="42" width="3.43"/>
    <col customWidth="1" min="43" max="43" width="7.0"/>
    <col customWidth="1" min="44" max="44" width="60.43"/>
    <col customWidth="1" min="45" max="45" width="15.0"/>
    <col customWidth="1" min="46" max="46" width="10.57"/>
    <col customWidth="1" min="47" max="47" width="12.57"/>
    <col customWidth="1" min="48" max="48" width="10.57"/>
    <col customWidth="1" min="49" max="49" width="12.57"/>
    <col customWidth="1" min="50" max="52" width="8.71"/>
  </cols>
  <sheetData>
    <row r="1" ht="24.0" customHeight="1">
      <c r="A1" s="1"/>
      <c r="B1" s="2" t="s">
        <v>0</v>
      </c>
      <c r="C1" s="1"/>
      <c r="D1" s="3"/>
      <c r="E1" s="4"/>
      <c r="G1" s="5"/>
      <c r="H1" s="6" t="s">
        <v>1</v>
      </c>
      <c r="I1" s="5"/>
      <c r="J1" s="7"/>
      <c r="K1" s="8"/>
      <c r="M1" s="9"/>
      <c r="N1" s="10" t="s">
        <v>2</v>
      </c>
      <c r="O1" s="9"/>
      <c r="P1" s="11"/>
      <c r="Q1" s="12"/>
      <c r="S1" s="13"/>
      <c r="T1" s="14" t="s">
        <v>3</v>
      </c>
      <c r="U1" s="13"/>
      <c r="V1" s="15"/>
      <c r="W1" s="16"/>
      <c r="Y1" s="17"/>
      <c r="Z1" s="18" t="s">
        <v>4</v>
      </c>
      <c r="AA1" s="17"/>
      <c r="AB1" s="19"/>
      <c r="AC1" s="20"/>
      <c r="AE1" s="21"/>
      <c r="AF1" s="22" t="s">
        <v>5</v>
      </c>
      <c r="AG1" s="21"/>
      <c r="AH1" s="23"/>
      <c r="AI1" s="24"/>
      <c r="AK1" s="25"/>
      <c r="AL1" s="26" t="s">
        <v>6</v>
      </c>
      <c r="AM1" s="25"/>
      <c r="AN1" s="27"/>
      <c r="AO1" s="28"/>
      <c r="AQ1" s="29" t="s">
        <v>7</v>
      </c>
      <c r="AR1" s="29"/>
      <c r="AS1" s="29"/>
      <c r="AT1" s="29"/>
      <c r="AU1" s="29"/>
      <c r="AV1" s="29"/>
      <c r="AW1" s="29"/>
      <c r="AY1" s="30"/>
    </row>
    <row r="2" ht="14.25" customHeight="1">
      <c r="A2" s="31" t="s">
        <v>8</v>
      </c>
      <c r="B2" s="31" t="s">
        <v>9</v>
      </c>
      <c r="C2" s="31" t="s">
        <v>10</v>
      </c>
      <c r="D2" s="31" t="s">
        <v>11</v>
      </c>
      <c r="E2" s="31" t="s">
        <v>12</v>
      </c>
      <c r="G2" s="31" t="s">
        <v>8</v>
      </c>
      <c r="H2" s="31" t="s">
        <v>9</v>
      </c>
      <c r="I2" s="31" t="s">
        <v>10</v>
      </c>
      <c r="J2" s="31" t="s">
        <v>11</v>
      </c>
      <c r="K2" s="31" t="s">
        <v>12</v>
      </c>
      <c r="M2" s="31" t="s">
        <v>8</v>
      </c>
      <c r="N2" s="31" t="s">
        <v>9</v>
      </c>
      <c r="O2" s="31" t="s">
        <v>10</v>
      </c>
      <c r="P2" s="31" t="s">
        <v>11</v>
      </c>
      <c r="Q2" s="31" t="s">
        <v>12</v>
      </c>
      <c r="S2" s="31" t="s">
        <v>8</v>
      </c>
      <c r="T2" s="31" t="s">
        <v>9</v>
      </c>
      <c r="U2" s="31" t="s">
        <v>10</v>
      </c>
      <c r="V2" s="31" t="s">
        <v>11</v>
      </c>
      <c r="W2" s="31" t="s">
        <v>12</v>
      </c>
      <c r="Y2" s="31" t="s">
        <v>8</v>
      </c>
      <c r="Z2" s="31" t="s">
        <v>9</v>
      </c>
      <c r="AA2" s="31" t="s">
        <v>10</v>
      </c>
      <c r="AB2" s="31" t="s">
        <v>11</v>
      </c>
      <c r="AC2" s="31" t="s">
        <v>12</v>
      </c>
      <c r="AE2" s="31" t="s">
        <v>8</v>
      </c>
      <c r="AF2" s="31" t="s">
        <v>9</v>
      </c>
      <c r="AG2" s="31" t="s">
        <v>10</v>
      </c>
      <c r="AH2" s="31" t="s">
        <v>11</v>
      </c>
      <c r="AI2" s="31" t="s">
        <v>12</v>
      </c>
      <c r="AK2" s="31" t="s">
        <v>8</v>
      </c>
      <c r="AL2" s="31" t="s">
        <v>9</v>
      </c>
      <c r="AM2" s="31" t="s">
        <v>10</v>
      </c>
      <c r="AN2" s="31" t="s">
        <v>11</v>
      </c>
      <c r="AO2" s="31" t="s">
        <v>12</v>
      </c>
      <c r="AQ2" s="32" t="s">
        <v>8</v>
      </c>
      <c r="AR2" s="33" t="s">
        <v>9</v>
      </c>
      <c r="AS2" s="33" t="s">
        <v>10</v>
      </c>
      <c r="AT2" s="33" t="s">
        <v>11</v>
      </c>
      <c r="AU2" s="33" t="s">
        <v>13</v>
      </c>
      <c r="AV2" s="34" t="s">
        <v>14</v>
      </c>
      <c r="AW2" s="34" t="s">
        <v>15</v>
      </c>
      <c r="AX2" s="33"/>
      <c r="AY2" s="35"/>
      <c r="AZ2" s="31">
        <f>SUMIF(AR:AR,AY2,AT:AT)</f>
        <v>0</v>
      </c>
    </row>
    <row r="3" ht="14.25" customHeight="1">
      <c r="A3" s="31">
        <v>8966.0</v>
      </c>
      <c r="B3" s="31" t="s">
        <v>16</v>
      </c>
      <c r="C3" s="31">
        <v>8966.0</v>
      </c>
      <c r="D3" s="31">
        <v>12.0</v>
      </c>
      <c r="E3" s="36" t="s">
        <v>17</v>
      </c>
      <c r="G3" s="31">
        <v>7574.0</v>
      </c>
      <c r="H3" s="31" t="s">
        <v>18</v>
      </c>
      <c r="I3" s="31">
        <v>7574.0</v>
      </c>
      <c r="J3" s="31">
        <v>0.19</v>
      </c>
      <c r="K3" s="36" t="s">
        <v>19</v>
      </c>
      <c r="M3" s="31">
        <v>9350.0</v>
      </c>
      <c r="N3" s="31" t="s">
        <v>20</v>
      </c>
      <c r="O3" s="31">
        <v>9350.0</v>
      </c>
      <c r="P3" s="31">
        <v>1.0</v>
      </c>
      <c r="Q3" s="36" t="s">
        <v>21</v>
      </c>
      <c r="S3" s="31">
        <v>102365.0</v>
      </c>
      <c r="T3" s="31" t="s">
        <v>22</v>
      </c>
      <c r="U3" s="31">
        <v>102365.0</v>
      </c>
      <c r="V3" s="31">
        <v>0.29</v>
      </c>
      <c r="W3" s="36" t="s">
        <v>23</v>
      </c>
      <c r="Y3" s="31">
        <v>2893.0</v>
      </c>
      <c r="Z3" s="31" t="s">
        <v>24</v>
      </c>
      <c r="AA3" s="31">
        <v>2893.0</v>
      </c>
      <c r="AB3" s="31">
        <v>10.0</v>
      </c>
      <c r="AC3" s="36" t="s">
        <v>25</v>
      </c>
      <c r="AE3" s="31">
        <v>93583.0</v>
      </c>
      <c r="AF3" s="31" t="s">
        <v>26</v>
      </c>
      <c r="AG3" s="31">
        <v>93583.0</v>
      </c>
      <c r="AH3" s="31">
        <v>8.0</v>
      </c>
      <c r="AI3" s="36" t="s">
        <v>27</v>
      </c>
      <c r="AK3" s="31">
        <v>7041.0</v>
      </c>
      <c r="AL3" s="31" t="s">
        <v>28</v>
      </c>
      <c r="AM3" s="31">
        <v>7041.0</v>
      </c>
      <c r="AN3" s="31">
        <v>0.95</v>
      </c>
      <c r="AO3" s="36" t="s">
        <v>29</v>
      </c>
      <c r="AQ3" s="31">
        <v>7068.0</v>
      </c>
      <c r="AR3" s="31" t="s">
        <v>30</v>
      </c>
      <c r="AS3" s="31">
        <v>7068.0</v>
      </c>
      <c r="AT3" s="31">
        <v>20.51</v>
      </c>
      <c r="AU3" s="37">
        <v>1023.49</v>
      </c>
      <c r="AV3" s="38">
        <f t="shared" ref="AV3:AW3" si="1">(AT3/7)</f>
        <v>2.93</v>
      </c>
      <c r="AW3" s="38">
        <f t="shared" si="1"/>
        <v>146.2128571</v>
      </c>
      <c r="AX3" s="37"/>
      <c r="AY3" s="39"/>
    </row>
    <row r="4" ht="14.25" customHeight="1">
      <c r="A4" s="31">
        <v>7768.0</v>
      </c>
      <c r="B4" s="31" t="s">
        <v>31</v>
      </c>
      <c r="C4" s="31">
        <v>7768.0</v>
      </c>
      <c r="D4" s="31">
        <v>10.0</v>
      </c>
      <c r="E4" s="36" t="str">
        <f t="shared" ref="E4:E100" si="3">(E3)</f>
        <v>19/01 a20/01</v>
      </c>
      <c r="G4" s="31">
        <v>7575.0</v>
      </c>
      <c r="H4" s="31" t="s">
        <v>32</v>
      </c>
      <c r="I4" s="31">
        <v>7575.0</v>
      </c>
      <c r="J4" s="31">
        <v>0.2</v>
      </c>
      <c r="K4" s="36" t="str">
        <f t="shared" ref="K4:K100" si="4">(K3)</f>
        <v>20/01 a 21/01</v>
      </c>
      <c r="M4" s="31">
        <v>7930.0</v>
      </c>
      <c r="N4" s="31" t="s">
        <v>33</v>
      </c>
      <c r="O4" s="31">
        <v>7930.0</v>
      </c>
      <c r="P4" s="31">
        <v>10.0</v>
      </c>
      <c r="Q4" s="36" t="str">
        <f t="shared" ref="Q4:Q52" si="5">(Q3)</f>
        <v>21/01 a 22/01</v>
      </c>
      <c r="S4" s="31">
        <v>7574.0</v>
      </c>
      <c r="T4" s="31" t="s">
        <v>18</v>
      </c>
      <c r="U4" s="31">
        <v>7574.0</v>
      </c>
      <c r="V4" s="31">
        <v>0.19</v>
      </c>
      <c r="W4" s="36" t="str">
        <f t="shared" ref="W4:W56" si="6">(W3)</f>
        <v>15/01 a16/01</v>
      </c>
      <c r="Y4" s="31">
        <v>7574.0</v>
      </c>
      <c r="Z4" s="31" t="s">
        <v>18</v>
      </c>
      <c r="AA4" s="31">
        <v>7574.0</v>
      </c>
      <c r="AB4" s="31">
        <v>0.35</v>
      </c>
      <c r="AC4" s="36" t="str">
        <f t="shared" ref="AC4:AC100" si="7">(AC3)</f>
        <v>16/01 a 17/01</v>
      </c>
      <c r="AE4" s="31">
        <v>2893.0</v>
      </c>
      <c r="AF4" s="31" t="s">
        <v>24</v>
      </c>
      <c r="AG4" s="31">
        <v>2893.0</v>
      </c>
      <c r="AH4" s="31">
        <v>27.0</v>
      </c>
      <c r="AI4" s="36" t="str">
        <f t="shared" ref="AI4:AI100" si="8">(AI3)</f>
        <v>17/01 a 18/01</v>
      </c>
      <c r="AK4" s="31">
        <v>7068.0</v>
      </c>
      <c r="AL4" s="31" t="s">
        <v>30</v>
      </c>
      <c r="AM4" s="31">
        <v>7068.0</v>
      </c>
      <c r="AN4" s="31">
        <v>10.31</v>
      </c>
      <c r="AO4" s="36" t="str">
        <f t="shared" ref="AO4:AO100" si="9">(AO3)</f>
        <v>20/10 A 23/10</v>
      </c>
      <c r="AQ4" s="31">
        <v>7569.0</v>
      </c>
      <c r="AR4" s="31" t="s">
        <v>34</v>
      </c>
      <c r="AS4" s="31">
        <v>7569.0</v>
      </c>
      <c r="AT4" s="31">
        <v>69.0</v>
      </c>
      <c r="AU4" s="37">
        <v>959.1</v>
      </c>
      <c r="AV4" s="38">
        <f t="shared" ref="AV4:AW4" si="2">(AT4/7)</f>
        <v>9.857142857</v>
      </c>
      <c r="AW4" s="38">
        <f t="shared" si="2"/>
        <v>137.0142857</v>
      </c>
      <c r="AX4" s="40"/>
      <c r="AY4" s="39"/>
    </row>
    <row r="5" ht="14.25" customHeight="1">
      <c r="A5" s="31">
        <v>7875.0</v>
      </c>
      <c r="B5" s="31" t="s">
        <v>35</v>
      </c>
      <c r="C5" s="31">
        <v>7875.0</v>
      </c>
      <c r="D5" s="31">
        <v>7.0</v>
      </c>
      <c r="E5" s="36" t="str">
        <f t="shared" si="3"/>
        <v>19/01 a20/01</v>
      </c>
      <c r="G5" s="31">
        <v>7930.0</v>
      </c>
      <c r="H5" s="31" t="s">
        <v>33</v>
      </c>
      <c r="I5" s="31">
        <v>7930.0</v>
      </c>
      <c r="J5" s="31">
        <v>11.0</v>
      </c>
      <c r="K5" s="36" t="str">
        <f t="shared" si="4"/>
        <v>20/01 a 21/01</v>
      </c>
      <c r="M5" s="31">
        <v>7625.0</v>
      </c>
      <c r="N5" s="31" t="s">
        <v>36</v>
      </c>
      <c r="O5" s="31">
        <v>7625.0</v>
      </c>
      <c r="P5" s="31">
        <v>7.0</v>
      </c>
      <c r="Q5" s="36" t="str">
        <f t="shared" si="5"/>
        <v>21/01 a 22/01</v>
      </c>
      <c r="S5" s="31">
        <v>7575.0</v>
      </c>
      <c r="T5" s="31" t="s">
        <v>32</v>
      </c>
      <c r="U5" s="31">
        <v>7575.0</v>
      </c>
      <c r="V5" s="31">
        <v>0.22</v>
      </c>
      <c r="W5" s="36" t="str">
        <f t="shared" si="6"/>
        <v>15/01 a16/01</v>
      </c>
      <c r="Y5" s="31">
        <v>7575.0</v>
      </c>
      <c r="Z5" s="31" t="s">
        <v>32</v>
      </c>
      <c r="AA5" s="31">
        <v>7575.0</v>
      </c>
      <c r="AB5" s="31">
        <v>0.22</v>
      </c>
      <c r="AC5" s="36" t="str">
        <f t="shared" si="7"/>
        <v>16/01 a 17/01</v>
      </c>
      <c r="AE5" s="31">
        <v>7574.0</v>
      </c>
      <c r="AF5" s="31" t="s">
        <v>18</v>
      </c>
      <c r="AG5" s="31">
        <v>7574.0</v>
      </c>
      <c r="AH5" s="31">
        <v>0.16</v>
      </c>
      <c r="AI5" s="36" t="str">
        <f t="shared" si="8"/>
        <v>17/01 a 18/01</v>
      </c>
      <c r="AK5" s="31">
        <v>6856.0</v>
      </c>
      <c r="AL5" s="31" t="s">
        <v>37</v>
      </c>
      <c r="AM5" s="31">
        <v>6856.0</v>
      </c>
      <c r="AN5" s="31">
        <v>0.55</v>
      </c>
      <c r="AO5" s="36" t="str">
        <f t="shared" si="9"/>
        <v>20/10 A 23/10</v>
      </c>
      <c r="AQ5" s="31">
        <v>6856.0</v>
      </c>
      <c r="AR5" s="31" t="s">
        <v>37</v>
      </c>
      <c r="AS5" s="31">
        <v>6856.0</v>
      </c>
      <c r="AT5" s="31">
        <v>17.21</v>
      </c>
      <c r="AU5" s="37">
        <v>674.56</v>
      </c>
      <c r="AV5" s="38">
        <f t="shared" ref="AV5:AW5" si="10">(AT5/7)</f>
        <v>2.458571429</v>
      </c>
      <c r="AW5" s="38">
        <f t="shared" si="10"/>
        <v>96.36571429</v>
      </c>
      <c r="AX5" s="40"/>
      <c r="AY5" s="39"/>
    </row>
    <row r="6" ht="14.25" customHeight="1">
      <c r="A6" s="31">
        <v>7877.0</v>
      </c>
      <c r="B6" s="31" t="s">
        <v>38</v>
      </c>
      <c r="C6" s="31">
        <v>7877.0</v>
      </c>
      <c r="D6" s="31">
        <v>14.0</v>
      </c>
      <c r="E6" s="36" t="str">
        <f t="shared" si="3"/>
        <v>19/01 a20/01</v>
      </c>
      <c r="G6" s="31">
        <v>7673.0</v>
      </c>
      <c r="H6" s="31" t="s">
        <v>39</v>
      </c>
      <c r="I6" s="31">
        <v>7673.0</v>
      </c>
      <c r="J6" s="31">
        <v>17.0</v>
      </c>
      <c r="K6" s="36" t="str">
        <f t="shared" si="4"/>
        <v>20/01 a 21/01</v>
      </c>
      <c r="M6" s="31">
        <v>7673.0</v>
      </c>
      <c r="N6" s="31" t="s">
        <v>39</v>
      </c>
      <c r="O6" s="31">
        <v>7673.0</v>
      </c>
      <c r="P6" s="31">
        <v>14.0</v>
      </c>
      <c r="Q6" s="36" t="str">
        <f t="shared" si="5"/>
        <v>21/01 a 22/01</v>
      </c>
      <c r="S6" s="31">
        <v>7625.0</v>
      </c>
      <c r="T6" s="31" t="s">
        <v>36</v>
      </c>
      <c r="U6" s="31">
        <v>7625.0</v>
      </c>
      <c r="V6" s="31">
        <v>15.0</v>
      </c>
      <c r="W6" s="36" t="str">
        <f t="shared" si="6"/>
        <v>15/01 a16/01</v>
      </c>
      <c r="Y6" s="31">
        <v>7660.0</v>
      </c>
      <c r="Z6" s="31" t="s">
        <v>40</v>
      </c>
      <c r="AA6" s="31">
        <v>7660.0</v>
      </c>
      <c r="AB6" s="31">
        <v>12.0</v>
      </c>
      <c r="AC6" s="36" t="str">
        <f t="shared" si="7"/>
        <v>16/01 a 17/01</v>
      </c>
      <c r="AE6" s="31">
        <v>7660.0</v>
      </c>
      <c r="AF6" s="31" t="s">
        <v>40</v>
      </c>
      <c r="AG6" s="31">
        <v>7660.0</v>
      </c>
      <c r="AH6" s="31">
        <v>12.0</v>
      </c>
      <c r="AI6" s="36" t="str">
        <f t="shared" si="8"/>
        <v>17/01 a 18/01</v>
      </c>
      <c r="AK6" s="31">
        <v>6856.0</v>
      </c>
      <c r="AL6" s="31" t="s">
        <v>37</v>
      </c>
      <c r="AM6" s="31">
        <v>6856.0</v>
      </c>
      <c r="AN6" s="31">
        <v>5.04</v>
      </c>
      <c r="AO6" s="36" t="str">
        <f t="shared" si="9"/>
        <v>20/10 A 23/10</v>
      </c>
      <c r="AQ6" s="31">
        <v>6966.0</v>
      </c>
      <c r="AR6" s="31" t="s">
        <v>41</v>
      </c>
      <c r="AS6" s="31">
        <v>6966.0</v>
      </c>
      <c r="AT6" s="31">
        <v>14.64</v>
      </c>
      <c r="AU6" s="37">
        <v>476.25</v>
      </c>
      <c r="AV6" s="38">
        <f t="shared" ref="AV6:AW6" si="11">(AT6/7)</f>
        <v>2.091428571</v>
      </c>
      <c r="AW6" s="38">
        <f t="shared" si="11"/>
        <v>68.03571429</v>
      </c>
      <c r="AX6" s="40"/>
      <c r="AY6" s="39"/>
    </row>
    <row r="7" ht="14.25" customHeight="1">
      <c r="A7" s="31">
        <v>8945.0</v>
      </c>
      <c r="B7" s="31" t="s">
        <v>42</v>
      </c>
      <c r="C7" s="31">
        <v>8945.0</v>
      </c>
      <c r="D7" s="31">
        <v>0.87</v>
      </c>
      <c r="E7" s="36" t="str">
        <f t="shared" si="3"/>
        <v>19/01 a20/01</v>
      </c>
      <c r="G7" s="31">
        <v>7875.0</v>
      </c>
      <c r="H7" s="31" t="s">
        <v>35</v>
      </c>
      <c r="I7" s="31">
        <v>7875.0</v>
      </c>
      <c r="J7" s="31">
        <v>10.0</v>
      </c>
      <c r="K7" s="36" t="str">
        <f t="shared" si="4"/>
        <v>20/01 a 21/01</v>
      </c>
      <c r="M7" s="31">
        <v>7796.0</v>
      </c>
      <c r="N7" s="31" t="s">
        <v>43</v>
      </c>
      <c r="O7" s="31">
        <v>7796.0</v>
      </c>
      <c r="P7" s="31">
        <v>12.0</v>
      </c>
      <c r="Q7" s="36" t="str">
        <f t="shared" si="5"/>
        <v>21/01 a 22/01</v>
      </c>
      <c r="S7" s="31">
        <v>9362.0</v>
      </c>
      <c r="T7" s="31" t="s">
        <v>44</v>
      </c>
      <c r="U7" s="31">
        <v>9362.0</v>
      </c>
      <c r="V7" s="31">
        <v>15.0</v>
      </c>
      <c r="W7" s="36" t="str">
        <f t="shared" si="6"/>
        <v>15/01 a16/01</v>
      </c>
      <c r="Y7" s="31">
        <v>7673.0</v>
      </c>
      <c r="Z7" s="31" t="s">
        <v>39</v>
      </c>
      <c r="AA7" s="31">
        <v>7673.0</v>
      </c>
      <c r="AB7" s="31">
        <v>21.0</v>
      </c>
      <c r="AC7" s="36" t="str">
        <f t="shared" si="7"/>
        <v>16/01 a 17/01</v>
      </c>
      <c r="AE7" s="31">
        <v>7673.0</v>
      </c>
      <c r="AF7" s="31" t="s">
        <v>39</v>
      </c>
      <c r="AG7" s="31">
        <v>7673.0</v>
      </c>
      <c r="AH7" s="31">
        <v>21.0</v>
      </c>
      <c r="AI7" s="36" t="str">
        <f t="shared" si="8"/>
        <v>17/01 a 18/01</v>
      </c>
      <c r="AK7" s="31">
        <v>7120.0</v>
      </c>
      <c r="AL7" s="31" t="s">
        <v>45</v>
      </c>
      <c r="AM7" s="31">
        <v>7120.0</v>
      </c>
      <c r="AN7" s="31">
        <v>0.43</v>
      </c>
      <c r="AO7" s="36" t="str">
        <f t="shared" si="9"/>
        <v>20/10 A 23/10</v>
      </c>
      <c r="AQ7" s="31">
        <v>104254.0</v>
      </c>
      <c r="AR7" s="31" t="s">
        <v>46</v>
      </c>
      <c r="AS7" s="31">
        <v>104254.0</v>
      </c>
      <c r="AT7" s="31">
        <v>5.18</v>
      </c>
      <c r="AU7" s="37">
        <v>414.18</v>
      </c>
      <c r="AV7" s="38">
        <f t="shared" ref="AV7:AW7" si="12">(AT7/7)</f>
        <v>0.74</v>
      </c>
      <c r="AW7" s="38">
        <f t="shared" si="12"/>
        <v>59.16857143</v>
      </c>
      <c r="AX7" s="40"/>
      <c r="AY7" s="39"/>
    </row>
    <row r="8" ht="14.25" customHeight="1">
      <c r="A8" s="31">
        <v>8028.0</v>
      </c>
      <c r="B8" s="31" t="s">
        <v>47</v>
      </c>
      <c r="C8" s="31">
        <v>8028.0</v>
      </c>
      <c r="D8" s="31">
        <v>2.71</v>
      </c>
      <c r="E8" s="36" t="str">
        <f t="shared" si="3"/>
        <v>19/01 a20/01</v>
      </c>
      <c r="G8" s="31">
        <v>7877.0</v>
      </c>
      <c r="H8" s="31" t="s">
        <v>38</v>
      </c>
      <c r="I8" s="31">
        <v>7877.0</v>
      </c>
      <c r="J8" s="31">
        <v>14.0</v>
      </c>
      <c r="K8" s="36" t="str">
        <f t="shared" si="4"/>
        <v>20/01 a 21/01</v>
      </c>
      <c r="M8" s="31">
        <v>8321.0</v>
      </c>
      <c r="N8" s="31" t="s">
        <v>48</v>
      </c>
      <c r="O8" s="31">
        <v>8321.0</v>
      </c>
      <c r="P8" s="31">
        <v>4.0</v>
      </c>
      <c r="Q8" s="36" t="str">
        <f t="shared" si="5"/>
        <v>21/01 a 22/01</v>
      </c>
      <c r="S8" s="31">
        <v>7796.0</v>
      </c>
      <c r="T8" s="31" t="s">
        <v>43</v>
      </c>
      <c r="U8" s="31">
        <v>7796.0</v>
      </c>
      <c r="V8" s="31">
        <v>15.0</v>
      </c>
      <c r="W8" s="36" t="str">
        <f t="shared" si="6"/>
        <v>15/01 a16/01</v>
      </c>
      <c r="Y8" s="31">
        <v>9362.0</v>
      </c>
      <c r="Z8" s="31" t="s">
        <v>44</v>
      </c>
      <c r="AA8" s="31">
        <v>9362.0</v>
      </c>
      <c r="AB8" s="31">
        <v>15.0</v>
      </c>
      <c r="AC8" s="36" t="str">
        <f t="shared" si="7"/>
        <v>16/01 a 17/01</v>
      </c>
      <c r="AE8" s="31">
        <v>8321.0</v>
      </c>
      <c r="AF8" s="31" t="s">
        <v>48</v>
      </c>
      <c r="AG8" s="31">
        <v>8321.0</v>
      </c>
      <c r="AH8" s="31">
        <v>7.0</v>
      </c>
      <c r="AI8" s="36" t="str">
        <f t="shared" si="8"/>
        <v>17/01 a 18/01</v>
      </c>
      <c r="AK8" s="31">
        <v>7267.0</v>
      </c>
      <c r="AL8" s="31" t="s">
        <v>49</v>
      </c>
      <c r="AM8" s="31">
        <v>7267.0</v>
      </c>
      <c r="AN8" s="31">
        <v>0.44</v>
      </c>
      <c r="AO8" s="36" t="str">
        <f t="shared" si="9"/>
        <v>20/10 A 23/10</v>
      </c>
      <c r="AQ8" s="31">
        <v>6965.0</v>
      </c>
      <c r="AR8" s="31" t="s">
        <v>50</v>
      </c>
      <c r="AS8" s="31">
        <v>6965.0</v>
      </c>
      <c r="AT8" s="31">
        <v>12.53</v>
      </c>
      <c r="AU8" s="37">
        <v>367.8</v>
      </c>
      <c r="AV8" s="38">
        <f t="shared" ref="AV8:AW8" si="13">(AT8/7)</f>
        <v>1.79</v>
      </c>
      <c r="AW8" s="38">
        <f t="shared" si="13"/>
        <v>52.54285714</v>
      </c>
      <c r="AX8" s="40"/>
      <c r="AY8" s="39"/>
    </row>
    <row r="9" ht="14.25" customHeight="1">
      <c r="A9" s="31">
        <v>8080.0</v>
      </c>
      <c r="B9" s="31" t="s">
        <v>51</v>
      </c>
      <c r="C9" s="31">
        <v>8080.0</v>
      </c>
      <c r="D9" s="31">
        <v>0.72</v>
      </c>
      <c r="E9" s="36" t="str">
        <f t="shared" si="3"/>
        <v>19/01 a20/01</v>
      </c>
      <c r="G9" s="31">
        <v>7877.0</v>
      </c>
      <c r="H9" s="31" t="s">
        <v>38</v>
      </c>
      <c r="I9" s="31">
        <v>7877.0</v>
      </c>
      <c r="J9" s="31">
        <v>1.0</v>
      </c>
      <c r="K9" s="36" t="str">
        <f t="shared" si="4"/>
        <v>20/01 a 21/01</v>
      </c>
      <c r="M9" s="31">
        <v>8028.0</v>
      </c>
      <c r="N9" s="31" t="s">
        <v>47</v>
      </c>
      <c r="O9" s="31">
        <v>8028.0</v>
      </c>
      <c r="P9" s="31">
        <v>1.52</v>
      </c>
      <c r="Q9" s="36" t="str">
        <f t="shared" si="5"/>
        <v>21/01 a 22/01</v>
      </c>
      <c r="S9" s="31">
        <v>7874.0</v>
      </c>
      <c r="T9" s="31" t="s">
        <v>52</v>
      </c>
      <c r="U9" s="31">
        <v>7874.0</v>
      </c>
      <c r="V9" s="31">
        <v>15.0</v>
      </c>
      <c r="W9" s="36" t="str">
        <f t="shared" si="6"/>
        <v>15/01 a16/01</v>
      </c>
      <c r="Y9" s="31">
        <v>7874.0</v>
      </c>
      <c r="Z9" s="31" t="s">
        <v>52</v>
      </c>
      <c r="AA9" s="31">
        <v>7874.0</v>
      </c>
      <c r="AB9" s="31">
        <v>15.0</v>
      </c>
      <c r="AC9" s="36" t="str">
        <f t="shared" si="7"/>
        <v>16/01 a 17/01</v>
      </c>
      <c r="AE9" s="31">
        <v>8023.0</v>
      </c>
      <c r="AF9" s="31" t="s">
        <v>53</v>
      </c>
      <c r="AG9" s="31">
        <v>8023.0</v>
      </c>
      <c r="AH9" s="31">
        <v>3.22</v>
      </c>
      <c r="AI9" s="36" t="str">
        <f t="shared" si="8"/>
        <v>17/01 a 18/01</v>
      </c>
      <c r="AK9" s="31">
        <v>7141.0</v>
      </c>
      <c r="AL9" s="31" t="s">
        <v>54</v>
      </c>
      <c r="AM9" s="31">
        <v>7141.0</v>
      </c>
      <c r="AN9" s="31">
        <v>1.82</v>
      </c>
      <c r="AO9" s="36" t="str">
        <f t="shared" si="9"/>
        <v>20/10 A 23/10</v>
      </c>
      <c r="AQ9" s="31">
        <v>7499.0</v>
      </c>
      <c r="AR9" s="31" t="s">
        <v>55</v>
      </c>
      <c r="AS9" s="31">
        <v>7499.0</v>
      </c>
      <c r="AT9" s="31">
        <v>8.82</v>
      </c>
      <c r="AU9" s="37">
        <v>325.29</v>
      </c>
      <c r="AV9" s="38">
        <f t="shared" ref="AV9:AW9" si="14">(AT9/7)</f>
        <v>1.26</v>
      </c>
      <c r="AW9" s="38">
        <f t="shared" si="14"/>
        <v>46.47</v>
      </c>
      <c r="AX9" s="40"/>
      <c r="AY9" s="39"/>
    </row>
    <row r="10" ht="14.25" customHeight="1">
      <c r="A10" s="31">
        <v>8089.0</v>
      </c>
      <c r="B10" s="31" t="s">
        <v>56</v>
      </c>
      <c r="C10" s="31">
        <v>8089.0</v>
      </c>
      <c r="D10" s="31">
        <v>1.36</v>
      </c>
      <c r="E10" s="36" t="str">
        <f t="shared" si="3"/>
        <v>19/01 a20/01</v>
      </c>
      <c r="G10" s="31">
        <v>8028.0</v>
      </c>
      <c r="H10" s="31" t="s">
        <v>47</v>
      </c>
      <c r="I10" s="31">
        <v>8028.0</v>
      </c>
      <c r="J10" s="31">
        <v>2.56</v>
      </c>
      <c r="K10" s="36" t="str">
        <f t="shared" si="4"/>
        <v>20/01 a 21/01</v>
      </c>
      <c r="M10" s="31">
        <v>8048.0</v>
      </c>
      <c r="N10" s="31" t="s">
        <v>57</v>
      </c>
      <c r="O10" s="31">
        <v>8048.0</v>
      </c>
      <c r="P10" s="31">
        <v>1.32</v>
      </c>
      <c r="Q10" s="36" t="str">
        <f t="shared" si="5"/>
        <v>21/01 a 22/01</v>
      </c>
      <c r="S10" s="31">
        <v>8321.0</v>
      </c>
      <c r="T10" s="31" t="s">
        <v>48</v>
      </c>
      <c r="U10" s="31">
        <v>8321.0</v>
      </c>
      <c r="V10" s="31">
        <v>8.0</v>
      </c>
      <c r="W10" s="36" t="str">
        <f t="shared" si="6"/>
        <v>15/01 a16/01</v>
      </c>
      <c r="Y10" s="31">
        <v>8321.0</v>
      </c>
      <c r="Z10" s="31" t="s">
        <v>48</v>
      </c>
      <c r="AA10" s="31">
        <v>8321.0</v>
      </c>
      <c r="AB10" s="31">
        <v>11.0</v>
      </c>
      <c r="AC10" s="36" t="str">
        <f t="shared" si="7"/>
        <v>16/01 a 17/01</v>
      </c>
      <c r="AE10" s="31">
        <v>8028.0</v>
      </c>
      <c r="AF10" s="31" t="s">
        <v>47</v>
      </c>
      <c r="AG10" s="31">
        <v>8028.0</v>
      </c>
      <c r="AH10" s="31">
        <v>3.07</v>
      </c>
      <c r="AI10" s="36" t="str">
        <f t="shared" si="8"/>
        <v>17/01 a 18/01</v>
      </c>
      <c r="AK10" s="31">
        <v>7567.0</v>
      </c>
      <c r="AL10" s="31" t="s">
        <v>58</v>
      </c>
      <c r="AM10" s="31">
        <v>7567.0</v>
      </c>
      <c r="AN10" s="31">
        <v>0.23</v>
      </c>
      <c r="AO10" s="36" t="str">
        <f t="shared" si="9"/>
        <v>20/10 A 23/10</v>
      </c>
      <c r="AQ10" s="31">
        <v>6982.0</v>
      </c>
      <c r="AR10" s="31" t="s">
        <v>59</v>
      </c>
      <c r="AS10" s="31">
        <v>6982.0</v>
      </c>
      <c r="AT10" s="31">
        <v>6.79</v>
      </c>
      <c r="AU10" s="37">
        <v>298.23</v>
      </c>
      <c r="AV10" s="38">
        <f t="shared" ref="AV10:AW10" si="15">(AT10/7)</f>
        <v>0.97</v>
      </c>
      <c r="AW10" s="38">
        <f t="shared" si="15"/>
        <v>42.60428571</v>
      </c>
      <c r="AX10" s="40"/>
      <c r="AY10" s="39"/>
    </row>
    <row r="11" ht="14.25" customHeight="1">
      <c r="A11" s="31">
        <v>8093.0</v>
      </c>
      <c r="B11" s="31" t="s">
        <v>60</v>
      </c>
      <c r="C11" s="31">
        <v>8093.0</v>
      </c>
      <c r="D11" s="31">
        <v>0.79</v>
      </c>
      <c r="E11" s="36" t="str">
        <f t="shared" si="3"/>
        <v>19/01 a20/01</v>
      </c>
      <c r="G11" s="31">
        <v>8048.0</v>
      </c>
      <c r="H11" s="31" t="s">
        <v>57</v>
      </c>
      <c r="I11" s="31">
        <v>8048.0</v>
      </c>
      <c r="J11" s="31">
        <v>1.15</v>
      </c>
      <c r="K11" s="36" t="str">
        <f t="shared" si="4"/>
        <v>20/01 a 21/01</v>
      </c>
      <c r="M11" s="31">
        <v>8089.0</v>
      </c>
      <c r="N11" s="31" t="s">
        <v>56</v>
      </c>
      <c r="O11" s="31">
        <v>8089.0</v>
      </c>
      <c r="P11" s="31">
        <v>0.55</v>
      </c>
      <c r="Q11" s="36" t="str">
        <f t="shared" si="5"/>
        <v>21/01 a 22/01</v>
      </c>
      <c r="S11" s="31">
        <v>8028.0</v>
      </c>
      <c r="T11" s="31" t="s">
        <v>47</v>
      </c>
      <c r="U11" s="31">
        <v>8028.0</v>
      </c>
      <c r="V11" s="31">
        <v>3.61</v>
      </c>
      <c r="W11" s="36" t="str">
        <f t="shared" si="6"/>
        <v>15/01 a16/01</v>
      </c>
      <c r="Y11" s="31">
        <v>8028.0</v>
      </c>
      <c r="Z11" s="31" t="s">
        <v>47</v>
      </c>
      <c r="AA11" s="31">
        <v>8028.0</v>
      </c>
      <c r="AB11" s="31">
        <v>3.1</v>
      </c>
      <c r="AC11" s="36" t="str">
        <f t="shared" si="7"/>
        <v>16/01 a 17/01</v>
      </c>
      <c r="AE11" s="31">
        <v>8037.0</v>
      </c>
      <c r="AF11" s="31" t="s">
        <v>61</v>
      </c>
      <c r="AG11" s="31">
        <v>8037.0</v>
      </c>
      <c r="AH11" s="31">
        <v>1.34</v>
      </c>
      <c r="AI11" s="36" t="str">
        <f t="shared" si="8"/>
        <v>17/01 a 18/01</v>
      </c>
      <c r="AK11" s="31">
        <v>7197.0</v>
      </c>
      <c r="AL11" s="31" t="s">
        <v>62</v>
      </c>
      <c r="AM11" s="31">
        <v>7197.0</v>
      </c>
      <c r="AN11" s="31">
        <v>0.41</v>
      </c>
      <c r="AO11" s="36" t="str">
        <f t="shared" si="9"/>
        <v>20/10 A 23/10</v>
      </c>
      <c r="AQ11" s="31">
        <v>104256.0</v>
      </c>
      <c r="AR11" s="31" t="s">
        <v>63</v>
      </c>
      <c r="AS11" s="31">
        <v>104256.0</v>
      </c>
      <c r="AT11" s="31">
        <v>4.67</v>
      </c>
      <c r="AU11" s="37">
        <v>280.0</v>
      </c>
      <c r="AV11" s="38">
        <f t="shared" ref="AV11:AW11" si="16">(AT11/7)</f>
        <v>0.6671428571</v>
      </c>
      <c r="AW11" s="38">
        <f t="shared" si="16"/>
        <v>40</v>
      </c>
      <c r="AX11" s="40"/>
      <c r="AY11" s="39"/>
    </row>
    <row r="12" ht="14.25" customHeight="1">
      <c r="A12" s="31">
        <v>8166.0</v>
      </c>
      <c r="B12" s="31" t="s">
        <v>64</v>
      </c>
      <c r="C12" s="31">
        <v>8166.0</v>
      </c>
      <c r="D12" s="31">
        <v>1.51</v>
      </c>
      <c r="E12" s="36" t="str">
        <f t="shared" si="3"/>
        <v>19/01 a20/01</v>
      </c>
      <c r="G12" s="31">
        <v>8080.0</v>
      </c>
      <c r="H12" s="31" t="s">
        <v>51</v>
      </c>
      <c r="I12" s="31">
        <v>8080.0</v>
      </c>
      <c r="J12" s="31">
        <v>0.36</v>
      </c>
      <c r="K12" s="36" t="str">
        <f t="shared" si="4"/>
        <v>20/01 a 21/01</v>
      </c>
      <c r="M12" s="31">
        <v>8166.0</v>
      </c>
      <c r="N12" s="31" t="s">
        <v>64</v>
      </c>
      <c r="O12" s="31">
        <v>8166.0</v>
      </c>
      <c r="P12" s="31">
        <v>1.49</v>
      </c>
      <c r="Q12" s="36" t="str">
        <f t="shared" si="5"/>
        <v>21/01 a 22/01</v>
      </c>
      <c r="S12" s="31">
        <v>8080.0</v>
      </c>
      <c r="T12" s="31" t="s">
        <v>51</v>
      </c>
      <c r="U12" s="31">
        <v>8080.0</v>
      </c>
      <c r="V12" s="31">
        <v>0.86</v>
      </c>
      <c r="W12" s="36" t="str">
        <f t="shared" si="6"/>
        <v>15/01 a16/01</v>
      </c>
      <c r="Y12" s="31">
        <v>8048.0</v>
      </c>
      <c r="Z12" s="31" t="s">
        <v>57</v>
      </c>
      <c r="AA12" s="31">
        <v>8048.0</v>
      </c>
      <c r="AB12" s="31">
        <v>2.72</v>
      </c>
      <c r="AC12" s="36" t="str">
        <f t="shared" si="7"/>
        <v>16/01 a 17/01</v>
      </c>
      <c r="AE12" s="31">
        <v>8048.0</v>
      </c>
      <c r="AF12" s="31" t="s">
        <v>57</v>
      </c>
      <c r="AG12" s="31">
        <v>8048.0</v>
      </c>
      <c r="AH12" s="31">
        <v>2.72</v>
      </c>
      <c r="AI12" s="36" t="str">
        <f t="shared" si="8"/>
        <v>17/01 a 18/01</v>
      </c>
      <c r="AK12" s="31">
        <v>7200.0</v>
      </c>
      <c r="AL12" s="31" t="s">
        <v>65</v>
      </c>
      <c r="AM12" s="31">
        <v>7200.0</v>
      </c>
      <c r="AN12" s="31">
        <v>1.11</v>
      </c>
      <c r="AO12" s="36" t="str">
        <f t="shared" si="9"/>
        <v>20/10 A 23/10</v>
      </c>
      <c r="AQ12" s="31">
        <v>6944.0</v>
      </c>
      <c r="AR12" s="31" t="s">
        <v>66</v>
      </c>
      <c r="AS12" s="31">
        <v>6944.0</v>
      </c>
      <c r="AT12" s="31">
        <v>6.68</v>
      </c>
      <c r="AU12" s="37">
        <v>266.48</v>
      </c>
      <c r="AV12" s="38">
        <f t="shared" ref="AV12:AW12" si="17">(AT12/7)</f>
        <v>0.9542857143</v>
      </c>
      <c r="AW12" s="38">
        <f t="shared" si="17"/>
        <v>38.06857143</v>
      </c>
      <c r="AX12" s="40"/>
      <c r="AY12" s="39"/>
    </row>
    <row r="13" ht="14.25" customHeight="1">
      <c r="A13" s="31">
        <v>8176.0</v>
      </c>
      <c r="B13" s="31" t="s">
        <v>67</v>
      </c>
      <c r="C13" s="31">
        <v>8176.0</v>
      </c>
      <c r="D13" s="31">
        <v>0.7</v>
      </c>
      <c r="E13" s="36" t="str">
        <f t="shared" si="3"/>
        <v>19/01 a20/01</v>
      </c>
      <c r="G13" s="31">
        <v>8089.0</v>
      </c>
      <c r="H13" s="31" t="s">
        <v>56</v>
      </c>
      <c r="I13" s="31">
        <v>8089.0</v>
      </c>
      <c r="J13" s="31">
        <v>0.4</v>
      </c>
      <c r="K13" s="36" t="str">
        <f t="shared" si="4"/>
        <v>20/01 a 21/01</v>
      </c>
      <c r="M13" s="31">
        <v>8172.0</v>
      </c>
      <c r="N13" s="31" t="s">
        <v>68</v>
      </c>
      <c r="O13" s="31">
        <v>8172.0</v>
      </c>
      <c r="P13" s="31">
        <v>1.56</v>
      </c>
      <c r="Q13" s="36" t="str">
        <f t="shared" si="5"/>
        <v>21/01 a 22/01</v>
      </c>
      <c r="S13" s="31">
        <v>8089.0</v>
      </c>
      <c r="T13" s="31" t="s">
        <v>56</v>
      </c>
      <c r="U13" s="31">
        <v>8089.0</v>
      </c>
      <c r="V13" s="31">
        <v>0.32</v>
      </c>
      <c r="W13" s="36" t="str">
        <f t="shared" si="6"/>
        <v>15/01 a16/01</v>
      </c>
      <c r="Y13" s="31">
        <v>8089.0</v>
      </c>
      <c r="Z13" s="31" t="s">
        <v>56</v>
      </c>
      <c r="AA13" s="31">
        <v>8089.0</v>
      </c>
      <c r="AB13" s="31">
        <v>0.15</v>
      </c>
      <c r="AC13" s="36" t="str">
        <f t="shared" si="7"/>
        <v>16/01 a 17/01</v>
      </c>
      <c r="AE13" s="31">
        <v>8089.0</v>
      </c>
      <c r="AF13" s="31" t="s">
        <v>56</v>
      </c>
      <c r="AG13" s="31">
        <v>8089.0</v>
      </c>
      <c r="AH13" s="31">
        <v>0.41</v>
      </c>
      <c r="AI13" s="36" t="str">
        <f t="shared" si="8"/>
        <v>17/01 a 18/01</v>
      </c>
      <c r="AK13" s="31">
        <v>7213.0</v>
      </c>
      <c r="AL13" s="31" t="s">
        <v>69</v>
      </c>
      <c r="AM13" s="31">
        <v>7213.0</v>
      </c>
      <c r="AN13" s="31">
        <v>0.76</v>
      </c>
      <c r="AO13" s="36" t="str">
        <f t="shared" si="9"/>
        <v>20/10 A 23/10</v>
      </c>
      <c r="AQ13" s="31">
        <v>6975.0</v>
      </c>
      <c r="AR13" s="31" t="s">
        <v>70</v>
      </c>
      <c r="AS13" s="31">
        <v>6975.0</v>
      </c>
      <c r="AT13" s="31">
        <v>8.31</v>
      </c>
      <c r="AU13" s="37">
        <v>248.37</v>
      </c>
      <c r="AV13" s="38">
        <f t="shared" ref="AV13:AW13" si="18">(AT13/7)</f>
        <v>1.187142857</v>
      </c>
      <c r="AW13" s="38">
        <f t="shared" si="18"/>
        <v>35.48142857</v>
      </c>
      <c r="AX13" s="40"/>
      <c r="AY13" s="39"/>
    </row>
    <row r="14" ht="14.25" customHeight="1">
      <c r="A14" s="31">
        <v>8221.0</v>
      </c>
      <c r="B14" s="31" t="s">
        <v>71</v>
      </c>
      <c r="C14" s="31">
        <v>8221.0</v>
      </c>
      <c r="D14" s="31">
        <v>0.27</v>
      </c>
      <c r="E14" s="36" t="str">
        <f t="shared" si="3"/>
        <v>19/01 a20/01</v>
      </c>
      <c r="G14" s="31">
        <v>8093.0</v>
      </c>
      <c r="H14" s="31" t="s">
        <v>60</v>
      </c>
      <c r="I14" s="31">
        <v>8093.0</v>
      </c>
      <c r="J14" s="31">
        <v>0.83</v>
      </c>
      <c r="K14" s="36" t="str">
        <f t="shared" si="4"/>
        <v>20/01 a 21/01</v>
      </c>
      <c r="M14" s="31">
        <v>8176.0</v>
      </c>
      <c r="N14" s="31" t="s">
        <v>67</v>
      </c>
      <c r="O14" s="31">
        <v>8176.0</v>
      </c>
      <c r="P14" s="31">
        <v>1.01</v>
      </c>
      <c r="Q14" s="36" t="str">
        <f t="shared" si="5"/>
        <v>21/01 a 22/01</v>
      </c>
      <c r="S14" s="31">
        <v>8153.0</v>
      </c>
      <c r="T14" s="31" t="s">
        <v>72</v>
      </c>
      <c r="U14" s="31">
        <v>8153.0</v>
      </c>
      <c r="V14" s="31">
        <v>0.95</v>
      </c>
      <c r="W14" s="36" t="str">
        <f t="shared" si="6"/>
        <v>15/01 a16/01</v>
      </c>
      <c r="Y14" s="31">
        <v>8153.0</v>
      </c>
      <c r="Z14" s="31" t="s">
        <v>72</v>
      </c>
      <c r="AA14" s="31">
        <v>8153.0</v>
      </c>
      <c r="AB14" s="31">
        <v>1.9</v>
      </c>
      <c r="AC14" s="36" t="str">
        <f t="shared" si="7"/>
        <v>16/01 a 17/01</v>
      </c>
      <c r="AE14" s="31">
        <v>8153.0</v>
      </c>
      <c r="AF14" s="31" t="s">
        <v>72</v>
      </c>
      <c r="AG14" s="31">
        <v>8153.0</v>
      </c>
      <c r="AH14" s="31">
        <v>1.09</v>
      </c>
      <c r="AI14" s="36" t="str">
        <f t="shared" si="8"/>
        <v>17/01 a 18/01</v>
      </c>
      <c r="AK14" s="31">
        <v>7241.0</v>
      </c>
      <c r="AL14" s="31" t="s">
        <v>73</v>
      </c>
      <c r="AM14" s="31">
        <v>7241.0</v>
      </c>
      <c r="AN14" s="31">
        <v>0.96</v>
      </c>
      <c r="AO14" s="36" t="str">
        <f t="shared" si="9"/>
        <v>20/10 A 23/10</v>
      </c>
      <c r="AQ14" s="31">
        <v>6951.0</v>
      </c>
      <c r="AR14" s="31" t="s">
        <v>74</v>
      </c>
      <c r="AS14" s="31">
        <v>6951.0</v>
      </c>
      <c r="AT14" s="31">
        <v>7.35</v>
      </c>
      <c r="AU14" s="37">
        <v>241.98</v>
      </c>
      <c r="AV14" s="38">
        <f t="shared" ref="AV14:AW14" si="19">(AT14/7)</f>
        <v>1.05</v>
      </c>
      <c r="AW14" s="38">
        <f t="shared" si="19"/>
        <v>34.56857143</v>
      </c>
      <c r="AX14" s="40"/>
      <c r="AY14" s="39"/>
    </row>
    <row r="15" ht="14.25" customHeight="1">
      <c r="A15" s="31">
        <v>8292.0</v>
      </c>
      <c r="B15" s="31" t="s">
        <v>75</v>
      </c>
      <c r="C15" s="31">
        <v>8292.0</v>
      </c>
      <c r="D15" s="31">
        <v>0.98</v>
      </c>
      <c r="E15" s="36" t="str">
        <f t="shared" si="3"/>
        <v>19/01 a20/01</v>
      </c>
      <c r="G15" s="31">
        <v>8166.0</v>
      </c>
      <c r="H15" s="31" t="s">
        <v>64</v>
      </c>
      <c r="I15" s="31">
        <v>8166.0</v>
      </c>
      <c r="J15" s="31">
        <v>2.71</v>
      </c>
      <c r="K15" s="36" t="str">
        <f t="shared" si="4"/>
        <v>20/01 a 21/01</v>
      </c>
      <c r="M15" s="31">
        <v>8204.0</v>
      </c>
      <c r="N15" s="31" t="s">
        <v>76</v>
      </c>
      <c r="O15" s="31">
        <v>8204.0</v>
      </c>
      <c r="P15" s="31">
        <v>0.33</v>
      </c>
      <c r="Q15" s="36" t="str">
        <f t="shared" si="5"/>
        <v>21/01 a 22/01</v>
      </c>
      <c r="S15" s="31">
        <v>8166.0</v>
      </c>
      <c r="T15" s="31" t="s">
        <v>64</v>
      </c>
      <c r="U15" s="31">
        <v>8166.0</v>
      </c>
      <c r="V15" s="31">
        <v>1.12</v>
      </c>
      <c r="W15" s="36" t="str">
        <f t="shared" si="6"/>
        <v>15/01 a16/01</v>
      </c>
      <c r="Y15" s="31">
        <v>8204.0</v>
      </c>
      <c r="Z15" s="31" t="s">
        <v>76</v>
      </c>
      <c r="AA15" s="31">
        <v>8204.0</v>
      </c>
      <c r="AB15" s="31">
        <v>0.26</v>
      </c>
      <c r="AC15" s="36" t="str">
        <f t="shared" si="7"/>
        <v>16/01 a 17/01</v>
      </c>
      <c r="AE15" s="31">
        <v>8221.0</v>
      </c>
      <c r="AF15" s="31" t="s">
        <v>71</v>
      </c>
      <c r="AG15" s="31">
        <v>8221.0</v>
      </c>
      <c r="AH15" s="31">
        <v>0.66</v>
      </c>
      <c r="AI15" s="36" t="str">
        <f t="shared" si="8"/>
        <v>17/01 a 18/01</v>
      </c>
      <c r="AK15" s="31">
        <v>7245.0</v>
      </c>
      <c r="AL15" s="31" t="s">
        <v>77</v>
      </c>
      <c r="AM15" s="31">
        <v>7245.0</v>
      </c>
      <c r="AN15" s="31">
        <v>0.15</v>
      </c>
      <c r="AO15" s="36" t="str">
        <f t="shared" si="9"/>
        <v>20/10 A 23/10</v>
      </c>
      <c r="AQ15" s="31">
        <v>95804.0</v>
      </c>
      <c r="AR15" s="31" t="s">
        <v>78</v>
      </c>
      <c r="AS15" s="31">
        <v>95804.0</v>
      </c>
      <c r="AT15" s="31">
        <v>7.07</v>
      </c>
      <c r="AU15" s="37">
        <v>232.63</v>
      </c>
      <c r="AV15" s="38">
        <f t="shared" ref="AV15:AW15" si="20">(AT15/7)</f>
        <v>1.01</v>
      </c>
      <c r="AW15" s="38">
        <f t="shared" si="20"/>
        <v>33.23285714</v>
      </c>
      <c r="AX15" s="40"/>
      <c r="AY15" s="39"/>
    </row>
    <row r="16" ht="14.25" customHeight="1">
      <c r="A16" s="31">
        <v>8323.0</v>
      </c>
      <c r="B16" s="31" t="s">
        <v>79</v>
      </c>
      <c r="C16" s="31">
        <v>8323.0</v>
      </c>
      <c r="D16" s="31">
        <v>1.24</v>
      </c>
      <c r="E16" s="36" t="str">
        <f t="shared" si="3"/>
        <v>19/01 a20/01</v>
      </c>
      <c r="G16" s="31">
        <v>8172.0</v>
      </c>
      <c r="H16" s="31" t="s">
        <v>68</v>
      </c>
      <c r="I16" s="31">
        <v>8172.0</v>
      </c>
      <c r="J16" s="31">
        <v>1.66</v>
      </c>
      <c r="K16" s="36" t="str">
        <f t="shared" si="4"/>
        <v>20/01 a 21/01</v>
      </c>
      <c r="M16" s="31">
        <v>8221.0</v>
      </c>
      <c r="N16" s="31" t="s">
        <v>71</v>
      </c>
      <c r="O16" s="31">
        <v>8221.0</v>
      </c>
      <c r="P16" s="31">
        <v>1.02</v>
      </c>
      <c r="Q16" s="36" t="str">
        <f t="shared" si="5"/>
        <v>21/01 a 22/01</v>
      </c>
      <c r="S16" s="31">
        <v>8166.0</v>
      </c>
      <c r="T16" s="31" t="s">
        <v>64</v>
      </c>
      <c r="U16" s="31">
        <v>8166.0</v>
      </c>
      <c r="V16" s="31">
        <v>0.15</v>
      </c>
      <c r="W16" s="36" t="str">
        <f t="shared" si="6"/>
        <v>15/01 a16/01</v>
      </c>
      <c r="Y16" s="31">
        <v>8221.0</v>
      </c>
      <c r="Z16" s="31" t="s">
        <v>71</v>
      </c>
      <c r="AA16" s="31">
        <v>8221.0</v>
      </c>
      <c r="AB16" s="31">
        <v>2.07</v>
      </c>
      <c r="AC16" s="36" t="str">
        <f t="shared" si="7"/>
        <v>16/01 a 17/01</v>
      </c>
      <c r="AE16" s="31">
        <v>8274.0</v>
      </c>
      <c r="AF16" s="31" t="s">
        <v>80</v>
      </c>
      <c r="AG16" s="31">
        <v>8274.0</v>
      </c>
      <c r="AH16" s="31">
        <v>0.53</v>
      </c>
      <c r="AI16" s="36" t="str">
        <f t="shared" si="8"/>
        <v>17/01 a 18/01</v>
      </c>
      <c r="AK16" s="31">
        <v>7254.0</v>
      </c>
      <c r="AL16" s="31" t="s">
        <v>81</v>
      </c>
      <c r="AM16" s="31">
        <v>7254.0</v>
      </c>
      <c r="AN16" s="31">
        <v>0.62</v>
      </c>
      <c r="AO16" s="36" t="str">
        <f t="shared" si="9"/>
        <v>20/10 A 23/10</v>
      </c>
      <c r="AQ16" s="31">
        <v>7455.0</v>
      </c>
      <c r="AR16" s="31" t="s">
        <v>82</v>
      </c>
      <c r="AS16" s="31">
        <v>7455.0</v>
      </c>
      <c r="AT16" s="31">
        <v>32.0</v>
      </c>
      <c r="AU16" s="37">
        <v>223.68</v>
      </c>
      <c r="AV16" s="38">
        <f t="shared" ref="AV16:AW16" si="21">(AT16/7)</f>
        <v>4.571428571</v>
      </c>
      <c r="AW16" s="38">
        <f t="shared" si="21"/>
        <v>31.95428571</v>
      </c>
      <c r="AX16" s="40"/>
      <c r="AY16" s="39"/>
    </row>
    <row r="17" ht="14.25" customHeight="1">
      <c r="A17" s="31">
        <v>8328.0</v>
      </c>
      <c r="B17" s="31" t="s">
        <v>83</v>
      </c>
      <c r="C17" s="31">
        <v>8328.0</v>
      </c>
      <c r="D17" s="31">
        <v>0.75</v>
      </c>
      <c r="E17" s="36" t="str">
        <f t="shared" si="3"/>
        <v>19/01 a20/01</v>
      </c>
      <c r="G17" s="31">
        <v>8176.0</v>
      </c>
      <c r="H17" s="31" t="s">
        <v>67</v>
      </c>
      <c r="I17" s="31">
        <v>8176.0</v>
      </c>
      <c r="J17" s="31">
        <v>3.81</v>
      </c>
      <c r="K17" s="36" t="str">
        <f t="shared" si="4"/>
        <v>20/01 a 21/01</v>
      </c>
      <c r="M17" s="31">
        <v>8237.0</v>
      </c>
      <c r="N17" s="31" t="s">
        <v>84</v>
      </c>
      <c r="O17" s="31">
        <v>8237.0</v>
      </c>
      <c r="P17" s="31">
        <v>0.4</v>
      </c>
      <c r="Q17" s="36" t="str">
        <f t="shared" si="5"/>
        <v>21/01 a 22/01</v>
      </c>
      <c r="S17" s="31">
        <v>8172.0</v>
      </c>
      <c r="T17" s="31" t="s">
        <v>68</v>
      </c>
      <c r="U17" s="31">
        <v>8172.0</v>
      </c>
      <c r="V17" s="31">
        <v>0.46</v>
      </c>
      <c r="W17" s="36" t="str">
        <f t="shared" si="6"/>
        <v>15/01 a16/01</v>
      </c>
      <c r="Y17" s="31">
        <v>8519.0</v>
      </c>
      <c r="Z17" s="31" t="s">
        <v>85</v>
      </c>
      <c r="AA17" s="31">
        <v>8519.0</v>
      </c>
      <c r="AB17" s="31">
        <v>1.99</v>
      </c>
      <c r="AC17" s="36" t="str">
        <f t="shared" si="7"/>
        <v>16/01 a 17/01</v>
      </c>
      <c r="AE17" s="31">
        <v>8281.0</v>
      </c>
      <c r="AF17" s="31" t="s">
        <v>86</v>
      </c>
      <c r="AG17" s="31">
        <v>8281.0</v>
      </c>
      <c r="AH17" s="31">
        <v>0.43</v>
      </c>
      <c r="AI17" s="36" t="str">
        <f t="shared" si="8"/>
        <v>17/01 a 18/01</v>
      </c>
      <c r="AK17" s="31">
        <v>7302.0</v>
      </c>
      <c r="AL17" s="31" t="s">
        <v>87</v>
      </c>
      <c r="AM17" s="31">
        <v>7302.0</v>
      </c>
      <c r="AN17" s="31">
        <v>0.85</v>
      </c>
      <c r="AO17" s="36" t="str">
        <f t="shared" si="9"/>
        <v>20/10 A 23/10</v>
      </c>
      <c r="AQ17" s="31">
        <v>104255.0</v>
      </c>
      <c r="AR17" s="31" t="s">
        <v>88</v>
      </c>
      <c r="AS17" s="31">
        <v>104255.0</v>
      </c>
      <c r="AT17" s="31">
        <v>3.57</v>
      </c>
      <c r="AU17" s="37">
        <v>213.7</v>
      </c>
      <c r="AV17" s="38">
        <f t="shared" ref="AV17:AW17" si="22">(AT17/7)</f>
        <v>0.51</v>
      </c>
      <c r="AW17" s="38">
        <f t="shared" si="22"/>
        <v>30.52857143</v>
      </c>
      <c r="AX17" s="40"/>
      <c r="AY17" s="39"/>
    </row>
    <row r="18" ht="14.25" customHeight="1">
      <c r="A18" s="31">
        <v>8336.0</v>
      </c>
      <c r="B18" s="31" t="s">
        <v>89</v>
      </c>
      <c r="C18" s="31">
        <v>8336.0</v>
      </c>
      <c r="D18" s="31">
        <v>2.11</v>
      </c>
      <c r="E18" s="36" t="str">
        <f t="shared" si="3"/>
        <v>19/01 a20/01</v>
      </c>
      <c r="G18" s="31">
        <v>8204.0</v>
      </c>
      <c r="H18" s="31" t="s">
        <v>76</v>
      </c>
      <c r="I18" s="31">
        <v>8204.0</v>
      </c>
      <c r="J18" s="31">
        <v>0.41</v>
      </c>
      <c r="K18" s="36" t="str">
        <f t="shared" si="4"/>
        <v>20/01 a 21/01</v>
      </c>
      <c r="M18" s="31">
        <v>8323.0</v>
      </c>
      <c r="N18" s="31" t="s">
        <v>79</v>
      </c>
      <c r="O18" s="31">
        <v>8323.0</v>
      </c>
      <c r="P18" s="31">
        <v>1.02</v>
      </c>
      <c r="Q18" s="36" t="str">
        <f t="shared" si="5"/>
        <v>21/01 a 22/01</v>
      </c>
      <c r="S18" s="31">
        <v>8201.0</v>
      </c>
      <c r="T18" s="31" t="s">
        <v>90</v>
      </c>
      <c r="U18" s="31">
        <v>8201.0</v>
      </c>
      <c r="V18" s="31">
        <v>1.15</v>
      </c>
      <c r="W18" s="36" t="str">
        <f t="shared" si="6"/>
        <v>15/01 a16/01</v>
      </c>
      <c r="Y18" s="31">
        <v>8298.0</v>
      </c>
      <c r="Z18" s="31" t="s">
        <v>91</v>
      </c>
      <c r="AA18" s="31">
        <v>8298.0</v>
      </c>
      <c r="AB18" s="31">
        <v>2.65</v>
      </c>
      <c r="AC18" s="36" t="str">
        <f t="shared" si="7"/>
        <v>16/01 a 17/01</v>
      </c>
      <c r="AE18" s="31">
        <v>8519.0</v>
      </c>
      <c r="AF18" s="31" t="s">
        <v>85</v>
      </c>
      <c r="AG18" s="31">
        <v>8519.0</v>
      </c>
      <c r="AH18" s="31">
        <v>1.99</v>
      </c>
      <c r="AI18" s="36" t="str">
        <f t="shared" si="8"/>
        <v>17/01 a 18/01</v>
      </c>
      <c r="AK18" s="31">
        <v>6590.0</v>
      </c>
      <c r="AL18" s="31" t="s">
        <v>92</v>
      </c>
      <c r="AM18" s="31">
        <v>6590.0</v>
      </c>
      <c r="AN18" s="31">
        <v>3.02</v>
      </c>
      <c r="AO18" s="36" t="str">
        <f t="shared" si="9"/>
        <v>20/10 A 23/10</v>
      </c>
      <c r="AQ18" s="31">
        <v>7355.0</v>
      </c>
      <c r="AR18" s="31" t="s">
        <v>93</v>
      </c>
      <c r="AS18" s="31">
        <v>7355.0</v>
      </c>
      <c r="AT18" s="31">
        <v>3.37</v>
      </c>
      <c r="AU18" s="37">
        <v>212.29</v>
      </c>
      <c r="AV18" s="38">
        <f t="shared" ref="AV18:AW18" si="23">(AT18/7)</f>
        <v>0.4814285714</v>
      </c>
      <c r="AW18" s="38">
        <f t="shared" si="23"/>
        <v>30.32714286</v>
      </c>
      <c r="AX18" s="40"/>
      <c r="AY18" s="39"/>
    </row>
    <row r="19" ht="14.25" customHeight="1">
      <c r="A19" s="31">
        <v>8361.0</v>
      </c>
      <c r="B19" s="31" t="s">
        <v>94</v>
      </c>
      <c r="C19" s="31">
        <v>8361.0</v>
      </c>
      <c r="D19" s="31">
        <v>0.44</v>
      </c>
      <c r="E19" s="36" t="str">
        <f t="shared" si="3"/>
        <v>19/01 a20/01</v>
      </c>
      <c r="G19" s="31">
        <v>8221.0</v>
      </c>
      <c r="H19" s="31" t="s">
        <v>71</v>
      </c>
      <c r="I19" s="31">
        <v>8221.0</v>
      </c>
      <c r="J19" s="31">
        <v>0.14</v>
      </c>
      <c r="K19" s="36" t="str">
        <f t="shared" si="4"/>
        <v>20/01 a 21/01</v>
      </c>
      <c r="M19" s="31">
        <v>8328.0</v>
      </c>
      <c r="N19" s="31" t="s">
        <v>83</v>
      </c>
      <c r="O19" s="31">
        <v>8328.0</v>
      </c>
      <c r="P19" s="31">
        <v>0.19</v>
      </c>
      <c r="Q19" s="36" t="str">
        <f t="shared" si="5"/>
        <v>21/01 a 22/01</v>
      </c>
      <c r="S19" s="31">
        <v>8204.0</v>
      </c>
      <c r="T19" s="31" t="s">
        <v>76</v>
      </c>
      <c r="U19" s="31">
        <v>8204.0</v>
      </c>
      <c r="V19" s="31">
        <v>0.81</v>
      </c>
      <c r="W19" s="36" t="str">
        <f t="shared" si="6"/>
        <v>15/01 a16/01</v>
      </c>
      <c r="Y19" s="31">
        <v>8307.0</v>
      </c>
      <c r="Z19" s="31" t="s">
        <v>95</v>
      </c>
      <c r="AA19" s="31">
        <v>8307.0</v>
      </c>
      <c r="AB19" s="31">
        <v>2.15</v>
      </c>
      <c r="AC19" s="36" t="str">
        <f t="shared" si="7"/>
        <v>16/01 a 17/01</v>
      </c>
      <c r="AE19" s="31">
        <v>93964.0</v>
      </c>
      <c r="AF19" s="31" t="s">
        <v>96</v>
      </c>
      <c r="AG19" s="31">
        <v>93964.0</v>
      </c>
      <c r="AH19" s="31">
        <v>1.39</v>
      </c>
      <c r="AI19" s="36" t="str">
        <f t="shared" si="8"/>
        <v>17/01 a 18/01</v>
      </c>
      <c r="AK19" s="31">
        <v>6643.0</v>
      </c>
      <c r="AL19" s="31" t="s">
        <v>97</v>
      </c>
      <c r="AM19" s="31">
        <v>6643.0</v>
      </c>
      <c r="AN19" s="31">
        <v>1.98</v>
      </c>
      <c r="AO19" s="36" t="str">
        <f t="shared" si="9"/>
        <v>20/10 A 23/10</v>
      </c>
      <c r="AQ19" s="31">
        <v>7386.0</v>
      </c>
      <c r="AR19" s="31" t="s">
        <v>98</v>
      </c>
      <c r="AS19" s="31">
        <v>7386.0</v>
      </c>
      <c r="AT19" s="31">
        <v>3.52</v>
      </c>
      <c r="AU19" s="37">
        <v>211.12</v>
      </c>
      <c r="AV19" s="38">
        <f t="shared" ref="AV19:AW19" si="24">(AT19/7)</f>
        <v>0.5028571429</v>
      </c>
      <c r="AW19" s="38">
        <f t="shared" si="24"/>
        <v>30.16</v>
      </c>
      <c r="AX19" s="40"/>
      <c r="AY19" s="39"/>
    </row>
    <row r="20" ht="14.25" customHeight="1">
      <c r="A20" s="31">
        <v>8386.0</v>
      </c>
      <c r="B20" s="31" t="s">
        <v>99</v>
      </c>
      <c r="C20" s="31">
        <v>8386.0</v>
      </c>
      <c r="D20" s="31">
        <v>0.17</v>
      </c>
      <c r="E20" s="36" t="str">
        <f t="shared" si="3"/>
        <v>19/01 a20/01</v>
      </c>
      <c r="G20" s="31">
        <v>8221.0</v>
      </c>
      <c r="H20" s="31" t="s">
        <v>71</v>
      </c>
      <c r="I20" s="31">
        <v>8221.0</v>
      </c>
      <c r="J20" s="31">
        <v>0.6</v>
      </c>
      <c r="K20" s="36" t="str">
        <f t="shared" si="4"/>
        <v>20/01 a 21/01</v>
      </c>
      <c r="M20" s="31">
        <v>8345.0</v>
      </c>
      <c r="N20" s="31" t="s">
        <v>100</v>
      </c>
      <c r="O20" s="31">
        <v>8345.0</v>
      </c>
      <c r="P20" s="31">
        <v>1.37</v>
      </c>
      <c r="Q20" s="36" t="str">
        <f t="shared" si="5"/>
        <v>21/01 a 22/01</v>
      </c>
      <c r="S20" s="31">
        <v>8221.0</v>
      </c>
      <c r="T20" s="31" t="s">
        <v>71</v>
      </c>
      <c r="U20" s="31">
        <v>8221.0</v>
      </c>
      <c r="V20" s="31">
        <v>1.75</v>
      </c>
      <c r="W20" s="36" t="str">
        <f t="shared" si="6"/>
        <v>15/01 a16/01</v>
      </c>
      <c r="Y20" s="31">
        <v>8323.0</v>
      </c>
      <c r="Z20" s="31" t="s">
        <v>79</v>
      </c>
      <c r="AA20" s="31">
        <v>8323.0</v>
      </c>
      <c r="AB20" s="31">
        <v>1.76</v>
      </c>
      <c r="AC20" s="36" t="str">
        <f t="shared" si="7"/>
        <v>16/01 a 17/01</v>
      </c>
      <c r="AE20" s="31">
        <v>8298.0</v>
      </c>
      <c r="AF20" s="31" t="s">
        <v>91</v>
      </c>
      <c r="AG20" s="31">
        <v>8298.0</v>
      </c>
      <c r="AH20" s="31">
        <v>2.65</v>
      </c>
      <c r="AI20" s="36" t="str">
        <f t="shared" si="8"/>
        <v>17/01 a 18/01</v>
      </c>
      <c r="AK20" s="31">
        <v>4568.0</v>
      </c>
      <c r="AL20" s="31" t="s">
        <v>101</v>
      </c>
      <c r="AM20" s="31">
        <v>4568.0</v>
      </c>
      <c r="AN20" s="31">
        <v>0.33</v>
      </c>
      <c r="AO20" s="36" t="str">
        <f t="shared" si="9"/>
        <v>20/10 A 23/10</v>
      </c>
      <c r="AQ20" s="31">
        <v>7315.0</v>
      </c>
      <c r="AR20" s="31" t="s">
        <v>102</v>
      </c>
      <c r="AS20" s="31">
        <v>7315.0</v>
      </c>
      <c r="AT20" s="31">
        <v>3.51</v>
      </c>
      <c r="AU20" s="37">
        <v>192.61</v>
      </c>
      <c r="AV20" s="38">
        <f t="shared" ref="AV20:AW20" si="25">(AT20/7)</f>
        <v>0.5014285714</v>
      </c>
      <c r="AW20" s="38">
        <f t="shared" si="25"/>
        <v>27.51571429</v>
      </c>
      <c r="AX20" s="40"/>
      <c r="AY20" s="39"/>
    </row>
    <row r="21" ht="14.25" customHeight="1">
      <c r="A21" s="31">
        <v>9124.0</v>
      </c>
      <c r="B21" s="31" t="s">
        <v>103</v>
      </c>
      <c r="C21" s="31">
        <v>9124.0</v>
      </c>
      <c r="D21" s="31">
        <v>8.0</v>
      </c>
      <c r="E21" s="36" t="str">
        <f t="shared" si="3"/>
        <v>19/01 a20/01</v>
      </c>
      <c r="G21" s="31">
        <v>8237.0</v>
      </c>
      <c r="H21" s="31" t="s">
        <v>84</v>
      </c>
      <c r="I21" s="31">
        <v>8237.0</v>
      </c>
      <c r="J21" s="31">
        <v>0.14</v>
      </c>
      <c r="K21" s="36" t="str">
        <f t="shared" si="4"/>
        <v>20/01 a 21/01</v>
      </c>
      <c r="M21" s="31">
        <v>8349.0</v>
      </c>
      <c r="N21" s="31" t="s">
        <v>104</v>
      </c>
      <c r="O21" s="31">
        <v>8349.0</v>
      </c>
      <c r="P21" s="31">
        <v>0.81</v>
      </c>
      <c r="Q21" s="36" t="str">
        <f t="shared" si="5"/>
        <v>21/01 a 22/01</v>
      </c>
      <c r="S21" s="31">
        <v>8307.0</v>
      </c>
      <c r="T21" s="31" t="s">
        <v>95</v>
      </c>
      <c r="U21" s="31">
        <v>8307.0</v>
      </c>
      <c r="V21" s="31">
        <v>4.19</v>
      </c>
      <c r="W21" s="36" t="str">
        <f t="shared" si="6"/>
        <v>15/01 a16/01</v>
      </c>
      <c r="Y21" s="31">
        <v>8328.0</v>
      </c>
      <c r="Z21" s="31" t="s">
        <v>83</v>
      </c>
      <c r="AA21" s="31">
        <v>8328.0</v>
      </c>
      <c r="AB21" s="31">
        <v>1.26</v>
      </c>
      <c r="AC21" s="36" t="str">
        <f t="shared" si="7"/>
        <v>16/01 a 17/01</v>
      </c>
      <c r="AE21" s="31">
        <v>8307.0</v>
      </c>
      <c r="AF21" s="31" t="s">
        <v>95</v>
      </c>
      <c r="AG21" s="31">
        <v>8307.0</v>
      </c>
      <c r="AH21" s="31">
        <v>0.51</v>
      </c>
      <c r="AI21" s="36" t="str">
        <f t="shared" si="8"/>
        <v>17/01 a 18/01</v>
      </c>
      <c r="AK21" s="31">
        <v>7315.0</v>
      </c>
      <c r="AL21" s="31" t="s">
        <v>102</v>
      </c>
      <c r="AM21" s="31">
        <v>7315.0</v>
      </c>
      <c r="AN21" s="31">
        <v>1.14</v>
      </c>
      <c r="AO21" s="36" t="str">
        <f t="shared" si="9"/>
        <v>20/10 A 23/10</v>
      </c>
      <c r="AQ21" s="31">
        <v>7478.0</v>
      </c>
      <c r="AR21" s="31" t="s">
        <v>105</v>
      </c>
      <c r="AS21" s="31">
        <v>7478.0</v>
      </c>
      <c r="AT21" s="31">
        <v>3.9</v>
      </c>
      <c r="AU21" s="37">
        <v>175.29</v>
      </c>
      <c r="AV21" s="38">
        <f t="shared" ref="AV21:AW21" si="26">(AT21/7)</f>
        <v>0.5571428571</v>
      </c>
      <c r="AW21" s="38">
        <f t="shared" si="26"/>
        <v>25.04142857</v>
      </c>
      <c r="AX21" s="40"/>
      <c r="AY21" s="39"/>
    </row>
    <row r="22" ht="14.25" customHeight="1">
      <c r="A22" s="31">
        <v>8391.0</v>
      </c>
      <c r="B22" s="31" t="s">
        <v>106</v>
      </c>
      <c r="C22" s="31">
        <v>8391.0</v>
      </c>
      <c r="D22" s="31">
        <v>0.12</v>
      </c>
      <c r="E22" s="36" t="str">
        <f t="shared" si="3"/>
        <v>19/01 a20/01</v>
      </c>
      <c r="G22" s="31">
        <v>8239.0</v>
      </c>
      <c r="H22" s="31" t="s">
        <v>107</v>
      </c>
      <c r="I22" s="31">
        <v>8239.0</v>
      </c>
      <c r="J22" s="31">
        <v>0.41</v>
      </c>
      <c r="K22" s="36" t="str">
        <f t="shared" si="4"/>
        <v>20/01 a 21/01</v>
      </c>
      <c r="M22" s="31">
        <v>8361.0</v>
      </c>
      <c r="N22" s="31" t="s">
        <v>94</v>
      </c>
      <c r="O22" s="31">
        <v>8361.0</v>
      </c>
      <c r="P22" s="31">
        <v>0.8</v>
      </c>
      <c r="Q22" s="36" t="str">
        <f t="shared" si="5"/>
        <v>21/01 a 22/01</v>
      </c>
      <c r="S22" s="31">
        <v>8308.0</v>
      </c>
      <c r="T22" s="31" t="s">
        <v>108</v>
      </c>
      <c r="U22" s="31">
        <v>8308.0</v>
      </c>
      <c r="V22" s="31">
        <v>0.59</v>
      </c>
      <c r="W22" s="36" t="str">
        <f t="shared" si="6"/>
        <v>15/01 a16/01</v>
      </c>
      <c r="Y22" s="31">
        <v>8336.0</v>
      </c>
      <c r="Z22" s="31" t="s">
        <v>89</v>
      </c>
      <c r="AA22" s="31">
        <v>8336.0</v>
      </c>
      <c r="AB22" s="31">
        <v>2.14</v>
      </c>
      <c r="AC22" s="36" t="str">
        <f t="shared" si="7"/>
        <v>16/01 a 17/01</v>
      </c>
      <c r="AE22" s="31">
        <v>8309.0</v>
      </c>
      <c r="AF22" s="31" t="s">
        <v>109</v>
      </c>
      <c r="AG22" s="31">
        <v>8309.0</v>
      </c>
      <c r="AH22" s="31">
        <v>0.61</v>
      </c>
      <c r="AI22" s="36" t="str">
        <f t="shared" si="8"/>
        <v>17/01 a 18/01</v>
      </c>
      <c r="AK22" s="31">
        <v>7355.0</v>
      </c>
      <c r="AL22" s="31" t="s">
        <v>93</v>
      </c>
      <c r="AM22" s="31">
        <v>7355.0</v>
      </c>
      <c r="AN22" s="31">
        <v>2.92</v>
      </c>
      <c r="AO22" s="36" t="str">
        <f t="shared" si="9"/>
        <v>20/10 A 23/10</v>
      </c>
      <c r="AQ22" s="31">
        <v>7385.0</v>
      </c>
      <c r="AR22" s="31" t="s">
        <v>110</v>
      </c>
      <c r="AS22" s="31">
        <v>7385.0</v>
      </c>
      <c r="AT22" s="31">
        <v>3.07</v>
      </c>
      <c r="AU22" s="37">
        <v>168.45</v>
      </c>
      <c r="AV22" s="38">
        <f t="shared" ref="AV22:AW22" si="27">(AT22/7)</f>
        <v>0.4385714286</v>
      </c>
      <c r="AW22" s="38">
        <f t="shared" si="27"/>
        <v>24.06428571</v>
      </c>
      <c r="AX22" s="40"/>
      <c r="AY22" s="39"/>
    </row>
    <row r="23" ht="14.25" customHeight="1">
      <c r="A23" s="31">
        <v>8403.0</v>
      </c>
      <c r="B23" s="31" t="s">
        <v>111</v>
      </c>
      <c r="C23" s="31">
        <v>8403.0</v>
      </c>
      <c r="D23" s="31">
        <v>0.25</v>
      </c>
      <c r="E23" s="36" t="str">
        <f t="shared" si="3"/>
        <v>19/01 a20/01</v>
      </c>
      <c r="G23" s="31">
        <v>8292.0</v>
      </c>
      <c r="H23" s="31" t="s">
        <v>75</v>
      </c>
      <c r="I23" s="31">
        <v>8292.0</v>
      </c>
      <c r="J23" s="31">
        <v>0.21</v>
      </c>
      <c r="K23" s="36" t="str">
        <f t="shared" si="4"/>
        <v>20/01 a 21/01</v>
      </c>
      <c r="M23" s="31">
        <v>8386.0</v>
      </c>
      <c r="N23" s="31" t="s">
        <v>99</v>
      </c>
      <c r="O23" s="31">
        <v>8386.0</v>
      </c>
      <c r="P23" s="31">
        <v>0.35</v>
      </c>
      <c r="Q23" s="36" t="str">
        <f t="shared" si="5"/>
        <v>21/01 a 22/01</v>
      </c>
      <c r="S23" s="31">
        <v>8323.0</v>
      </c>
      <c r="T23" s="31" t="s">
        <v>79</v>
      </c>
      <c r="U23" s="31">
        <v>8323.0</v>
      </c>
      <c r="V23" s="31">
        <v>2.01</v>
      </c>
      <c r="W23" s="36" t="str">
        <f t="shared" si="6"/>
        <v>15/01 a16/01</v>
      </c>
      <c r="Y23" s="31">
        <v>8349.0</v>
      </c>
      <c r="Z23" s="31" t="s">
        <v>104</v>
      </c>
      <c r="AA23" s="31">
        <v>8349.0</v>
      </c>
      <c r="AB23" s="31">
        <v>1.14</v>
      </c>
      <c r="AC23" s="36" t="str">
        <f t="shared" si="7"/>
        <v>16/01 a 17/01</v>
      </c>
      <c r="AE23" s="31">
        <v>8323.0</v>
      </c>
      <c r="AF23" s="31" t="s">
        <v>79</v>
      </c>
      <c r="AG23" s="31">
        <v>8323.0</v>
      </c>
      <c r="AH23" s="31">
        <v>3.47</v>
      </c>
      <c r="AI23" s="36" t="str">
        <f t="shared" si="8"/>
        <v>17/01 a 18/01</v>
      </c>
      <c r="AK23" s="31">
        <v>7381.0</v>
      </c>
      <c r="AL23" s="31" t="s">
        <v>112</v>
      </c>
      <c r="AM23" s="31">
        <v>7381.0</v>
      </c>
      <c r="AN23" s="31">
        <v>2.41</v>
      </c>
      <c r="AO23" s="36" t="str">
        <f t="shared" si="9"/>
        <v>20/10 A 23/10</v>
      </c>
      <c r="AQ23" s="31">
        <v>7530.0</v>
      </c>
      <c r="AR23" s="31" t="s">
        <v>113</v>
      </c>
      <c r="AS23" s="31">
        <v>7530.0</v>
      </c>
      <c r="AT23" s="31">
        <v>2.93</v>
      </c>
      <c r="AU23" s="37">
        <v>134.59</v>
      </c>
      <c r="AV23" s="38">
        <f t="shared" ref="AV23:AW23" si="28">(AT23/7)</f>
        <v>0.4185714286</v>
      </c>
      <c r="AW23" s="38">
        <f t="shared" si="28"/>
        <v>19.22714286</v>
      </c>
      <c r="AX23" s="40"/>
      <c r="AY23" s="39"/>
    </row>
    <row r="24" ht="14.25" customHeight="1">
      <c r="A24" s="31">
        <v>8409.0</v>
      </c>
      <c r="B24" s="31" t="s">
        <v>114</v>
      </c>
      <c r="C24" s="31">
        <v>8409.0</v>
      </c>
      <c r="D24" s="31">
        <v>0.42</v>
      </c>
      <c r="E24" s="36" t="str">
        <f t="shared" si="3"/>
        <v>19/01 a20/01</v>
      </c>
      <c r="G24" s="31">
        <v>8323.0</v>
      </c>
      <c r="H24" s="31" t="s">
        <v>79</v>
      </c>
      <c r="I24" s="31">
        <v>8323.0</v>
      </c>
      <c r="J24" s="31">
        <v>1.29</v>
      </c>
      <c r="K24" s="36" t="str">
        <f t="shared" si="4"/>
        <v>20/01 a 21/01</v>
      </c>
      <c r="M24" s="31">
        <v>9124.0</v>
      </c>
      <c r="N24" s="31" t="s">
        <v>103</v>
      </c>
      <c r="O24" s="31">
        <v>9124.0</v>
      </c>
      <c r="P24" s="31">
        <v>2.0</v>
      </c>
      <c r="Q24" s="36" t="str">
        <f t="shared" si="5"/>
        <v>21/01 a 22/01</v>
      </c>
      <c r="S24" s="31">
        <v>8328.0</v>
      </c>
      <c r="T24" s="31" t="s">
        <v>83</v>
      </c>
      <c r="U24" s="31">
        <v>8328.0</v>
      </c>
      <c r="V24" s="31">
        <v>2.41</v>
      </c>
      <c r="W24" s="36" t="str">
        <f t="shared" si="6"/>
        <v>15/01 a16/01</v>
      </c>
      <c r="Y24" s="31">
        <v>8361.0</v>
      </c>
      <c r="Z24" s="31" t="s">
        <v>94</v>
      </c>
      <c r="AA24" s="31">
        <v>8361.0</v>
      </c>
      <c r="AB24" s="31">
        <v>1.28</v>
      </c>
      <c r="AC24" s="36" t="str">
        <f t="shared" si="7"/>
        <v>16/01 a 17/01</v>
      </c>
      <c r="AE24" s="31">
        <v>8336.0</v>
      </c>
      <c r="AF24" s="31" t="s">
        <v>89</v>
      </c>
      <c r="AG24" s="31">
        <v>8336.0</v>
      </c>
      <c r="AH24" s="31">
        <v>3.86</v>
      </c>
      <c r="AI24" s="36" t="str">
        <f t="shared" si="8"/>
        <v>17/01 a 18/01</v>
      </c>
      <c r="AK24" s="31">
        <v>7385.0</v>
      </c>
      <c r="AL24" s="31" t="s">
        <v>110</v>
      </c>
      <c r="AM24" s="31">
        <v>7385.0</v>
      </c>
      <c r="AN24" s="31">
        <v>2.05</v>
      </c>
      <c r="AO24" s="36" t="str">
        <f t="shared" si="9"/>
        <v>20/10 A 23/10</v>
      </c>
      <c r="AQ24" s="31">
        <v>7132.0</v>
      </c>
      <c r="AR24" s="31" t="s">
        <v>115</v>
      </c>
      <c r="AS24" s="31">
        <v>7132.0</v>
      </c>
      <c r="AT24" s="31">
        <v>3.33</v>
      </c>
      <c r="AU24" s="37">
        <v>132.78</v>
      </c>
      <c r="AV24" s="38">
        <f t="shared" ref="AV24:AW24" si="29">(AT24/7)</f>
        <v>0.4757142857</v>
      </c>
      <c r="AW24" s="38">
        <f t="shared" si="29"/>
        <v>18.96857143</v>
      </c>
      <c r="AX24" s="40"/>
      <c r="AY24" s="39"/>
    </row>
    <row r="25" ht="14.25" customHeight="1">
      <c r="A25" s="31">
        <v>8416.0</v>
      </c>
      <c r="B25" s="31" t="s">
        <v>116</v>
      </c>
      <c r="C25" s="31">
        <v>8416.0</v>
      </c>
      <c r="D25" s="31">
        <v>0.45</v>
      </c>
      <c r="E25" s="36" t="str">
        <f t="shared" si="3"/>
        <v>19/01 a20/01</v>
      </c>
      <c r="G25" s="31">
        <v>8328.0</v>
      </c>
      <c r="H25" s="31" t="s">
        <v>83</v>
      </c>
      <c r="I25" s="31">
        <v>8328.0</v>
      </c>
      <c r="J25" s="31">
        <v>1.34</v>
      </c>
      <c r="K25" s="36" t="str">
        <f t="shared" si="4"/>
        <v>20/01 a 21/01</v>
      </c>
      <c r="M25" s="31">
        <v>8400.0</v>
      </c>
      <c r="N25" s="31" t="s">
        <v>117</v>
      </c>
      <c r="O25" s="31">
        <v>8400.0</v>
      </c>
      <c r="P25" s="31">
        <v>2.55</v>
      </c>
      <c r="Q25" s="36" t="str">
        <f t="shared" si="5"/>
        <v>21/01 a 22/01</v>
      </c>
      <c r="S25" s="31">
        <v>8349.0</v>
      </c>
      <c r="T25" s="31" t="s">
        <v>104</v>
      </c>
      <c r="U25" s="31">
        <v>8349.0</v>
      </c>
      <c r="V25" s="31">
        <v>1.73</v>
      </c>
      <c r="W25" s="36" t="str">
        <f t="shared" si="6"/>
        <v>15/01 a16/01</v>
      </c>
      <c r="Y25" s="31">
        <v>9474.0</v>
      </c>
      <c r="Z25" s="31" t="s">
        <v>118</v>
      </c>
      <c r="AA25" s="31">
        <v>9474.0</v>
      </c>
      <c r="AB25" s="31">
        <v>2.37</v>
      </c>
      <c r="AC25" s="36" t="str">
        <f t="shared" si="7"/>
        <v>16/01 a 17/01</v>
      </c>
      <c r="AE25" s="31">
        <v>8349.0</v>
      </c>
      <c r="AF25" s="31" t="s">
        <v>104</v>
      </c>
      <c r="AG25" s="31">
        <v>8349.0</v>
      </c>
      <c r="AH25" s="31">
        <v>2.69</v>
      </c>
      <c r="AI25" s="36" t="str">
        <f t="shared" si="8"/>
        <v>17/01 a 18/01</v>
      </c>
      <c r="AK25" s="31">
        <v>7386.0</v>
      </c>
      <c r="AL25" s="31" t="s">
        <v>98</v>
      </c>
      <c r="AM25" s="31">
        <v>7386.0</v>
      </c>
      <c r="AN25" s="31">
        <v>1.76</v>
      </c>
      <c r="AO25" s="36" t="str">
        <f t="shared" si="9"/>
        <v>20/10 A 23/10</v>
      </c>
      <c r="AQ25" s="31">
        <v>7254.0</v>
      </c>
      <c r="AR25" s="31" t="s">
        <v>81</v>
      </c>
      <c r="AS25" s="31">
        <v>7254.0</v>
      </c>
      <c r="AT25" s="31">
        <v>1.77</v>
      </c>
      <c r="AU25" s="37">
        <v>132.28</v>
      </c>
      <c r="AV25" s="38">
        <f t="shared" ref="AV25:AW25" si="30">(AT25/7)</f>
        <v>0.2528571429</v>
      </c>
      <c r="AW25" s="38">
        <f t="shared" si="30"/>
        <v>18.89714286</v>
      </c>
      <c r="AX25" s="40"/>
      <c r="AY25" s="39"/>
    </row>
    <row r="26" ht="14.25" customHeight="1">
      <c r="A26" s="31">
        <v>93626.0</v>
      </c>
      <c r="B26" s="31" t="s">
        <v>119</v>
      </c>
      <c r="C26" s="31">
        <v>93626.0</v>
      </c>
      <c r="D26" s="31">
        <v>1.17</v>
      </c>
      <c r="E26" s="36" t="str">
        <f t="shared" si="3"/>
        <v>19/01 a20/01</v>
      </c>
      <c r="G26" s="31">
        <v>8336.0</v>
      </c>
      <c r="H26" s="31" t="s">
        <v>89</v>
      </c>
      <c r="I26" s="31">
        <v>8336.0</v>
      </c>
      <c r="J26" s="31">
        <v>0.89</v>
      </c>
      <c r="K26" s="36" t="str">
        <f t="shared" si="4"/>
        <v>20/01 a 21/01</v>
      </c>
      <c r="M26" s="31">
        <v>8409.0</v>
      </c>
      <c r="N26" s="31" t="s">
        <v>114</v>
      </c>
      <c r="O26" s="31">
        <v>8409.0</v>
      </c>
      <c r="P26" s="31">
        <v>0.21</v>
      </c>
      <c r="Q26" s="36" t="str">
        <f t="shared" si="5"/>
        <v>21/01 a 22/01</v>
      </c>
      <c r="S26" s="31">
        <v>8361.0</v>
      </c>
      <c r="T26" s="31" t="s">
        <v>94</v>
      </c>
      <c r="U26" s="31">
        <v>8361.0</v>
      </c>
      <c r="V26" s="31">
        <v>1.78</v>
      </c>
      <c r="W26" s="36" t="str">
        <f t="shared" si="6"/>
        <v>15/01 a16/01</v>
      </c>
      <c r="Y26" s="31">
        <v>8381.0</v>
      </c>
      <c r="Z26" s="31" t="s">
        <v>120</v>
      </c>
      <c r="AA26" s="31">
        <v>8381.0</v>
      </c>
      <c r="AB26" s="31">
        <v>1.59</v>
      </c>
      <c r="AC26" s="36" t="str">
        <f t="shared" si="7"/>
        <v>16/01 a 17/01</v>
      </c>
      <c r="AE26" s="31">
        <v>8361.0</v>
      </c>
      <c r="AF26" s="31" t="s">
        <v>94</v>
      </c>
      <c r="AG26" s="31">
        <v>8361.0</v>
      </c>
      <c r="AH26" s="31">
        <v>2.73</v>
      </c>
      <c r="AI26" s="36" t="str">
        <f t="shared" si="8"/>
        <v>17/01 a 18/01</v>
      </c>
      <c r="AK26" s="31">
        <v>7395.0</v>
      </c>
      <c r="AL26" s="31" t="s">
        <v>121</v>
      </c>
      <c r="AM26" s="31">
        <v>7395.0</v>
      </c>
      <c r="AN26" s="31">
        <v>1.78</v>
      </c>
      <c r="AO26" s="36" t="str">
        <f t="shared" si="9"/>
        <v>20/10 A 23/10</v>
      </c>
      <c r="AQ26" s="31">
        <v>7381.0</v>
      </c>
      <c r="AR26" s="31" t="s">
        <v>112</v>
      </c>
      <c r="AS26" s="31">
        <v>7381.0</v>
      </c>
      <c r="AT26" s="31">
        <v>2.38</v>
      </c>
      <c r="AU26" s="37">
        <v>130.53</v>
      </c>
      <c r="AV26" s="38">
        <f t="shared" ref="AV26:AW26" si="31">(AT26/7)</f>
        <v>0.34</v>
      </c>
      <c r="AW26" s="38">
        <f t="shared" si="31"/>
        <v>18.64714286</v>
      </c>
      <c r="AX26" s="40"/>
      <c r="AY26" s="39"/>
    </row>
    <row r="27" ht="14.25" customHeight="1">
      <c r="A27" s="31">
        <v>8442.0</v>
      </c>
      <c r="B27" s="31" t="s">
        <v>122</v>
      </c>
      <c r="C27" s="31">
        <v>8442.0</v>
      </c>
      <c r="D27" s="31">
        <v>1.64</v>
      </c>
      <c r="E27" s="36" t="str">
        <f t="shared" si="3"/>
        <v>19/01 a20/01</v>
      </c>
      <c r="G27" s="31">
        <v>8349.0</v>
      </c>
      <c r="H27" s="31" t="s">
        <v>104</v>
      </c>
      <c r="I27" s="31">
        <v>8349.0</v>
      </c>
      <c r="J27" s="31">
        <v>1.12</v>
      </c>
      <c r="K27" s="36" t="str">
        <f t="shared" si="4"/>
        <v>20/01 a 21/01</v>
      </c>
      <c r="M27" s="31">
        <v>8416.0</v>
      </c>
      <c r="N27" s="31" t="s">
        <v>116</v>
      </c>
      <c r="O27" s="31">
        <v>8416.0</v>
      </c>
      <c r="P27" s="31">
        <v>0.15</v>
      </c>
      <c r="Q27" s="36" t="str">
        <f t="shared" si="5"/>
        <v>21/01 a 22/01</v>
      </c>
      <c r="S27" s="31">
        <v>9474.0</v>
      </c>
      <c r="T27" s="31" t="s">
        <v>118</v>
      </c>
      <c r="U27" s="31">
        <v>9474.0</v>
      </c>
      <c r="V27" s="31">
        <v>1.3</v>
      </c>
      <c r="W27" s="36" t="str">
        <f t="shared" si="6"/>
        <v>15/01 a16/01</v>
      </c>
      <c r="Y27" s="31">
        <v>8385.0</v>
      </c>
      <c r="Z27" s="31" t="s">
        <v>123</v>
      </c>
      <c r="AA27" s="31">
        <v>8385.0</v>
      </c>
      <c r="AB27" s="31">
        <v>0.18</v>
      </c>
      <c r="AC27" s="36" t="str">
        <f t="shared" si="7"/>
        <v>16/01 a 17/01</v>
      </c>
      <c r="AE27" s="31">
        <v>9474.0</v>
      </c>
      <c r="AF27" s="31" t="s">
        <v>118</v>
      </c>
      <c r="AG27" s="31">
        <v>9474.0</v>
      </c>
      <c r="AH27" s="31">
        <v>1.06</v>
      </c>
      <c r="AI27" s="36" t="str">
        <f t="shared" si="8"/>
        <v>17/01 a 18/01</v>
      </c>
      <c r="AK27" s="31">
        <v>103.0</v>
      </c>
      <c r="AL27" s="31" t="s">
        <v>124</v>
      </c>
      <c r="AM27" s="31">
        <v>103.0</v>
      </c>
      <c r="AN27" s="31">
        <v>1.6</v>
      </c>
      <c r="AO27" s="36" t="str">
        <f t="shared" si="9"/>
        <v>20/10 A 23/10</v>
      </c>
      <c r="AQ27" s="31">
        <v>7267.0</v>
      </c>
      <c r="AR27" s="31" t="s">
        <v>49</v>
      </c>
      <c r="AS27" s="31">
        <v>7267.0</v>
      </c>
      <c r="AT27" s="31">
        <v>1.82</v>
      </c>
      <c r="AU27" s="37">
        <v>126.94</v>
      </c>
      <c r="AV27" s="38">
        <f t="shared" ref="AV27:AW27" si="32">(AT27/7)</f>
        <v>0.26</v>
      </c>
      <c r="AW27" s="38">
        <f t="shared" si="32"/>
        <v>18.13428571</v>
      </c>
      <c r="AX27" s="40"/>
      <c r="AY27" s="39"/>
    </row>
    <row r="28" ht="14.25" customHeight="1">
      <c r="A28" s="31">
        <v>8459.0</v>
      </c>
      <c r="B28" s="31" t="s">
        <v>125</v>
      </c>
      <c r="C28" s="31">
        <v>8459.0</v>
      </c>
      <c r="D28" s="31">
        <v>1.15</v>
      </c>
      <c r="E28" s="36" t="str">
        <f t="shared" si="3"/>
        <v>19/01 a20/01</v>
      </c>
      <c r="G28" s="31">
        <v>8386.0</v>
      </c>
      <c r="H28" s="31" t="s">
        <v>99</v>
      </c>
      <c r="I28" s="31">
        <v>8386.0</v>
      </c>
      <c r="J28" s="31">
        <v>0.52</v>
      </c>
      <c r="K28" s="36" t="str">
        <f t="shared" si="4"/>
        <v>20/01 a 21/01</v>
      </c>
      <c r="M28" s="31">
        <v>8424.0</v>
      </c>
      <c r="N28" s="31" t="s">
        <v>126</v>
      </c>
      <c r="O28" s="31">
        <v>8424.0</v>
      </c>
      <c r="P28" s="31">
        <v>0.58</v>
      </c>
      <c r="Q28" s="36" t="str">
        <f t="shared" si="5"/>
        <v>21/01 a 22/01</v>
      </c>
      <c r="S28" s="31">
        <v>8381.0</v>
      </c>
      <c r="T28" s="31" t="s">
        <v>120</v>
      </c>
      <c r="U28" s="31">
        <v>8381.0</v>
      </c>
      <c r="V28" s="31">
        <v>0.81</v>
      </c>
      <c r="W28" s="36" t="str">
        <f t="shared" si="6"/>
        <v>15/01 a16/01</v>
      </c>
      <c r="Y28" s="31">
        <v>9124.0</v>
      </c>
      <c r="Z28" s="31" t="s">
        <v>103</v>
      </c>
      <c r="AA28" s="31">
        <v>9124.0</v>
      </c>
      <c r="AB28" s="31">
        <v>24.0</v>
      </c>
      <c r="AC28" s="36" t="str">
        <f t="shared" si="7"/>
        <v>16/01 a 17/01</v>
      </c>
      <c r="AE28" s="31">
        <v>8381.0</v>
      </c>
      <c r="AF28" s="31" t="s">
        <v>120</v>
      </c>
      <c r="AG28" s="31">
        <v>8381.0</v>
      </c>
      <c r="AH28" s="31">
        <v>0.98</v>
      </c>
      <c r="AI28" s="36" t="str">
        <f t="shared" si="8"/>
        <v>17/01 a 18/01</v>
      </c>
      <c r="AK28" s="31">
        <v>7132.0</v>
      </c>
      <c r="AL28" s="31" t="s">
        <v>127</v>
      </c>
      <c r="AM28" s="31">
        <v>7132.0</v>
      </c>
      <c r="AN28" s="31">
        <v>2.65</v>
      </c>
      <c r="AO28" s="36" t="str">
        <f t="shared" si="9"/>
        <v>20/10 A 23/10</v>
      </c>
      <c r="AQ28" s="31">
        <v>7503.0</v>
      </c>
      <c r="AR28" s="31" t="s">
        <v>128</v>
      </c>
      <c r="AS28" s="31">
        <v>7503.0</v>
      </c>
      <c r="AT28" s="31">
        <v>2.44</v>
      </c>
      <c r="AU28" s="37">
        <v>121.96</v>
      </c>
      <c r="AV28" s="38">
        <f t="shared" ref="AV28:AW28" si="33">(AT28/7)</f>
        <v>0.3485714286</v>
      </c>
      <c r="AW28" s="38">
        <f t="shared" si="33"/>
        <v>17.42285714</v>
      </c>
      <c r="AX28" s="40"/>
      <c r="AY28" s="39"/>
    </row>
    <row r="29" ht="14.25" customHeight="1">
      <c r="A29" s="31">
        <v>8479.0</v>
      </c>
      <c r="B29" s="31" t="s">
        <v>129</v>
      </c>
      <c r="C29" s="31">
        <v>8479.0</v>
      </c>
      <c r="D29" s="31">
        <v>1.42</v>
      </c>
      <c r="E29" s="36" t="str">
        <f t="shared" si="3"/>
        <v>19/01 a20/01</v>
      </c>
      <c r="G29" s="31">
        <v>9124.0</v>
      </c>
      <c r="H29" s="31" t="s">
        <v>103</v>
      </c>
      <c r="I29" s="31">
        <v>9124.0</v>
      </c>
      <c r="J29" s="31">
        <v>20.0</v>
      </c>
      <c r="K29" s="36" t="str">
        <f t="shared" si="4"/>
        <v>20/01 a 21/01</v>
      </c>
      <c r="M29" s="31">
        <v>93626.0</v>
      </c>
      <c r="N29" s="31" t="s">
        <v>119</v>
      </c>
      <c r="O29" s="31">
        <v>93626.0</v>
      </c>
      <c r="P29" s="31">
        <v>2.08</v>
      </c>
      <c r="Q29" s="36" t="str">
        <f t="shared" si="5"/>
        <v>21/01 a 22/01</v>
      </c>
      <c r="S29" s="31">
        <v>8385.0</v>
      </c>
      <c r="T29" s="31" t="s">
        <v>123</v>
      </c>
      <c r="U29" s="31">
        <v>8385.0</v>
      </c>
      <c r="V29" s="31">
        <v>0.36</v>
      </c>
      <c r="W29" s="36" t="str">
        <f t="shared" si="6"/>
        <v>15/01 a16/01</v>
      </c>
      <c r="Y29" s="31">
        <v>8390.0</v>
      </c>
      <c r="Z29" s="31" t="s">
        <v>130</v>
      </c>
      <c r="AA29" s="31">
        <v>8390.0</v>
      </c>
      <c r="AB29" s="31">
        <v>0.76</v>
      </c>
      <c r="AC29" s="36" t="str">
        <f t="shared" si="7"/>
        <v>16/01 a 17/01</v>
      </c>
      <c r="AE29" s="31">
        <v>9124.0</v>
      </c>
      <c r="AF29" s="31" t="s">
        <v>103</v>
      </c>
      <c r="AG29" s="31">
        <v>9124.0</v>
      </c>
      <c r="AH29" s="31">
        <v>13.0</v>
      </c>
      <c r="AI29" s="36" t="str">
        <f t="shared" si="8"/>
        <v>17/01 a 18/01</v>
      </c>
      <c r="AK29" s="31">
        <v>3669.0</v>
      </c>
      <c r="AL29" s="31" t="s">
        <v>131</v>
      </c>
      <c r="AM29" s="31">
        <v>3669.0</v>
      </c>
      <c r="AN29" s="31">
        <v>0.28</v>
      </c>
      <c r="AO29" s="36" t="str">
        <f t="shared" si="9"/>
        <v>20/10 A 23/10</v>
      </c>
      <c r="AQ29" s="31">
        <v>7302.0</v>
      </c>
      <c r="AR29" s="31" t="s">
        <v>87</v>
      </c>
      <c r="AS29" s="31">
        <v>7302.0</v>
      </c>
      <c r="AT29" s="31">
        <v>2.43</v>
      </c>
      <c r="AU29" s="37">
        <v>121.04</v>
      </c>
      <c r="AV29" s="38">
        <f t="shared" ref="AV29:AW29" si="34">(AT29/7)</f>
        <v>0.3471428571</v>
      </c>
      <c r="AW29" s="38">
        <f t="shared" si="34"/>
        <v>17.29142857</v>
      </c>
      <c r="AX29" s="40"/>
      <c r="AY29" s="39"/>
    </row>
    <row r="30" ht="14.25" customHeight="1">
      <c r="A30" s="31">
        <v>8491.0</v>
      </c>
      <c r="B30" s="31" t="s">
        <v>132</v>
      </c>
      <c r="C30" s="31">
        <v>8491.0</v>
      </c>
      <c r="D30" s="31">
        <v>1.26</v>
      </c>
      <c r="E30" s="36" t="str">
        <f t="shared" si="3"/>
        <v>19/01 a20/01</v>
      </c>
      <c r="G30" s="31">
        <v>8391.0</v>
      </c>
      <c r="H30" s="31" t="s">
        <v>106</v>
      </c>
      <c r="I30" s="31">
        <v>8391.0</v>
      </c>
      <c r="J30" s="31">
        <v>0.21</v>
      </c>
      <c r="K30" s="36" t="str">
        <f t="shared" si="4"/>
        <v>20/01 a 21/01</v>
      </c>
      <c r="M30" s="31">
        <v>8326.0</v>
      </c>
      <c r="N30" s="31" t="s">
        <v>133</v>
      </c>
      <c r="O30" s="31">
        <v>8326.0</v>
      </c>
      <c r="P30" s="31">
        <v>0.13</v>
      </c>
      <c r="Q30" s="36" t="str">
        <f t="shared" si="5"/>
        <v>21/01 a 22/01</v>
      </c>
      <c r="S30" s="31">
        <v>9124.0</v>
      </c>
      <c r="T30" s="31" t="s">
        <v>103</v>
      </c>
      <c r="U30" s="31">
        <v>9124.0</v>
      </c>
      <c r="V30" s="31">
        <v>1.0</v>
      </c>
      <c r="W30" s="36" t="str">
        <f t="shared" si="6"/>
        <v>15/01 a16/01</v>
      </c>
      <c r="Y30" s="31">
        <v>8391.0</v>
      </c>
      <c r="Z30" s="31" t="s">
        <v>106</v>
      </c>
      <c r="AA30" s="31">
        <v>8391.0</v>
      </c>
      <c r="AB30" s="31">
        <v>0.13</v>
      </c>
      <c r="AC30" s="36" t="str">
        <f t="shared" si="7"/>
        <v>16/01 a 17/01</v>
      </c>
      <c r="AE30" s="31">
        <v>8391.0</v>
      </c>
      <c r="AF30" s="31" t="s">
        <v>106</v>
      </c>
      <c r="AG30" s="31">
        <v>8391.0</v>
      </c>
      <c r="AH30" s="31">
        <v>0.13</v>
      </c>
      <c r="AI30" s="36" t="str">
        <f t="shared" si="8"/>
        <v>17/01 a 18/01</v>
      </c>
      <c r="AK30" s="31">
        <v>6818.0</v>
      </c>
      <c r="AL30" s="31" t="s">
        <v>134</v>
      </c>
      <c r="AM30" s="31">
        <v>6818.0</v>
      </c>
      <c r="AN30" s="31">
        <v>1.13</v>
      </c>
      <c r="AO30" s="36" t="str">
        <f t="shared" si="9"/>
        <v>20/10 A 23/10</v>
      </c>
      <c r="AQ30" s="31">
        <v>7555.0</v>
      </c>
      <c r="AR30" s="31" t="s">
        <v>135</v>
      </c>
      <c r="AS30" s="31">
        <v>7555.0</v>
      </c>
      <c r="AT30" s="31">
        <v>2.57</v>
      </c>
      <c r="AU30" s="37">
        <v>115.33</v>
      </c>
      <c r="AV30" s="38">
        <f t="shared" ref="AV30:AW30" si="35">(AT30/7)</f>
        <v>0.3671428571</v>
      </c>
      <c r="AW30" s="38">
        <f t="shared" si="35"/>
        <v>16.47571429</v>
      </c>
      <c r="AX30" s="40"/>
      <c r="AY30" s="39"/>
    </row>
    <row r="31" ht="14.25" customHeight="1">
      <c r="A31" s="31">
        <v>8497.0</v>
      </c>
      <c r="B31" s="31" t="s">
        <v>136</v>
      </c>
      <c r="C31" s="31">
        <v>8497.0</v>
      </c>
      <c r="D31" s="31">
        <v>0.9</v>
      </c>
      <c r="E31" s="36" t="str">
        <f t="shared" si="3"/>
        <v>19/01 a20/01</v>
      </c>
      <c r="G31" s="31">
        <v>8400.0</v>
      </c>
      <c r="H31" s="31" t="s">
        <v>117</v>
      </c>
      <c r="I31" s="31">
        <v>8400.0</v>
      </c>
      <c r="J31" s="31">
        <v>0.32</v>
      </c>
      <c r="K31" s="36" t="str">
        <f t="shared" si="4"/>
        <v>20/01 a 21/01</v>
      </c>
      <c r="M31" s="31">
        <v>8459.0</v>
      </c>
      <c r="N31" s="31" t="s">
        <v>125</v>
      </c>
      <c r="O31" s="31">
        <v>8459.0</v>
      </c>
      <c r="P31" s="31">
        <v>0.74</v>
      </c>
      <c r="Q31" s="36" t="str">
        <f t="shared" si="5"/>
        <v>21/01 a 22/01</v>
      </c>
      <c r="S31" s="31">
        <v>9124.0</v>
      </c>
      <c r="T31" s="31" t="s">
        <v>103</v>
      </c>
      <c r="U31" s="31">
        <v>9124.0</v>
      </c>
      <c r="V31" s="31">
        <v>25.0</v>
      </c>
      <c r="W31" s="36" t="str">
        <f t="shared" si="6"/>
        <v>15/01 a16/01</v>
      </c>
      <c r="Y31" s="31">
        <v>8401.0</v>
      </c>
      <c r="Z31" s="31" t="s">
        <v>137</v>
      </c>
      <c r="AA31" s="31">
        <v>8401.0</v>
      </c>
      <c r="AB31" s="31">
        <v>1.02</v>
      </c>
      <c r="AC31" s="36" t="str">
        <f t="shared" si="7"/>
        <v>16/01 a 17/01</v>
      </c>
      <c r="AE31" s="31">
        <v>8393.0</v>
      </c>
      <c r="AF31" s="31" t="s">
        <v>138</v>
      </c>
      <c r="AG31" s="31">
        <v>8393.0</v>
      </c>
      <c r="AH31" s="31">
        <v>4.86</v>
      </c>
      <c r="AI31" s="36" t="str">
        <f t="shared" si="8"/>
        <v>17/01 a 18/01</v>
      </c>
      <c r="AK31" s="31">
        <v>7333.0</v>
      </c>
      <c r="AL31" s="31" t="s">
        <v>139</v>
      </c>
      <c r="AM31" s="31">
        <v>7333.0</v>
      </c>
      <c r="AN31" s="31">
        <v>9.0</v>
      </c>
      <c r="AO31" s="36" t="str">
        <f t="shared" si="9"/>
        <v>20/10 A 23/10</v>
      </c>
      <c r="AQ31" s="31">
        <v>7395.0</v>
      </c>
      <c r="AR31" s="31" t="s">
        <v>121</v>
      </c>
      <c r="AS31" s="31">
        <v>7395.0</v>
      </c>
      <c r="AT31" s="31">
        <v>2.19</v>
      </c>
      <c r="AU31" s="37">
        <v>109.53</v>
      </c>
      <c r="AV31" s="38">
        <f t="shared" ref="AV31:AW31" si="36">(AT31/7)</f>
        <v>0.3128571429</v>
      </c>
      <c r="AW31" s="38">
        <f t="shared" si="36"/>
        <v>15.64714286</v>
      </c>
      <c r="AX31" s="40"/>
      <c r="AY31" s="39"/>
    </row>
    <row r="32" ht="14.25" customHeight="1">
      <c r="A32" s="31">
        <v>8551.0</v>
      </c>
      <c r="B32" s="31" t="s">
        <v>140</v>
      </c>
      <c r="C32" s="31">
        <v>8551.0</v>
      </c>
      <c r="D32" s="31">
        <v>0.12</v>
      </c>
      <c r="E32" s="36" t="str">
        <f t="shared" si="3"/>
        <v>19/01 a20/01</v>
      </c>
      <c r="G32" s="31">
        <v>8409.0</v>
      </c>
      <c r="H32" s="31" t="s">
        <v>114</v>
      </c>
      <c r="I32" s="31">
        <v>8409.0</v>
      </c>
      <c r="J32" s="31">
        <v>0.76</v>
      </c>
      <c r="K32" s="36" t="str">
        <f t="shared" si="4"/>
        <v>20/01 a 21/01</v>
      </c>
      <c r="M32" s="31">
        <v>8479.0</v>
      </c>
      <c r="N32" s="31" t="s">
        <v>129</v>
      </c>
      <c r="O32" s="31">
        <v>8479.0</v>
      </c>
      <c r="P32" s="31">
        <v>1.31</v>
      </c>
      <c r="Q32" s="36" t="str">
        <f t="shared" si="5"/>
        <v>21/01 a 22/01</v>
      </c>
      <c r="S32" s="31">
        <v>8390.0</v>
      </c>
      <c r="T32" s="31" t="s">
        <v>130</v>
      </c>
      <c r="U32" s="31">
        <v>8390.0</v>
      </c>
      <c r="V32" s="31">
        <v>0.76</v>
      </c>
      <c r="W32" s="36" t="str">
        <f t="shared" si="6"/>
        <v>15/01 a16/01</v>
      </c>
      <c r="Y32" s="31">
        <v>8424.0</v>
      </c>
      <c r="Z32" s="31" t="s">
        <v>126</v>
      </c>
      <c r="AA32" s="31">
        <v>8424.0</v>
      </c>
      <c r="AB32" s="31">
        <v>0.59</v>
      </c>
      <c r="AC32" s="36" t="str">
        <f t="shared" si="7"/>
        <v>16/01 a 17/01</v>
      </c>
      <c r="AE32" s="31">
        <v>8396.0</v>
      </c>
      <c r="AF32" s="31" t="s">
        <v>141</v>
      </c>
      <c r="AG32" s="31">
        <v>8396.0</v>
      </c>
      <c r="AH32" s="31">
        <v>0.91</v>
      </c>
      <c r="AI32" s="36" t="str">
        <f t="shared" si="8"/>
        <v>17/01 a 18/01</v>
      </c>
      <c r="AK32" s="31">
        <v>6915.0</v>
      </c>
      <c r="AL32" s="31" t="s">
        <v>142</v>
      </c>
      <c r="AM32" s="31">
        <v>6915.0</v>
      </c>
      <c r="AN32" s="31">
        <v>0.68</v>
      </c>
      <c r="AO32" s="36" t="str">
        <f t="shared" si="9"/>
        <v>20/10 A 23/10</v>
      </c>
      <c r="AQ32" s="31">
        <v>7121.0</v>
      </c>
      <c r="AR32" s="31" t="s">
        <v>143</v>
      </c>
      <c r="AS32" s="31">
        <v>7121.0</v>
      </c>
      <c r="AT32" s="31">
        <v>3.0</v>
      </c>
      <c r="AU32" s="37">
        <v>104.7</v>
      </c>
      <c r="AV32" s="38">
        <f t="shared" ref="AV32:AW32" si="37">(AT32/7)</f>
        <v>0.4285714286</v>
      </c>
      <c r="AW32" s="38">
        <f t="shared" si="37"/>
        <v>14.95714286</v>
      </c>
    </row>
    <row r="33" ht="14.25" customHeight="1">
      <c r="A33" s="31">
        <v>8563.0</v>
      </c>
      <c r="B33" s="31" t="s">
        <v>144</v>
      </c>
      <c r="C33" s="31">
        <v>8563.0</v>
      </c>
      <c r="D33" s="31">
        <v>0.65</v>
      </c>
      <c r="E33" s="36" t="str">
        <f t="shared" si="3"/>
        <v>19/01 a20/01</v>
      </c>
      <c r="G33" s="31">
        <v>8416.0</v>
      </c>
      <c r="H33" s="31" t="s">
        <v>116</v>
      </c>
      <c r="I33" s="31">
        <v>8416.0</v>
      </c>
      <c r="J33" s="31">
        <v>0.3</v>
      </c>
      <c r="K33" s="36" t="str">
        <f t="shared" si="4"/>
        <v>20/01 a 21/01</v>
      </c>
      <c r="M33" s="31">
        <v>8480.0</v>
      </c>
      <c r="N33" s="31" t="s">
        <v>145</v>
      </c>
      <c r="O33" s="31">
        <v>8480.0</v>
      </c>
      <c r="P33" s="31">
        <v>4.66</v>
      </c>
      <c r="Q33" s="36" t="str">
        <f t="shared" si="5"/>
        <v>21/01 a 22/01</v>
      </c>
      <c r="S33" s="31">
        <v>8424.0</v>
      </c>
      <c r="T33" s="31" t="s">
        <v>126</v>
      </c>
      <c r="U33" s="31">
        <v>8424.0</v>
      </c>
      <c r="V33" s="31">
        <v>1.06</v>
      </c>
      <c r="W33" s="36" t="str">
        <f t="shared" si="6"/>
        <v>15/01 a16/01</v>
      </c>
      <c r="Y33" s="31">
        <v>8439.0</v>
      </c>
      <c r="Z33" s="31" t="s">
        <v>146</v>
      </c>
      <c r="AA33" s="31">
        <v>8439.0</v>
      </c>
      <c r="AB33" s="31">
        <v>4.23</v>
      </c>
      <c r="AC33" s="36" t="str">
        <f t="shared" si="7"/>
        <v>16/01 a 17/01</v>
      </c>
      <c r="AE33" s="31">
        <v>8400.0</v>
      </c>
      <c r="AF33" s="31" t="s">
        <v>117</v>
      </c>
      <c r="AG33" s="31">
        <v>8400.0</v>
      </c>
      <c r="AH33" s="31">
        <v>3.93</v>
      </c>
      <c r="AI33" s="36" t="str">
        <f t="shared" si="8"/>
        <v>17/01 a 18/01</v>
      </c>
      <c r="AK33" s="31">
        <v>6915.0</v>
      </c>
      <c r="AL33" s="31" t="s">
        <v>142</v>
      </c>
      <c r="AM33" s="31">
        <v>6915.0</v>
      </c>
      <c r="AN33" s="31">
        <v>0.23</v>
      </c>
      <c r="AO33" s="36" t="str">
        <f t="shared" si="9"/>
        <v>20/10 A 23/10</v>
      </c>
      <c r="AQ33" s="31">
        <v>8915.0</v>
      </c>
      <c r="AR33" s="31" t="s">
        <v>147</v>
      </c>
      <c r="AS33" s="31">
        <v>8915.0</v>
      </c>
      <c r="AT33" s="31">
        <v>1.42</v>
      </c>
      <c r="AU33" s="37">
        <v>99.23</v>
      </c>
      <c r="AV33" s="38">
        <f t="shared" ref="AV33:AW33" si="38">(AT33/7)</f>
        <v>0.2028571429</v>
      </c>
      <c r="AW33" s="38">
        <f t="shared" si="38"/>
        <v>14.17571429</v>
      </c>
    </row>
    <row r="34" ht="14.25" customHeight="1">
      <c r="A34" s="31">
        <v>8571.0</v>
      </c>
      <c r="B34" s="31" t="s">
        <v>148</v>
      </c>
      <c r="C34" s="31">
        <v>8571.0</v>
      </c>
      <c r="D34" s="31">
        <v>4.09</v>
      </c>
      <c r="E34" s="36" t="str">
        <f t="shared" si="3"/>
        <v>19/01 a20/01</v>
      </c>
      <c r="G34" s="31">
        <v>8424.0</v>
      </c>
      <c r="H34" s="31" t="s">
        <v>126</v>
      </c>
      <c r="I34" s="31">
        <v>8424.0</v>
      </c>
      <c r="J34" s="31">
        <v>0.1</v>
      </c>
      <c r="K34" s="36" t="str">
        <f t="shared" si="4"/>
        <v>20/01 a 21/01</v>
      </c>
      <c r="M34" s="31">
        <v>8491.0</v>
      </c>
      <c r="N34" s="31" t="s">
        <v>132</v>
      </c>
      <c r="O34" s="31">
        <v>8491.0</v>
      </c>
      <c r="P34" s="31">
        <v>1.16</v>
      </c>
      <c r="Q34" s="36" t="str">
        <f t="shared" si="5"/>
        <v>21/01 a 22/01</v>
      </c>
      <c r="S34" s="31">
        <v>93626.0</v>
      </c>
      <c r="T34" s="31" t="s">
        <v>119</v>
      </c>
      <c r="U34" s="31">
        <v>93626.0</v>
      </c>
      <c r="V34" s="31">
        <v>2.39</v>
      </c>
      <c r="W34" s="36" t="str">
        <f t="shared" si="6"/>
        <v>15/01 a16/01</v>
      </c>
      <c r="Y34" s="31">
        <v>93626.0</v>
      </c>
      <c r="Z34" s="31" t="s">
        <v>119</v>
      </c>
      <c r="AA34" s="31">
        <v>93626.0</v>
      </c>
      <c r="AB34" s="31">
        <v>2.39</v>
      </c>
      <c r="AC34" s="36" t="str">
        <f t="shared" si="7"/>
        <v>16/01 a 17/01</v>
      </c>
      <c r="AE34" s="31">
        <v>8401.0</v>
      </c>
      <c r="AF34" s="31" t="s">
        <v>137</v>
      </c>
      <c r="AG34" s="31">
        <v>8401.0</v>
      </c>
      <c r="AH34" s="31">
        <v>1.46</v>
      </c>
      <c r="AI34" s="36" t="str">
        <f t="shared" si="8"/>
        <v>17/01 a 18/01</v>
      </c>
      <c r="AK34" s="31">
        <v>508.0</v>
      </c>
      <c r="AL34" s="31" t="s">
        <v>149</v>
      </c>
      <c r="AM34" s="31">
        <v>508.0</v>
      </c>
      <c r="AN34" s="31">
        <v>0.75</v>
      </c>
      <c r="AO34" s="36" t="str">
        <f t="shared" si="9"/>
        <v>20/10 A 23/10</v>
      </c>
      <c r="AQ34" s="31">
        <v>7411.0</v>
      </c>
      <c r="AR34" s="31" t="s">
        <v>150</v>
      </c>
      <c r="AS34" s="31">
        <v>7411.0</v>
      </c>
      <c r="AT34" s="31">
        <v>2.38</v>
      </c>
      <c r="AU34" s="37">
        <v>90.13</v>
      </c>
      <c r="AV34" s="38">
        <f t="shared" ref="AV34:AW34" si="39">(AT34/7)</f>
        <v>0.34</v>
      </c>
      <c r="AW34" s="38">
        <f t="shared" si="39"/>
        <v>12.87571429</v>
      </c>
    </row>
    <row r="35" ht="14.25" customHeight="1">
      <c r="A35" s="31">
        <v>8963.0</v>
      </c>
      <c r="B35" s="31" t="s">
        <v>151</v>
      </c>
      <c r="C35" s="31">
        <v>8963.0</v>
      </c>
      <c r="D35" s="31">
        <v>5.0</v>
      </c>
      <c r="E35" s="36" t="str">
        <f t="shared" si="3"/>
        <v>19/01 a20/01</v>
      </c>
      <c r="G35" s="31">
        <v>93626.0</v>
      </c>
      <c r="H35" s="31" t="s">
        <v>119</v>
      </c>
      <c r="I35" s="31">
        <v>93626.0</v>
      </c>
      <c r="J35" s="31">
        <v>1.79</v>
      </c>
      <c r="K35" s="36" t="str">
        <f t="shared" si="4"/>
        <v>20/01 a 21/01</v>
      </c>
      <c r="M35" s="31">
        <v>8497.0</v>
      </c>
      <c r="N35" s="31" t="s">
        <v>136</v>
      </c>
      <c r="O35" s="31">
        <v>8497.0</v>
      </c>
      <c r="P35" s="31">
        <v>1.0</v>
      </c>
      <c r="Q35" s="36" t="str">
        <f t="shared" si="5"/>
        <v>21/01 a 22/01</v>
      </c>
      <c r="S35" s="31">
        <v>8442.0</v>
      </c>
      <c r="T35" s="31" t="s">
        <v>122</v>
      </c>
      <c r="U35" s="31">
        <v>8442.0</v>
      </c>
      <c r="V35" s="31">
        <v>2.56</v>
      </c>
      <c r="W35" s="36" t="str">
        <f t="shared" si="6"/>
        <v>15/01 a16/01</v>
      </c>
      <c r="Y35" s="31">
        <v>8442.0</v>
      </c>
      <c r="Z35" s="31" t="s">
        <v>122</v>
      </c>
      <c r="AA35" s="31">
        <v>8442.0</v>
      </c>
      <c r="AB35" s="31">
        <v>3.9</v>
      </c>
      <c r="AC35" s="36" t="str">
        <f t="shared" si="7"/>
        <v>16/01 a 17/01</v>
      </c>
      <c r="AE35" s="31">
        <v>8439.0</v>
      </c>
      <c r="AF35" s="31" t="s">
        <v>146</v>
      </c>
      <c r="AG35" s="31">
        <v>8439.0</v>
      </c>
      <c r="AH35" s="31">
        <v>4.23</v>
      </c>
      <c r="AI35" s="36" t="str">
        <f t="shared" si="8"/>
        <v>17/01 a 18/01</v>
      </c>
      <c r="AK35" s="31">
        <v>104255.0</v>
      </c>
      <c r="AL35" s="31" t="s">
        <v>88</v>
      </c>
      <c r="AM35" s="31">
        <v>104255.0</v>
      </c>
      <c r="AN35" s="31">
        <v>0.51</v>
      </c>
      <c r="AO35" s="36" t="str">
        <f t="shared" si="9"/>
        <v>20/10 A 23/10</v>
      </c>
      <c r="AQ35" s="31">
        <v>7004.0</v>
      </c>
      <c r="AR35" s="31" t="s">
        <v>152</v>
      </c>
      <c r="AS35" s="31">
        <v>7004.0</v>
      </c>
      <c r="AT35" s="31">
        <v>2.23</v>
      </c>
      <c r="AU35" s="37">
        <v>88.98</v>
      </c>
      <c r="AV35" s="38">
        <f t="shared" ref="AV35:AW35" si="40">(AT35/7)</f>
        <v>0.3185714286</v>
      </c>
      <c r="AW35" s="38">
        <f t="shared" si="40"/>
        <v>12.71142857</v>
      </c>
    </row>
    <row r="36" ht="14.25" customHeight="1">
      <c r="A36" s="31">
        <v>8695.0</v>
      </c>
      <c r="B36" s="31" t="s">
        <v>153</v>
      </c>
      <c r="C36" s="31">
        <v>8695.0</v>
      </c>
      <c r="D36" s="31">
        <v>1.28</v>
      </c>
      <c r="E36" s="36" t="str">
        <f t="shared" si="3"/>
        <v>19/01 a20/01</v>
      </c>
      <c r="G36" s="31">
        <v>8459.0</v>
      </c>
      <c r="H36" s="31" t="s">
        <v>125</v>
      </c>
      <c r="I36" s="31">
        <v>8459.0</v>
      </c>
      <c r="J36" s="31">
        <v>2.2</v>
      </c>
      <c r="K36" s="36" t="str">
        <f t="shared" si="4"/>
        <v>20/01 a 21/01</v>
      </c>
      <c r="M36" s="31">
        <v>8498.0</v>
      </c>
      <c r="N36" s="31" t="s">
        <v>154</v>
      </c>
      <c r="O36" s="31">
        <v>8498.0</v>
      </c>
      <c r="P36" s="31">
        <v>0.33</v>
      </c>
      <c r="Q36" s="36" t="str">
        <f t="shared" si="5"/>
        <v>21/01 a 22/01</v>
      </c>
      <c r="S36" s="31">
        <v>8480.0</v>
      </c>
      <c r="T36" s="31" t="s">
        <v>145</v>
      </c>
      <c r="U36" s="31">
        <v>8480.0</v>
      </c>
      <c r="V36" s="31">
        <v>5.43</v>
      </c>
      <c r="W36" s="36" t="str">
        <f t="shared" si="6"/>
        <v>15/01 a16/01</v>
      </c>
      <c r="Y36" s="31">
        <v>8480.0</v>
      </c>
      <c r="Z36" s="31" t="s">
        <v>145</v>
      </c>
      <c r="AA36" s="31">
        <v>8480.0</v>
      </c>
      <c r="AB36" s="31">
        <v>2.94</v>
      </c>
      <c r="AC36" s="36" t="str">
        <f t="shared" si="7"/>
        <v>16/01 a 17/01</v>
      </c>
      <c r="AE36" s="31">
        <v>8442.0</v>
      </c>
      <c r="AF36" s="31" t="s">
        <v>122</v>
      </c>
      <c r="AG36" s="31">
        <v>8442.0</v>
      </c>
      <c r="AH36" s="31">
        <v>1.91</v>
      </c>
      <c r="AI36" s="36" t="str">
        <f t="shared" si="8"/>
        <v>17/01 a 18/01</v>
      </c>
      <c r="AK36" s="31">
        <v>104256.0</v>
      </c>
      <c r="AL36" s="31" t="s">
        <v>63</v>
      </c>
      <c r="AM36" s="31">
        <v>104256.0</v>
      </c>
      <c r="AN36" s="31">
        <v>0.58</v>
      </c>
      <c r="AO36" s="36" t="str">
        <f t="shared" si="9"/>
        <v>20/10 A 23/10</v>
      </c>
      <c r="AQ36" s="31">
        <v>7003.0</v>
      </c>
      <c r="AR36" s="31" t="s">
        <v>155</v>
      </c>
      <c r="AS36" s="31">
        <v>7003.0</v>
      </c>
      <c r="AT36" s="31">
        <v>2.19</v>
      </c>
      <c r="AU36" s="37">
        <v>87.28</v>
      </c>
      <c r="AV36" s="38">
        <f t="shared" ref="AV36:AW36" si="41">(AT36/7)</f>
        <v>0.3128571429</v>
      </c>
      <c r="AW36" s="38">
        <f t="shared" si="41"/>
        <v>12.46857143</v>
      </c>
    </row>
    <row r="37" ht="14.25" customHeight="1">
      <c r="A37" s="31">
        <v>8789.0</v>
      </c>
      <c r="B37" s="31" t="s">
        <v>156</v>
      </c>
      <c r="C37" s="31">
        <v>8789.0</v>
      </c>
      <c r="D37" s="31">
        <v>0.42</v>
      </c>
      <c r="E37" s="36" t="str">
        <f t="shared" si="3"/>
        <v>19/01 a20/01</v>
      </c>
      <c r="G37" s="31">
        <v>8479.0</v>
      </c>
      <c r="H37" s="31" t="s">
        <v>129</v>
      </c>
      <c r="I37" s="31">
        <v>8479.0</v>
      </c>
      <c r="J37" s="31">
        <v>2.43</v>
      </c>
      <c r="K37" s="36" t="str">
        <f t="shared" si="4"/>
        <v>20/01 a 21/01</v>
      </c>
      <c r="M37" s="31">
        <v>8502.0</v>
      </c>
      <c r="N37" s="31" t="s">
        <v>157</v>
      </c>
      <c r="O37" s="31">
        <v>8502.0</v>
      </c>
      <c r="P37" s="31">
        <v>0.82</v>
      </c>
      <c r="Q37" s="36" t="str">
        <f t="shared" si="5"/>
        <v>21/01 a 22/01</v>
      </c>
      <c r="S37" s="31">
        <v>8491.0</v>
      </c>
      <c r="T37" s="31" t="s">
        <v>132</v>
      </c>
      <c r="U37" s="31">
        <v>8491.0</v>
      </c>
      <c r="V37" s="31">
        <v>0.43</v>
      </c>
      <c r="W37" s="36" t="str">
        <f t="shared" si="6"/>
        <v>15/01 a16/01</v>
      </c>
      <c r="Y37" s="31">
        <v>8482.0</v>
      </c>
      <c r="Z37" s="31" t="s">
        <v>158</v>
      </c>
      <c r="AA37" s="31">
        <v>8482.0</v>
      </c>
      <c r="AB37" s="31">
        <v>1.48</v>
      </c>
      <c r="AC37" s="36" t="str">
        <f t="shared" si="7"/>
        <v>16/01 a 17/01</v>
      </c>
      <c r="AE37" s="31">
        <v>8480.0</v>
      </c>
      <c r="AF37" s="31" t="s">
        <v>145</v>
      </c>
      <c r="AG37" s="31">
        <v>8480.0</v>
      </c>
      <c r="AH37" s="31">
        <v>2.09</v>
      </c>
      <c r="AI37" s="36" t="str">
        <f t="shared" si="8"/>
        <v>17/01 a 18/01</v>
      </c>
      <c r="AK37" s="31">
        <v>104254.0</v>
      </c>
      <c r="AL37" s="31" t="s">
        <v>46</v>
      </c>
      <c r="AM37" s="31">
        <v>104254.0</v>
      </c>
      <c r="AN37" s="31">
        <v>0.57</v>
      </c>
      <c r="AO37" s="36" t="str">
        <f t="shared" si="9"/>
        <v>20/10 A 23/10</v>
      </c>
      <c r="AQ37" s="31">
        <v>7481.0</v>
      </c>
      <c r="AR37" s="31" t="s">
        <v>159</v>
      </c>
      <c r="AS37" s="31">
        <v>7481.0</v>
      </c>
      <c r="AT37" s="31">
        <v>2.02</v>
      </c>
      <c r="AU37" s="37">
        <v>86.58</v>
      </c>
      <c r="AV37" s="38">
        <f t="shared" ref="AV37:AW37" si="42">(AT37/7)</f>
        <v>0.2885714286</v>
      </c>
      <c r="AW37" s="38">
        <f t="shared" si="42"/>
        <v>12.36857143</v>
      </c>
    </row>
    <row r="38" ht="14.25" customHeight="1">
      <c r="A38" s="31">
        <v>8837.0</v>
      </c>
      <c r="B38" s="31" t="s">
        <v>160</v>
      </c>
      <c r="C38" s="31">
        <v>8837.0</v>
      </c>
      <c r="D38" s="31">
        <v>1.19</v>
      </c>
      <c r="E38" s="36" t="str">
        <f t="shared" si="3"/>
        <v>19/01 a20/01</v>
      </c>
      <c r="G38" s="31">
        <v>8480.0</v>
      </c>
      <c r="H38" s="31" t="s">
        <v>145</v>
      </c>
      <c r="I38" s="31">
        <v>8480.0</v>
      </c>
      <c r="J38" s="31">
        <v>2.73</v>
      </c>
      <c r="K38" s="36" t="str">
        <f t="shared" si="4"/>
        <v>20/01 a 21/01</v>
      </c>
      <c r="M38" s="31">
        <v>8551.0</v>
      </c>
      <c r="N38" s="31" t="s">
        <v>140</v>
      </c>
      <c r="O38" s="31">
        <v>8551.0</v>
      </c>
      <c r="P38" s="31">
        <v>0.12</v>
      </c>
      <c r="Q38" s="36" t="str">
        <f t="shared" si="5"/>
        <v>21/01 a 22/01</v>
      </c>
      <c r="S38" s="31">
        <v>8497.0</v>
      </c>
      <c r="T38" s="31" t="s">
        <v>136</v>
      </c>
      <c r="U38" s="31">
        <v>8497.0</v>
      </c>
      <c r="V38" s="31">
        <v>0.68</v>
      </c>
      <c r="W38" s="36" t="str">
        <f t="shared" si="6"/>
        <v>15/01 a16/01</v>
      </c>
      <c r="Y38" s="31">
        <v>8497.0</v>
      </c>
      <c r="Z38" s="31" t="s">
        <v>136</v>
      </c>
      <c r="AA38" s="31">
        <v>8497.0</v>
      </c>
      <c r="AB38" s="31">
        <v>0.99</v>
      </c>
      <c r="AC38" s="36" t="str">
        <f t="shared" si="7"/>
        <v>16/01 a 17/01</v>
      </c>
      <c r="AE38" s="31">
        <v>8483.0</v>
      </c>
      <c r="AF38" s="31" t="s">
        <v>161</v>
      </c>
      <c r="AG38" s="31">
        <v>8483.0</v>
      </c>
      <c r="AH38" s="31">
        <v>2.88</v>
      </c>
      <c r="AI38" s="36" t="str">
        <f t="shared" si="8"/>
        <v>17/01 a 18/01</v>
      </c>
      <c r="AK38" s="31">
        <v>1589.0</v>
      </c>
      <c r="AL38" s="31" t="s">
        <v>162</v>
      </c>
      <c r="AM38" s="31">
        <v>1589.0</v>
      </c>
      <c r="AN38" s="31">
        <v>0.18</v>
      </c>
      <c r="AO38" s="36" t="str">
        <f t="shared" si="9"/>
        <v>20/10 A 23/10</v>
      </c>
      <c r="AQ38" s="31">
        <v>6955.0</v>
      </c>
      <c r="AR38" s="31" t="s">
        <v>163</v>
      </c>
      <c r="AS38" s="31">
        <v>6955.0</v>
      </c>
      <c r="AT38" s="31">
        <v>1.91</v>
      </c>
      <c r="AU38" s="37">
        <v>85.57</v>
      </c>
      <c r="AV38" s="38">
        <f t="shared" ref="AV38:AW38" si="43">(AT38/7)</f>
        <v>0.2728571429</v>
      </c>
      <c r="AW38" s="38">
        <f t="shared" si="43"/>
        <v>12.22428571</v>
      </c>
    </row>
    <row r="39" ht="14.25" customHeight="1">
      <c r="A39" s="31">
        <v>9123.0</v>
      </c>
      <c r="B39" s="31" t="s">
        <v>164</v>
      </c>
      <c r="C39" s="31">
        <v>9123.0</v>
      </c>
      <c r="D39" s="31">
        <v>5.0</v>
      </c>
      <c r="E39" s="36" t="str">
        <f t="shared" si="3"/>
        <v>19/01 a20/01</v>
      </c>
      <c r="G39" s="31">
        <v>8491.0</v>
      </c>
      <c r="H39" s="31" t="s">
        <v>132</v>
      </c>
      <c r="I39" s="31">
        <v>8491.0</v>
      </c>
      <c r="J39" s="31">
        <v>2.0</v>
      </c>
      <c r="K39" s="36" t="str">
        <f t="shared" si="4"/>
        <v>20/01 a 21/01</v>
      </c>
      <c r="M39" s="31">
        <v>8598.0</v>
      </c>
      <c r="N39" s="31" t="s">
        <v>165</v>
      </c>
      <c r="O39" s="31">
        <v>8598.0</v>
      </c>
      <c r="P39" s="31">
        <v>0.37</v>
      </c>
      <c r="Q39" s="36" t="str">
        <f t="shared" si="5"/>
        <v>21/01 a 22/01</v>
      </c>
      <c r="S39" s="31">
        <v>8541.0</v>
      </c>
      <c r="T39" s="31" t="s">
        <v>166</v>
      </c>
      <c r="U39" s="31">
        <v>8541.0</v>
      </c>
      <c r="V39" s="31">
        <v>1.8</v>
      </c>
      <c r="W39" s="36" t="str">
        <f t="shared" si="6"/>
        <v>15/01 a16/01</v>
      </c>
      <c r="Y39" s="31">
        <v>8498.0</v>
      </c>
      <c r="Z39" s="31" t="s">
        <v>154</v>
      </c>
      <c r="AA39" s="31">
        <v>8498.0</v>
      </c>
      <c r="AB39" s="31">
        <v>0.95</v>
      </c>
      <c r="AC39" s="36" t="str">
        <f t="shared" si="7"/>
        <v>16/01 a 17/01</v>
      </c>
      <c r="AE39" s="31">
        <v>6857.0</v>
      </c>
      <c r="AF39" s="31" t="s">
        <v>167</v>
      </c>
      <c r="AG39" s="31">
        <v>6857.0</v>
      </c>
      <c r="AH39" s="31">
        <v>2.54</v>
      </c>
      <c r="AI39" s="36" t="str">
        <f t="shared" si="8"/>
        <v>17/01 a 18/01</v>
      </c>
      <c r="AK39" s="31">
        <v>1589.0</v>
      </c>
      <c r="AL39" s="31" t="s">
        <v>162</v>
      </c>
      <c r="AM39" s="31">
        <v>1589.0</v>
      </c>
      <c r="AN39" s="31">
        <v>0.66</v>
      </c>
      <c r="AO39" s="36" t="str">
        <f t="shared" si="9"/>
        <v>20/10 A 23/10</v>
      </c>
      <c r="AQ39" s="31">
        <v>6963.0</v>
      </c>
      <c r="AR39" s="31" t="s">
        <v>168</v>
      </c>
      <c r="AS39" s="31">
        <v>6963.0</v>
      </c>
      <c r="AT39" s="31">
        <v>1.85</v>
      </c>
      <c r="AU39" s="37">
        <v>83.23</v>
      </c>
      <c r="AV39" s="38">
        <f t="shared" ref="AV39:AW39" si="44">(AT39/7)</f>
        <v>0.2642857143</v>
      </c>
      <c r="AW39" s="38">
        <f t="shared" si="44"/>
        <v>11.89</v>
      </c>
    </row>
    <row r="40" ht="14.25" customHeight="1">
      <c r="A40" s="31">
        <v>8847.0</v>
      </c>
      <c r="B40" s="31" t="s">
        <v>169</v>
      </c>
      <c r="C40" s="31">
        <v>8847.0</v>
      </c>
      <c r="D40" s="31">
        <v>0.99</v>
      </c>
      <c r="E40" s="36" t="str">
        <f t="shared" si="3"/>
        <v>19/01 a20/01</v>
      </c>
      <c r="G40" s="31">
        <v>8497.0</v>
      </c>
      <c r="H40" s="31" t="s">
        <v>136</v>
      </c>
      <c r="I40" s="31">
        <v>8497.0</v>
      </c>
      <c r="J40" s="31">
        <v>0.87</v>
      </c>
      <c r="K40" s="36" t="str">
        <f t="shared" si="4"/>
        <v>20/01 a 21/01</v>
      </c>
      <c r="M40" s="31">
        <v>8671.0</v>
      </c>
      <c r="N40" s="31" t="s">
        <v>170</v>
      </c>
      <c r="O40" s="31">
        <v>8671.0</v>
      </c>
      <c r="P40" s="31">
        <v>1.35</v>
      </c>
      <c r="Q40" s="36" t="str">
        <f t="shared" si="5"/>
        <v>21/01 a 22/01</v>
      </c>
      <c r="S40" s="31">
        <v>8544.0</v>
      </c>
      <c r="T40" s="31" t="s">
        <v>171</v>
      </c>
      <c r="U40" s="31">
        <v>8544.0</v>
      </c>
      <c r="V40" s="31">
        <v>1.68</v>
      </c>
      <c r="W40" s="36" t="str">
        <f t="shared" si="6"/>
        <v>15/01 a16/01</v>
      </c>
      <c r="Y40" s="31">
        <v>6960.0</v>
      </c>
      <c r="Z40" s="31" t="s">
        <v>172</v>
      </c>
      <c r="AA40" s="31">
        <v>6960.0</v>
      </c>
      <c r="AB40" s="31">
        <v>2.33</v>
      </c>
      <c r="AC40" s="36" t="str">
        <f t="shared" si="7"/>
        <v>16/01 a 17/01</v>
      </c>
      <c r="AE40" s="31">
        <v>8482.0</v>
      </c>
      <c r="AF40" s="31" t="s">
        <v>158</v>
      </c>
      <c r="AG40" s="31">
        <v>8482.0</v>
      </c>
      <c r="AH40" s="31">
        <v>4.57</v>
      </c>
      <c r="AI40" s="36" t="str">
        <f t="shared" si="8"/>
        <v>17/01 a 18/01</v>
      </c>
      <c r="AK40" s="31">
        <v>515.0</v>
      </c>
      <c r="AL40" s="31" t="s">
        <v>173</v>
      </c>
      <c r="AM40" s="31">
        <v>515.0</v>
      </c>
      <c r="AN40" s="31">
        <v>1.21</v>
      </c>
      <c r="AO40" s="36" t="str">
        <f t="shared" si="9"/>
        <v>20/10 A 23/10</v>
      </c>
      <c r="AQ40" s="31">
        <v>7141.0</v>
      </c>
      <c r="AR40" s="31" t="s">
        <v>54</v>
      </c>
      <c r="AS40" s="31">
        <v>7141.0</v>
      </c>
      <c r="AT40" s="31">
        <v>1.65</v>
      </c>
      <c r="AU40" s="37">
        <v>82.34</v>
      </c>
      <c r="AV40" s="38">
        <f t="shared" ref="AV40:AW40" si="45">(AT40/7)</f>
        <v>0.2357142857</v>
      </c>
      <c r="AW40" s="38">
        <f t="shared" si="45"/>
        <v>11.76285714</v>
      </c>
    </row>
    <row r="41" ht="14.25" customHeight="1">
      <c r="A41" s="31">
        <v>7075.0</v>
      </c>
      <c r="B41" s="31" t="s">
        <v>174</v>
      </c>
      <c r="C41" s="31">
        <v>7075.0</v>
      </c>
      <c r="D41" s="31">
        <v>4.5</v>
      </c>
      <c r="E41" s="36" t="str">
        <f t="shared" si="3"/>
        <v>19/01 a20/01</v>
      </c>
      <c r="G41" s="31">
        <v>8498.0</v>
      </c>
      <c r="H41" s="31" t="s">
        <v>154</v>
      </c>
      <c r="I41" s="31">
        <v>8498.0</v>
      </c>
      <c r="J41" s="31">
        <v>0.32</v>
      </c>
      <c r="K41" s="36" t="str">
        <f t="shared" si="4"/>
        <v>20/01 a 21/01</v>
      </c>
      <c r="M41" s="31">
        <v>8963.0</v>
      </c>
      <c r="N41" s="31" t="s">
        <v>151</v>
      </c>
      <c r="O41" s="31">
        <v>8963.0</v>
      </c>
      <c r="P41" s="31">
        <v>5.0</v>
      </c>
      <c r="Q41" s="36" t="str">
        <f t="shared" si="5"/>
        <v>21/01 a 22/01</v>
      </c>
      <c r="S41" s="31">
        <v>8545.0</v>
      </c>
      <c r="T41" s="31" t="s">
        <v>175</v>
      </c>
      <c r="U41" s="31">
        <v>8545.0</v>
      </c>
      <c r="V41" s="31">
        <v>0.32</v>
      </c>
      <c r="W41" s="36" t="str">
        <f t="shared" si="6"/>
        <v>15/01 a16/01</v>
      </c>
      <c r="Y41" s="31">
        <v>6960.0</v>
      </c>
      <c r="Z41" s="31" t="s">
        <v>172</v>
      </c>
      <c r="AA41" s="31">
        <v>6960.0</v>
      </c>
      <c r="AB41" s="31">
        <v>0.39</v>
      </c>
      <c r="AC41" s="36" t="str">
        <f t="shared" si="7"/>
        <v>16/01 a 17/01</v>
      </c>
      <c r="AE41" s="31">
        <v>8484.0</v>
      </c>
      <c r="AF41" s="31" t="s">
        <v>176</v>
      </c>
      <c r="AG41" s="31">
        <v>8484.0</v>
      </c>
      <c r="AH41" s="31">
        <v>2.24</v>
      </c>
      <c r="AI41" s="36" t="str">
        <f t="shared" si="8"/>
        <v>17/01 a 18/01</v>
      </c>
      <c r="AK41" s="31">
        <v>544.0</v>
      </c>
      <c r="AL41" s="31" t="s">
        <v>177</v>
      </c>
      <c r="AM41" s="31">
        <v>544.0</v>
      </c>
      <c r="AN41" s="31">
        <v>0.74</v>
      </c>
      <c r="AO41" s="36" t="str">
        <f t="shared" si="9"/>
        <v>20/10 A 23/10</v>
      </c>
      <c r="AQ41" s="31">
        <v>7399.0</v>
      </c>
      <c r="AR41" s="31" t="s">
        <v>178</v>
      </c>
      <c r="AS41" s="31">
        <v>7399.0</v>
      </c>
      <c r="AT41" s="31">
        <v>1.96</v>
      </c>
      <c r="AU41" s="37">
        <v>74.28</v>
      </c>
      <c r="AV41" s="38">
        <f t="shared" ref="AV41:AW41" si="46">(AT41/7)</f>
        <v>0.28</v>
      </c>
      <c r="AW41" s="38">
        <f t="shared" si="46"/>
        <v>10.61142857</v>
      </c>
    </row>
    <row r="42" ht="14.25" customHeight="1">
      <c r="E42" s="36" t="str">
        <f t="shared" si="3"/>
        <v>19/01 a20/01</v>
      </c>
      <c r="G42" s="31">
        <v>8502.0</v>
      </c>
      <c r="H42" s="31" t="s">
        <v>157</v>
      </c>
      <c r="I42" s="31">
        <v>8502.0</v>
      </c>
      <c r="J42" s="31">
        <v>0.41</v>
      </c>
      <c r="K42" s="36" t="str">
        <f t="shared" si="4"/>
        <v>20/01 a 21/01</v>
      </c>
      <c r="M42" s="31">
        <v>8690.0</v>
      </c>
      <c r="N42" s="31" t="s">
        <v>179</v>
      </c>
      <c r="O42" s="31">
        <v>8690.0</v>
      </c>
      <c r="P42" s="31">
        <v>1.62</v>
      </c>
      <c r="Q42" s="36" t="str">
        <f t="shared" si="5"/>
        <v>21/01 a 22/01</v>
      </c>
      <c r="S42" s="31">
        <v>8551.0</v>
      </c>
      <c r="T42" s="31" t="s">
        <v>140</v>
      </c>
      <c r="U42" s="31">
        <v>8551.0</v>
      </c>
      <c r="V42" s="31">
        <v>0.25</v>
      </c>
      <c r="W42" s="36" t="str">
        <f t="shared" si="6"/>
        <v>15/01 a16/01</v>
      </c>
      <c r="Y42" s="31">
        <v>8529.0</v>
      </c>
      <c r="Z42" s="31" t="s">
        <v>180</v>
      </c>
      <c r="AA42" s="31">
        <v>8529.0</v>
      </c>
      <c r="AB42" s="31">
        <v>0.58</v>
      </c>
      <c r="AC42" s="36" t="str">
        <f t="shared" si="7"/>
        <v>16/01 a 17/01</v>
      </c>
      <c r="AE42" s="31">
        <v>8497.0</v>
      </c>
      <c r="AF42" s="31" t="s">
        <v>136</v>
      </c>
      <c r="AG42" s="31">
        <v>8497.0</v>
      </c>
      <c r="AH42" s="31">
        <v>0.75</v>
      </c>
      <c r="AI42" s="36" t="str">
        <f t="shared" si="8"/>
        <v>17/01 a 18/01</v>
      </c>
      <c r="AK42" s="31">
        <v>759.0</v>
      </c>
      <c r="AL42" s="31" t="s">
        <v>181</v>
      </c>
      <c r="AM42" s="31">
        <v>759.0</v>
      </c>
      <c r="AN42" s="31">
        <v>1.29</v>
      </c>
      <c r="AO42" s="36" t="str">
        <f t="shared" si="9"/>
        <v>20/10 A 23/10</v>
      </c>
      <c r="AQ42" s="31">
        <v>7475.0</v>
      </c>
      <c r="AR42" s="31" t="s">
        <v>182</v>
      </c>
      <c r="AS42" s="31">
        <v>7475.0</v>
      </c>
      <c r="AT42" s="31">
        <v>1.18</v>
      </c>
      <c r="AU42" s="37">
        <v>73.97</v>
      </c>
      <c r="AV42" s="38">
        <f t="shared" ref="AV42:AW42" si="47">(AT42/7)</f>
        <v>0.1685714286</v>
      </c>
      <c r="AW42" s="38">
        <f t="shared" si="47"/>
        <v>10.56714286</v>
      </c>
    </row>
    <row r="43" ht="14.25" customHeight="1">
      <c r="D43" s="31">
        <v>99.636</v>
      </c>
      <c r="E43" s="36" t="str">
        <f t="shared" si="3"/>
        <v>19/01 a20/01</v>
      </c>
      <c r="G43" s="31">
        <v>8563.0</v>
      </c>
      <c r="H43" s="31" t="s">
        <v>144</v>
      </c>
      <c r="I43" s="31">
        <v>8563.0</v>
      </c>
      <c r="J43" s="31">
        <v>0.99</v>
      </c>
      <c r="K43" s="36" t="str">
        <f t="shared" si="4"/>
        <v>20/01 a 21/01</v>
      </c>
      <c r="M43" s="31">
        <v>8695.0</v>
      </c>
      <c r="N43" s="31" t="s">
        <v>153</v>
      </c>
      <c r="O43" s="31">
        <v>8695.0</v>
      </c>
      <c r="P43" s="31">
        <v>2.23</v>
      </c>
      <c r="Q43" s="36" t="str">
        <f t="shared" si="5"/>
        <v>21/01 a 22/01</v>
      </c>
      <c r="S43" s="31">
        <v>6835.0</v>
      </c>
      <c r="T43" s="31" t="s">
        <v>183</v>
      </c>
      <c r="U43" s="31">
        <v>6835.0</v>
      </c>
      <c r="V43" s="31">
        <v>0.33</v>
      </c>
      <c r="W43" s="36" t="str">
        <f t="shared" si="6"/>
        <v>15/01 a16/01</v>
      </c>
      <c r="Y43" s="31">
        <v>8532.0</v>
      </c>
      <c r="Z43" s="31" t="s">
        <v>184</v>
      </c>
      <c r="AA43" s="31">
        <v>8532.0</v>
      </c>
      <c r="AB43" s="31">
        <v>2.35</v>
      </c>
      <c r="AC43" s="36" t="str">
        <f t="shared" si="7"/>
        <v>16/01 a 17/01</v>
      </c>
      <c r="AE43" s="31">
        <v>8498.0</v>
      </c>
      <c r="AF43" s="31" t="s">
        <v>154</v>
      </c>
      <c r="AG43" s="31">
        <v>8498.0</v>
      </c>
      <c r="AH43" s="31">
        <v>0.95</v>
      </c>
      <c r="AI43" s="36" t="str">
        <f t="shared" si="8"/>
        <v>17/01 a 18/01</v>
      </c>
      <c r="AK43" s="31">
        <v>1663.0</v>
      </c>
      <c r="AL43" s="31" t="s">
        <v>185</v>
      </c>
      <c r="AM43" s="31">
        <v>1663.0</v>
      </c>
      <c r="AN43" s="31">
        <v>0.16</v>
      </c>
      <c r="AO43" s="36" t="str">
        <f t="shared" si="9"/>
        <v>20/10 A 23/10</v>
      </c>
      <c r="AQ43" s="31">
        <v>6915.0</v>
      </c>
      <c r="AR43" s="31" t="s">
        <v>142</v>
      </c>
      <c r="AS43" s="31">
        <v>6915.0</v>
      </c>
      <c r="AT43" s="31">
        <v>1.22</v>
      </c>
      <c r="AU43" s="37">
        <v>73.09</v>
      </c>
      <c r="AV43" s="38">
        <f t="shared" ref="AV43:AW43" si="48">(AT43/7)</f>
        <v>0.1742857143</v>
      </c>
      <c r="AW43" s="38">
        <f t="shared" si="48"/>
        <v>10.44142857</v>
      </c>
    </row>
    <row r="44" ht="14.25" customHeight="1">
      <c r="A44" s="31">
        <v>8837.0</v>
      </c>
      <c r="B44" s="31" t="s">
        <v>160</v>
      </c>
      <c r="C44" s="31">
        <v>8837.0</v>
      </c>
      <c r="D44" s="31">
        <v>1.03</v>
      </c>
      <c r="E44" s="36" t="str">
        <f t="shared" si="3"/>
        <v>19/01 a20/01</v>
      </c>
      <c r="G44" s="31">
        <v>8563.0</v>
      </c>
      <c r="H44" s="31" t="s">
        <v>144</v>
      </c>
      <c r="I44" s="31">
        <v>8563.0</v>
      </c>
      <c r="J44" s="31">
        <v>0.82</v>
      </c>
      <c r="K44" s="36" t="str">
        <f t="shared" si="4"/>
        <v>20/01 a 21/01</v>
      </c>
      <c r="M44" s="31">
        <v>9391.0</v>
      </c>
      <c r="N44" s="31" t="s">
        <v>186</v>
      </c>
      <c r="O44" s="31">
        <v>9391.0</v>
      </c>
      <c r="P44" s="31">
        <v>2.0</v>
      </c>
      <c r="Q44" s="36" t="str">
        <f t="shared" si="5"/>
        <v>21/01 a 22/01</v>
      </c>
      <c r="S44" s="31">
        <v>8598.0</v>
      </c>
      <c r="T44" s="31" t="s">
        <v>165</v>
      </c>
      <c r="U44" s="31">
        <v>8598.0</v>
      </c>
      <c r="V44" s="31">
        <v>0.42</v>
      </c>
      <c r="W44" s="36" t="str">
        <f t="shared" si="6"/>
        <v>15/01 a16/01</v>
      </c>
      <c r="Y44" s="31">
        <v>8541.0</v>
      </c>
      <c r="Z44" s="31" t="s">
        <v>166</v>
      </c>
      <c r="AA44" s="31">
        <v>8541.0</v>
      </c>
      <c r="AB44" s="31">
        <v>0.89</v>
      </c>
      <c r="AC44" s="36" t="str">
        <f t="shared" si="7"/>
        <v>16/01 a 17/01</v>
      </c>
      <c r="AE44" s="31">
        <v>6960.0</v>
      </c>
      <c r="AF44" s="31" t="s">
        <v>172</v>
      </c>
      <c r="AG44" s="31">
        <v>6960.0</v>
      </c>
      <c r="AH44" s="31">
        <v>4.27</v>
      </c>
      <c r="AI44" s="36" t="str">
        <f t="shared" si="8"/>
        <v>17/01 a 18/01</v>
      </c>
      <c r="AK44" s="31">
        <v>523.0</v>
      </c>
      <c r="AL44" s="31" t="s">
        <v>187</v>
      </c>
      <c r="AM44" s="31">
        <v>523.0</v>
      </c>
      <c r="AN44" s="31">
        <v>0.51</v>
      </c>
      <c r="AO44" s="36" t="str">
        <f t="shared" si="9"/>
        <v>20/10 A 23/10</v>
      </c>
      <c r="AQ44" s="31">
        <v>7260.0</v>
      </c>
      <c r="AR44" s="31" t="s">
        <v>188</v>
      </c>
      <c r="AS44" s="31">
        <v>7260.0</v>
      </c>
      <c r="AT44" s="31">
        <v>0.96</v>
      </c>
      <c r="AU44" s="37">
        <v>71.77</v>
      </c>
      <c r="AV44" s="38">
        <f t="shared" ref="AV44:AW44" si="49">(AT44/7)</f>
        <v>0.1371428571</v>
      </c>
      <c r="AW44" s="38">
        <f t="shared" si="49"/>
        <v>10.25285714</v>
      </c>
    </row>
    <row r="45" ht="14.25" customHeight="1">
      <c r="A45" s="31">
        <v>9123.0</v>
      </c>
      <c r="B45" s="31" t="s">
        <v>164</v>
      </c>
      <c r="C45" s="31">
        <v>9123.0</v>
      </c>
      <c r="D45" s="31">
        <v>1.0</v>
      </c>
      <c r="E45" s="36" t="str">
        <f t="shared" si="3"/>
        <v>19/01 a20/01</v>
      </c>
      <c r="G45" s="31">
        <v>8571.0</v>
      </c>
      <c r="H45" s="31" t="s">
        <v>148</v>
      </c>
      <c r="I45" s="31">
        <v>8571.0</v>
      </c>
      <c r="J45" s="31">
        <v>1.39</v>
      </c>
      <c r="K45" s="36" t="str">
        <f t="shared" si="4"/>
        <v>20/01 a 21/01</v>
      </c>
      <c r="M45" s="31">
        <v>8789.0</v>
      </c>
      <c r="N45" s="31" t="s">
        <v>156</v>
      </c>
      <c r="O45" s="31">
        <v>8789.0</v>
      </c>
      <c r="P45" s="31">
        <v>0.22</v>
      </c>
      <c r="Q45" s="36" t="str">
        <f t="shared" si="5"/>
        <v>21/01 a 22/01</v>
      </c>
      <c r="S45" s="31">
        <v>8633.0</v>
      </c>
      <c r="T45" s="31" t="s">
        <v>189</v>
      </c>
      <c r="U45" s="31">
        <v>8633.0</v>
      </c>
      <c r="V45" s="31">
        <v>0.77</v>
      </c>
      <c r="W45" s="36" t="str">
        <f t="shared" si="6"/>
        <v>15/01 a16/01</v>
      </c>
      <c r="Y45" s="31">
        <v>8544.0</v>
      </c>
      <c r="Z45" s="31" t="s">
        <v>171</v>
      </c>
      <c r="AA45" s="31">
        <v>8544.0</v>
      </c>
      <c r="AB45" s="31">
        <v>0.92</v>
      </c>
      <c r="AC45" s="36" t="str">
        <f t="shared" si="7"/>
        <v>16/01 a 17/01</v>
      </c>
      <c r="AE45" s="31">
        <v>6960.0</v>
      </c>
      <c r="AF45" s="31" t="s">
        <v>172</v>
      </c>
      <c r="AG45" s="31">
        <v>6960.0</v>
      </c>
      <c r="AH45" s="31">
        <v>0.39</v>
      </c>
      <c r="AI45" s="36" t="str">
        <f t="shared" si="8"/>
        <v>17/01 a 18/01</v>
      </c>
      <c r="AK45" s="31">
        <v>2079.0</v>
      </c>
      <c r="AL45" s="31" t="s">
        <v>190</v>
      </c>
      <c r="AM45" s="31">
        <v>2079.0</v>
      </c>
      <c r="AN45" s="31">
        <v>0.47</v>
      </c>
      <c r="AO45" s="36" t="str">
        <f t="shared" si="9"/>
        <v>20/10 A 23/10</v>
      </c>
      <c r="AQ45" s="31">
        <v>7474.0</v>
      </c>
      <c r="AR45" s="31" t="s">
        <v>191</v>
      </c>
      <c r="AS45" s="31">
        <v>7474.0</v>
      </c>
      <c r="AT45" s="31">
        <v>1.01</v>
      </c>
      <c r="AU45" s="37">
        <v>70.76</v>
      </c>
      <c r="AV45" s="38">
        <f t="shared" ref="AV45:AW45" si="50">(AT45/7)</f>
        <v>0.1442857143</v>
      </c>
      <c r="AW45" s="38">
        <f t="shared" si="50"/>
        <v>10.10857143</v>
      </c>
    </row>
    <row r="46" ht="14.25" customHeight="1">
      <c r="A46" s="31">
        <v>8839.0</v>
      </c>
      <c r="B46" s="31" t="s">
        <v>192</v>
      </c>
      <c r="C46" s="31">
        <v>8839.0</v>
      </c>
      <c r="D46" s="31">
        <v>2.18</v>
      </c>
      <c r="E46" s="36" t="str">
        <f t="shared" si="3"/>
        <v>19/01 a20/01</v>
      </c>
      <c r="G46" s="31">
        <v>8671.0</v>
      </c>
      <c r="H46" s="31" t="s">
        <v>170</v>
      </c>
      <c r="I46" s="31">
        <v>8671.0</v>
      </c>
      <c r="J46" s="31">
        <v>0.83</v>
      </c>
      <c r="K46" s="36" t="str">
        <f t="shared" si="4"/>
        <v>20/01 a 21/01</v>
      </c>
      <c r="M46" s="31">
        <v>8837.0</v>
      </c>
      <c r="N46" s="31" t="s">
        <v>160</v>
      </c>
      <c r="O46" s="31">
        <v>8837.0</v>
      </c>
      <c r="P46" s="31">
        <v>0.63</v>
      </c>
      <c r="Q46" s="36" t="str">
        <f t="shared" si="5"/>
        <v>21/01 a 22/01</v>
      </c>
      <c r="S46" s="31">
        <v>8671.0</v>
      </c>
      <c r="T46" s="31" t="s">
        <v>170</v>
      </c>
      <c r="U46" s="31">
        <v>8671.0</v>
      </c>
      <c r="V46" s="31">
        <v>4.89</v>
      </c>
      <c r="W46" s="36" t="str">
        <f t="shared" si="6"/>
        <v>15/01 a16/01</v>
      </c>
      <c r="Y46" s="31">
        <v>8551.0</v>
      </c>
      <c r="Z46" s="31" t="s">
        <v>140</v>
      </c>
      <c r="AA46" s="31">
        <v>8551.0</v>
      </c>
      <c r="AB46" s="31">
        <v>0.87</v>
      </c>
      <c r="AC46" s="36" t="str">
        <f t="shared" si="7"/>
        <v>16/01 a 17/01</v>
      </c>
      <c r="AE46" s="31">
        <v>8529.0</v>
      </c>
      <c r="AF46" s="31" t="s">
        <v>180</v>
      </c>
      <c r="AG46" s="31">
        <v>8529.0</v>
      </c>
      <c r="AH46" s="31">
        <v>0.58</v>
      </c>
      <c r="AI46" s="36" t="str">
        <f t="shared" si="8"/>
        <v>17/01 a 18/01</v>
      </c>
      <c r="AK46" s="31">
        <v>2072.0</v>
      </c>
      <c r="AL46" s="31" t="s">
        <v>193</v>
      </c>
      <c r="AM46" s="31">
        <v>2072.0</v>
      </c>
      <c r="AN46" s="31">
        <v>0.37</v>
      </c>
      <c r="AO46" s="36" t="str">
        <f t="shared" si="9"/>
        <v>20/10 A 23/10</v>
      </c>
      <c r="AQ46" s="31">
        <v>7398.0</v>
      </c>
      <c r="AR46" s="31" t="s">
        <v>194</v>
      </c>
      <c r="AS46" s="31">
        <v>7398.0</v>
      </c>
      <c r="AT46" s="31">
        <v>1.75</v>
      </c>
      <c r="AU46" s="37">
        <v>69.74</v>
      </c>
      <c r="AV46" s="38">
        <f t="shared" ref="AV46:AW46" si="51">(AT46/7)</f>
        <v>0.25</v>
      </c>
      <c r="AW46" s="38">
        <f t="shared" si="51"/>
        <v>9.962857143</v>
      </c>
    </row>
    <row r="47" ht="14.25" customHeight="1">
      <c r="A47" s="31">
        <v>8847.0</v>
      </c>
      <c r="B47" s="31" t="s">
        <v>169</v>
      </c>
      <c r="C47" s="31">
        <v>8847.0</v>
      </c>
      <c r="D47" s="31">
        <v>0.65</v>
      </c>
      <c r="E47" s="36" t="str">
        <f t="shared" si="3"/>
        <v>19/01 a20/01</v>
      </c>
      <c r="G47" s="31">
        <v>8963.0</v>
      </c>
      <c r="H47" s="31" t="s">
        <v>151</v>
      </c>
      <c r="I47" s="31">
        <v>8963.0</v>
      </c>
      <c r="J47" s="31">
        <v>13.0</v>
      </c>
      <c r="K47" s="36" t="str">
        <f t="shared" si="4"/>
        <v>20/01 a 21/01</v>
      </c>
      <c r="M47" s="31">
        <v>9123.0</v>
      </c>
      <c r="N47" s="31" t="s">
        <v>164</v>
      </c>
      <c r="O47" s="31">
        <v>9123.0</v>
      </c>
      <c r="P47" s="31">
        <v>6.0</v>
      </c>
      <c r="Q47" s="36" t="str">
        <f t="shared" si="5"/>
        <v>21/01 a 22/01</v>
      </c>
      <c r="S47" s="31">
        <v>8963.0</v>
      </c>
      <c r="T47" s="31" t="s">
        <v>151</v>
      </c>
      <c r="U47" s="31">
        <v>8963.0</v>
      </c>
      <c r="V47" s="31">
        <v>9.0</v>
      </c>
      <c r="W47" s="36" t="str">
        <f t="shared" si="6"/>
        <v>15/01 a16/01</v>
      </c>
      <c r="Y47" s="31">
        <v>6835.0</v>
      </c>
      <c r="Z47" s="31" t="s">
        <v>183</v>
      </c>
      <c r="AA47" s="31">
        <v>6835.0</v>
      </c>
      <c r="AB47" s="31">
        <v>0.21</v>
      </c>
      <c r="AC47" s="36" t="str">
        <f t="shared" si="7"/>
        <v>16/01 a 17/01</v>
      </c>
      <c r="AE47" s="31">
        <v>8532.0</v>
      </c>
      <c r="AF47" s="31" t="s">
        <v>184</v>
      </c>
      <c r="AG47" s="31">
        <v>8532.0</v>
      </c>
      <c r="AH47" s="31">
        <v>2.7</v>
      </c>
      <c r="AI47" s="36" t="str">
        <f t="shared" si="8"/>
        <v>17/01 a 18/01</v>
      </c>
      <c r="AK47" s="31">
        <v>2923.0</v>
      </c>
      <c r="AL47" s="31" t="s">
        <v>195</v>
      </c>
      <c r="AM47" s="31">
        <v>2923.0</v>
      </c>
      <c r="AN47" s="31">
        <v>0.19</v>
      </c>
      <c r="AO47" s="36" t="str">
        <f t="shared" si="9"/>
        <v>20/10 A 23/10</v>
      </c>
      <c r="AQ47" s="31">
        <v>6993.0</v>
      </c>
      <c r="AR47" s="31" t="s">
        <v>196</v>
      </c>
      <c r="AS47" s="31">
        <v>6993.0</v>
      </c>
      <c r="AT47" s="31">
        <v>1.41</v>
      </c>
      <c r="AU47" s="37">
        <v>67.44</v>
      </c>
      <c r="AV47" s="38">
        <f t="shared" ref="AV47:AW47" si="52">(AT47/7)</f>
        <v>0.2014285714</v>
      </c>
      <c r="AW47" s="38">
        <f t="shared" si="52"/>
        <v>9.634285714</v>
      </c>
    </row>
    <row r="48" ht="14.25" customHeight="1">
      <c r="A48" s="31">
        <v>7075.0</v>
      </c>
      <c r="B48" s="31" t="s">
        <v>174</v>
      </c>
      <c r="C48" s="31">
        <v>7075.0</v>
      </c>
      <c r="D48" s="31">
        <v>1.23</v>
      </c>
      <c r="E48" s="36" t="str">
        <f t="shared" si="3"/>
        <v>19/01 a20/01</v>
      </c>
      <c r="G48" s="31">
        <v>8690.0</v>
      </c>
      <c r="H48" s="31" t="s">
        <v>179</v>
      </c>
      <c r="I48" s="31">
        <v>8690.0</v>
      </c>
      <c r="J48" s="31">
        <v>2.37</v>
      </c>
      <c r="K48" s="36" t="str">
        <f t="shared" si="4"/>
        <v>20/01 a 21/01</v>
      </c>
      <c r="M48" s="31">
        <v>8839.0</v>
      </c>
      <c r="N48" s="31" t="s">
        <v>192</v>
      </c>
      <c r="O48" s="31">
        <v>8839.0</v>
      </c>
      <c r="P48" s="31">
        <v>0.54</v>
      </c>
      <c r="Q48" s="36" t="str">
        <f t="shared" si="5"/>
        <v>21/01 a 22/01</v>
      </c>
      <c r="S48" s="31">
        <v>8690.0</v>
      </c>
      <c r="T48" s="31" t="s">
        <v>179</v>
      </c>
      <c r="U48" s="31">
        <v>8690.0</v>
      </c>
      <c r="V48" s="31">
        <v>2.64</v>
      </c>
      <c r="W48" s="36" t="str">
        <f t="shared" si="6"/>
        <v>15/01 a16/01</v>
      </c>
      <c r="Y48" s="31">
        <v>8598.0</v>
      </c>
      <c r="Z48" s="31" t="s">
        <v>165</v>
      </c>
      <c r="AA48" s="31">
        <v>8598.0</v>
      </c>
      <c r="AB48" s="31">
        <v>0.62</v>
      </c>
      <c r="AC48" s="36" t="str">
        <f t="shared" si="7"/>
        <v>16/01 a 17/01</v>
      </c>
      <c r="AE48" s="31">
        <v>8551.0</v>
      </c>
      <c r="AF48" s="31" t="s">
        <v>140</v>
      </c>
      <c r="AG48" s="31">
        <v>8551.0</v>
      </c>
      <c r="AH48" s="31">
        <v>0.62</v>
      </c>
      <c r="AI48" s="36" t="str">
        <f t="shared" si="8"/>
        <v>17/01 a 18/01</v>
      </c>
      <c r="AK48" s="31">
        <v>643.0</v>
      </c>
      <c r="AL48" s="31" t="s">
        <v>197</v>
      </c>
      <c r="AM48" s="31">
        <v>643.0</v>
      </c>
      <c r="AN48" s="31">
        <v>0.33</v>
      </c>
      <c r="AO48" s="36" t="str">
        <f t="shared" si="9"/>
        <v>20/10 A 23/10</v>
      </c>
      <c r="AQ48" s="31">
        <v>7529.0</v>
      </c>
      <c r="AR48" s="31" t="s">
        <v>198</v>
      </c>
      <c r="AS48" s="31">
        <v>7529.0</v>
      </c>
      <c r="AT48" s="31">
        <v>1.33</v>
      </c>
      <c r="AU48" s="37">
        <v>66.14</v>
      </c>
      <c r="AV48" s="38">
        <f t="shared" ref="AV48:AW48" si="53">(AT48/7)</f>
        <v>0.19</v>
      </c>
      <c r="AW48" s="38">
        <f t="shared" si="53"/>
        <v>9.448571429</v>
      </c>
    </row>
    <row r="49" ht="14.25" customHeight="1">
      <c r="E49" s="36" t="str">
        <f t="shared" si="3"/>
        <v>19/01 a20/01</v>
      </c>
      <c r="G49" s="31">
        <v>8695.0</v>
      </c>
      <c r="H49" s="31" t="s">
        <v>153</v>
      </c>
      <c r="I49" s="31">
        <v>8695.0</v>
      </c>
      <c r="J49" s="31">
        <v>2.14</v>
      </c>
      <c r="K49" s="36" t="str">
        <f t="shared" si="4"/>
        <v>20/01 a 21/01</v>
      </c>
      <c r="M49" s="31">
        <v>8847.0</v>
      </c>
      <c r="N49" s="31" t="s">
        <v>169</v>
      </c>
      <c r="O49" s="31">
        <v>8847.0</v>
      </c>
      <c r="P49" s="31">
        <v>0.6</v>
      </c>
      <c r="Q49" s="36" t="str">
        <f t="shared" si="5"/>
        <v>21/01 a 22/01</v>
      </c>
      <c r="S49" s="31">
        <v>8695.0</v>
      </c>
      <c r="T49" s="31" t="s">
        <v>153</v>
      </c>
      <c r="U49" s="31">
        <v>8695.0</v>
      </c>
      <c r="V49" s="31">
        <v>0.25</v>
      </c>
      <c r="W49" s="36" t="str">
        <f t="shared" si="6"/>
        <v>15/01 a16/01</v>
      </c>
      <c r="Y49" s="31">
        <v>8671.0</v>
      </c>
      <c r="Z49" s="31" t="s">
        <v>170</v>
      </c>
      <c r="AA49" s="31">
        <v>8671.0</v>
      </c>
      <c r="AB49" s="31">
        <v>3.85</v>
      </c>
      <c r="AC49" s="36" t="str">
        <f t="shared" si="7"/>
        <v>16/01 a 17/01</v>
      </c>
      <c r="AE49" s="31">
        <v>6835.0</v>
      </c>
      <c r="AF49" s="31" t="s">
        <v>183</v>
      </c>
      <c r="AG49" s="31">
        <v>6835.0</v>
      </c>
      <c r="AH49" s="31">
        <v>0.21</v>
      </c>
      <c r="AI49" s="36" t="str">
        <f t="shared" si="8"/>
        <v>17/01 a 18/01</v>
      </c>
      <c r="AK49" s="31">
        <v>6231.0</v>
      </c>
      <c r="AL49" s="31" t="s">
        <v>199</v>
      </c>
      <c r="AM49" s="31">
        <v>6231.0</v>
      </c>
      <c r="AN49" s="31">
        <v>0.27</v>
      </c>
      <c r="AO49" s="36" t="str">
        <f t="shared" si="9"/>
        <v>20/10 A 23/10</v>
      </c>
      <c r="AQ49" s="31">
        <v>7348.0</v>
      </c>
      <c r="AR49" s="31" t="s">
        <v>200</v>
      </c>
      <c r="AS49" s="31">
        <v>7348.0</v>
      </c>
      <c r="AT49" s="31">
        <v>1.09</v>
      </c>
      <c r="AU49" s="37">
        <v>65.06</v>
      </c>
      <c r="AV49" s="38">
        <f t="shared" ref="AV49:AW49" si="54">(AT49/7)</f>
        <v>0.1557142857</v>
      </c>
      <c r="AW49" s="38">
        <f t="shared" si="54"/>
        <v>9.294285714</v>
      </c>
    </row>
    <row r="50" ht="14.25" customHeight="1">
      <c r="E50" s="36" t="str">
        <f t="shared" si="3"/>
        <v>19/01 a20/01</v>
      </c>
      <c r="G50" s="31">
        <v>8702.0</v>
      </c>
      <c r="H50" s="31" t="s">
        <v>201</v>
      </c>
      <c r="I50" s="31">
        <v>8702.0</v>
      </c>
      <c r="J50" s="31">
        <v>0.22</v>
      </c>
      <c r="K50" s="36" t="str">
        <f t="shared" si="4"/>
        <v>20/01 a 21/01</v>
      </c>
      <c r="M50" s="31">
        <v>8874.0</v>
      </c>
      <c r="N50" s="31" t="s">
        <v>202</v>
      </c>
      <c r="O50" s="31">
        <v>8874.0</v>
      </c>
      <c r="P50" s="31">
        <v>1.0</v>
      </c>
      <c r="Q50" s="36" t="str">
        <f t="shared" si="5"/>
        <v>21/01 a 22/01</v>
      </c>
      <c r="S50" s="31">
        <v>8834.0</v>
      </c>
      <c r="T50" s="31" t="s">
        <v>203</v>
      </c>
      <c r="U50" s="31">
        <v>8834.0</v>
      </c>
      <c r="V50" s="31">
        <v>0.84</v>
      </c>
      <c r="W50" s="36" t="str">
        <f t="shared" si="6"/>
        <v>15/01 a16/01</v>
      </c>
      <c r="Y50" s="31">
        <v>8963.0</v>
      </c>
      <c r="Z50" s="31" t="s">
        <v>151</v>
      </c>
      <c r="AA50" s="31">
        <v>8963.0</v>
      </c>
      <c r="AB50" s="31">
        <v>16.0</v>
      </c>
      <c r="AC50" s="36" t="str">
        <f t="shared" si="7"/>
        <v>16/01 a 17/01</v>
      </c>
      <c r="AE50" s="31">
        <v>8598.0</v>
      </c>
      <c r="AF50" s="31" t="s">
        <v>165</v>
      </c>
      <c r="AG50" s="31">
        <v>8598.0</v>
      </c>
      <c r="AH50" s="31">
        <v>1.07</v>
      </c>
      <c r="AI50" s="36" t="str">
        <f t="shared" si="8"/>
        <v>17/01 a 18/01</v>
      </c>
      <c r="AK50" s="31">
        <v>235.0</v>
      </c>
      <c r="AL50" s="31" t="s">
        <v>204</v>
      </c>
      <c r="AM50" s="31">
        <v>235.0</v>
      </c>
      <c r="AN50" s="31">
        <v>0.28</v>
      </c>
      <c r="AO50" s="36" t="str">
        <f t="shared" si="9"/>
        <v>20/10 A 23/10</v>
      </c>
      <c r="AQ50" s="31">
        <v>7120.0</v>
      </c>
      <c r="AR50" s="31" t="s">
        <v>45</v>
      </c>
      <c r="AS50" s="31">
        <v>7120.0</v>
      </c>
      <c r="AT50" s="31">
        <v>1.59</v>
      </c>
      <c r="AU50" s="37">
        <v>63.45</v>
      </c>
      <c r="AV50" s="38">
        <f t="shared" ref="AV50:AW50" si="55">(AT50/7)</f>
        <v>0.2271428571</v>
      </c>
      <c r="AW50" s="38">
        <f t="shared" si="55"/>
        <v>9.064285714</v>
      </c>
    </row>
    <row r="51" ht="14.25" customHeight="1">
      <c r="E51" s="36" t="str">
        <f t="shared" si="3"/>
        <v>19/01 a20/01</v>
      </c>
      <c r="G51" s="31">
        <v>9391.0</v>
      </c>
      <c r="H51" s="31" t="s">
        <v>186</v>
      </c>
      <c r="I51" s="31">
        <v>9391.0</v>
      </c>
      <c r="J51" s="31">
        <v>6.0</v>
      </c>
      <c r="K51" s="36" t="str">
        <f t="shared" si="4"/>
        <v>20/01 a 21/01</v>
      </c>
      <c r="M51" s="31">
        <v>7065.0</v>
      </c>
      <c r="N51" s="31" t="s">
        <v>205</v>
      </c>
      <c r="O51" s="31">
        <v>7065.0</v>
      </c>
      <c r="P51" s="31">
        <v>5.9</v>
      </c>
      <c r="Q51" s="36" t="str">
        <f t="shared" si="5"/>
        <v>21/01 a 22/01</v>
      </c>
      <c r="S51" s="31">
        <v>8837.0</v>
      </c>
      <c r="T51" s="31" t="s">
        <v>160</v>
      </c>
      <c r="U51" s="31">
        <v>8837.0</v>
      </c>
      <c r="V51" s="31">
        <v>0.35</v>
      </c>
      <c r="W51" s="36" t="str">
        <f t="shared" si="6"/>
        <v>15/01 a16/01</v>
      </c>
      <c r="Y51" s="31">
        <v>8690.0</v>
      </c>
      <c r="Z51" s="31" t="s">
        <v>179</v>
      </c>
      <c r="AA51" s="31">
        <v>8690.0</v>
      </c>
      <c r="AB51" s="31">
        <v>1.92</v>
      </c>
      <c r="AC51" s="36" t="str">
        <f t="shared" si="7"/>
        <v>16/01 a 17/01</v>
      </c>
      <c r="AE51" s="31">
        <v>8671.0</v>
      </c>
      <c r="AF51" s="31" t="s">
        <v>170</v>
      </c>
      <c r="AG51" s="31">
        <v>8671.0</v>
      </c>
      <c r="AH51" s="31">
        <v>0.71</v>
      </c>
      <c r="AI51" s="36" t="str">
        <f t="shared" si="8"/>
        <v>17/01 a 18/01</v>
      </c>
      <c r="AK51" s="31">
        <v>164.0</v>
      </c>
      <c r="AL51" s="31" t="s">
        <v>206</v>
      </c>
      <c r="AM51" s="31">
        <v>164.0</v>
      </c>
      <c r="AN51" s="31">
        <v>0.29</v>
      </c>
      <c r="AO51" s="36" t="str">
        <f t="shared" si="9"/>
        <v>20/10 A 23/10</v>
      </c>
      <c r="AQ51" s="31">
        <v>7200.0</v>
      </c>
      <c r="AR51" s="31" t="s">
        <v>65</v>
      </c>
      <c r="AS51" s="31">
        <v>7200.0</v>
      </c>
      <c r="AT51" s="31">
        <v>1.23</v>
      </c>
      <c r="AU51" s="37">
        <v>61.58</v>
      </c>
      <c r="AV51" s="38">
        <f t="shared" ref="AV51:AW51" si="56">(AT51/7)</f>
        <v>0.1757142857</v>
      </c>
      <c r="AW51" s="38">
        <f t="shared" si="56"/>
        <v>8.797142857</v>
      </c>
    </row>
    <row r="52" ht="14.25" customHeight="1">
      <c r="E52" s="36" t="str">
        <f t="shared" si="3"/>
        <v>19/01 a20/01</v>
      </c>
      <c r="G52" s="31">
        <v>8789.0</v>
      </c>
      <c r="H52" s="31" t="s">
        <v>156</v>
      </c>
      <c r="I52" s="31">
        <v>8789.0</v>
      </c>
      <c r="J52" s="31">
        <v>1.3</v>
      </c>
      <c r="K52" s="36" t="str">
        <f t="shared" si="4"/>
        <v>20/01 a 21/01</v>
      </c>
      <c r="M52" s="31">
        <v>7075.0</v>
      </c>
      <c r="N52" s="31" t="s">
        <v>174</v>
      </c>
      <c r="O52" s="31">
        <v>7075.0</v>
      </c>
      <c r="P52" s="31">
        <v>7.41</v>
      </c>
      <c r="Q52" s="36" t="str">
        <f t="shared" si="5"/>
        <v>21/01 a 22/01</v>
      </c>
      <c r="S52" s="31">
        <v>9123.0</v>
      </c>
      <c r="T52" s="31" t="s">
        <v>164</v>
      </c>
      <c r="U52" s="31">
        <v>9123.0</v>
      </c>
      <c r="V52" s="31">
        <v>10.0</v>
      </c>
      <c r="W52" s="36" t="str">
        <f t="shared" si="6"/>
        <v>15/01 a16/01</v>
      </c>
      <c r="Y52" s="31">
        <v>8702.0</v>
      </c>
      <c r="Z52" s="31" t="s">
        <v>201</v>
      </c>
      <c r="AA52" s="31">
        <v>8702.0</v>
      </c>
      <c r="AB52" s="31">
        <v>0.32</v>
      </c>
      <c r="AC52" s="36" t="str">
        <f t="shared" si="7"/>
        <v>16/01 a 17/01</v>
      </c>
      <c r="AE52" s="31">
        <v>8963.0</v>
      </c>
      <c r="AF52" s="31" t="s">
        <v>151</v>
      </c>
      <c r="AG52" s="31">
        <v>8963.0</v>
      </c>
      <c r="AH52" s="31">
        <v>11.0</v>
      </c>
      <c r="AI52" s="36" t="str">
        <f t="shared" si="8"/>
        <v>17/01 a 18/01</v>
      </c>
      <c r="AK52" s="31">
        <v>6228.0</v>
      </c>
      <c r="AL52" s="31" t="s">
        <v>207</v>
      </c>
      <c r="AM52" s="31">
        <v>6228.0</v>
      </c>
      <c r="AN52" s="31">
        <v>0.69</v>
      </c>
      <c r="AO52" s="36" t="str">
        <f t="shared" si="9"/>
        <v>20/10 A 23/10</v>
      </c>
      <c r="AQ52" s="31">
        <v>7488.0</v>
      </c>
      <c r="AR52" s="31" t="s">
        <v>208</v>
      </c>
      <c r="AS52" s="31">
        <v>7488.0</v>
      </c>
      <c r="AT52" s="31">
        <v>2.0</v>
      </c>
      <c r="AU52" s="37">
        <v>57.8</v>
      </c>
      <c r="AV52" s="38">
        <f t="shared" ref="AV52:AW52" si="57">(AT52/7)</f>
        <v>0.2857142857</v>
      </c>
      <c r="AW52" s="38">
        <f t="shared" si="57"/>
        <v>8.257142857</v>
      </c>
    </row>
    <row r="53" ht="14.25" customHeight="1">
      <c r="E53" s="36" t="str">
        <f t="shared" si="3"/>
        <v>19/01 a20/01</v>
      </c>
      <c r="G53" s="31">
        <v>8837.0</v>
      </c>
      <c r="H53" s="31" t="s">
        <v>160</v>
      </c>
      <c r="I53" s="31">
        <v>8837.0</v>
      </c>
      <c r="J53" s="31">
        <v>1.77</v>
      </c>
      <c r="K53" s="36" t="str">
        <f t="shared" si="4"/>
        <v>20/01 a 21/01</v>
      </c>
      <c r="Q53" s="36"/>
      <c r="S53" s="31">
        <v>8847.0</v>
      </c>
      <c r="T53" s="31" t="s">
        <v>169</v>
      </c>
      <c r="U53" s="31">
        <v>8847.0</v>
      </c>
      <c r="V53" s="31">
        <v>0.72</v>
      </c>
      <c r="W53" s="36" t="str">
        <f t="shared" si="6"/>
        <v>15/01 a16/01</v>
      </c>
      <c r="Y53" s="31">
        <v>9391.0</v>
      </c>
      <c r="Z53" s="31" t="s">
        <v>186</v>
      </c>
      <c r="AA53" s="31">
        <v>9391.0</v>
      </c>
      <c r="AB53" s="31">
        <v>3.0</v>
      </c>
      <c r="AC53" s="36" t="str">
        <f t="shared" si="7"/>
        <v>16/01 a 17/01</v>
      </c>
      <c r="AE53" s="31">
        <v>8690.0</v>
      </c>
      <c r="AF53" s="31" t="s">
        <v>179</v>
      </c>
      <c r="AG53" s="31">
        <v>8690.0</v>
      </c>
      <c r="AH53" s="31">
        <v>0.8</v>
      </c>
      <c r="AI53" s="36" t="str">
        <f t="shared" si="8"/>
        <v>17/01 a 18/01</v>
      </c>
      <c r="AK53" s="31">
        <v>511.0</v>
      </c>
      <c r="AL53" s="31" t="s">
        <v>209</v>
      </c>
      <c r="AM53" s="31">
        <v>511.0</v>
      </c>
      <c r="AN53" s="31">
        <v>0.14</v>
      </c>
      <c r="AO53" s="36" t="str">
        <f t="shared" si="9"/>
        <v>20/10 A 23/10</v>
      </c>
      <c r="AQ53" s="31">
        <v>6954.0</v>
      </c>
      <c r="AR53" s="31" t="s">
        <v>210</v>
      </c>
      <c r="AS53" s="31">
        <v>6954.0</v>
      </c>
      <c r="AT53" s="31">
        <v>1.19</v>
      </c>
      <c r="AU53" s="37">
        <v>55.73</v>
      </c>
      <c r="AV53" s="38">
        <f t="shared" ref="AV53:AW53" si="58">(AT53/7)</f>
        <v>0.17</v>
      </c>
      <c r="AW53" s="38">
        <f t="shared" si="58"/>
        <v>7.961428571</v>
      </c>
    </row>
    <row r="54" ht="14.25" customHeight="1">
      <c r="E54" s="36" t="str">
        <f t="shared" si="3"/>
        <v>19/01 a20/01</v>
      </c>
      <c r="G54" s="31">
        <v>9123.0</v>
      </c>
      <c r="H54" s="31" t="s">
        <v>164</v>
      </c>
      <c r="I54" s="31">
        <v>9123.0</v>
      </c>
      <c r="J54" s="31">
        <v>5.0</v>
      </c>
      <c r="K54" s="36" t="str">
        <f t="shared" si="4"/>
        <v>20/01 a 21/01</v>
      </c>
      <c r="P54" s="31">
        <v>114.803</v>
      </c>
      <c r="Q54" s="36"/>
      <c r="S54" s="31">
        <v>8862.0</v>
      </c>
      <c r="T54" s="31" t="s">
        <v>211</v>
      </c>
      <c r="U54" s="31">
        <v>8862.0</v>
      </c>
      <c r="V54" s="31">
        <v>0.19</v>
      </c>
      <c r="W54" s="36" t="str">
        <f t="shared" si="6"/>
        <v>15/01 a16/01</v>
      </c>
      <c r="Y54" s="31">
        <v>8834.0</v>
      </c>
      <c r="Z54" s="31" t="s">
        <v>203</v>
      </c>
      <c r="AA54" s="31">
        <v>8834.0</v>
      </c>
      <c r="AB54" s="31">
        <v>1.39</v>
      </c>
      <c r="AC54" s="36" t="str">
        <f t="shared" si="7"/>
        <v>16/01 a 17/01</v>
      </c>
      <c r="AE54" s="31">
        <v>8702.0</v>
      </c>
      <c r="AF54" s="31" t="s">
        <v>201</v>
      </c>
      <c r="AG54" s="31">
        <v>8702.0</v>
      </c>
      <c r="AH54" s="31">
        <v>0.43</v>
      </c>
      <c r="AI54" s="36" t="str">
        <f t="shared" si="8"/>
        <v>17/01 a 18/01</v>
      </c>
      <c r="AK54" s="31">
        <v>511.0</v>
      </c>
      <c r="AL54" s="31" t="s">
        <v>209</v>
      </c>
      <c r="AM54" s="31">
        <v>511.0</v>
      </c>
      <c r="AN54" s="31">
        <v>0.15</v>
      </c>
      <c r="AO54" s="36" t="str">
        <f t="shared" si="9"/>
        <v>20/10 A 23/10</v>
      </c>
      <c r="AQ54" s="31">
        <v>7265.0</v>
      </c>
      <c r="AR54" s="31" t="s">
        <v>212</v>
      </c>
      <c r="AS54" s="31">
        <v>7265.0</v>
      </c>
      <c r="AT54" s="31">
        <v>0.69</v>
      </c>
      <c r="AU54" s="37">
        <v>51.53</v>
      </c>
      <c r="AV54" s="38">
        <f t="shared" ref="AV54:AW54" si="59">(AT54/7)</f>
        <v>0.09857142857</v>
      </c>
      <c r="AW54" s="38">
        <f t="shared" si="59"/>
        <v>7.361428571</v>
      </c>
    </row>
    <row r="55" ht="14.25" customHeight="1">
      <c r="E55" s="36" t="str">
        <f t="shared" si="3"/>
        <v>19/01 a20/01</v>
      </c>
      <c r="G55" s="31">
        <v>8839.0</v>
      </c>
      <c r="H55" s="31" t="s">
        <v>192</v>
      </c>
      <c r="I55" s="31">
        <v>8839.0</v>
      </c>
      <c r="J55" s="31">
        <v>0.83</v>
      </c>
      <c r="K55" s="36" t="str">
        <f t="shared" si="4"/>
        <v>20/01 a 21/01</v>
      </c>
      <c r="Q55" s="36"/>
      <c r="S55" s="31">
        <v>8874.0</v>
      </c>
      <c r="T55" s="31" t="s">
        <v>202</v>
      </c>
      <c r="U55" s="31">
        <v>8874.0</v>
      </c>
      <c r="V55" s="31">
        <v>1.38</v>
      </c>
      <c r="W55" s="36" t="str">
        <f t="shared" si="6"/>
        <v>15/01 a16/01</v>
      </c>
      <c r="Y55" s="31">
        <v>9123.0</v>
      </c>
      <c r="Z55" s="31" t="s">
        <v>164</v>
      </c>
      <c r="AA55" s="31">
        <v>9123.0</v>
      </c>
      <c r="AB55" s="31">
        <v>9.0</v>
      </c>
      <c r="AC55" s="36" t="str">
        <f t="shared" si="7"/>
        <v>16/01 a 17/01</v>
      </c>
      <c r="AE55" s="31">
        <v>9391.0</v>
      </c>
      <c r="AF55" s="31" t="s">
        <v>186</v>
      </c>
      <c r="AG55" s="31">
        <v>9391.0</v>
      </c>
      <c r="AH55" s="31">
        <v>4.0</v>
      </c>
      <c r="AI55" s="36" t="str">
        <f t="shared" si="8"/>
        <v>17/01 a 18/01</v>
      </c>
      <c r="AK55" s="31">
        <v>7327.0</v>
      </c>
      <c r="AL55" s="31" t="s">
        <v>213</v>
      </c>
      <c r="AM55" s="31">
        <v>7327.0</v>
      </c>
      <c r="AN55" s="31">
        <v>0.22</v>
      </c>
      <c r="AO55" s="36" t="str">
        <f t="shared" si="9"/>
        <v>20/10 A 23/10</v>
      </c>
      <c r="AQ55" s="31">
        <v>6950.0</v>
      </c>
      <c r="AR55" s="31" t="s">
        <v>214</v>
      </c>
      <c r="AS55" s="31">
        <v>6950.0</v>
      </c>
      <c r="AT55" s="31">
        <v>1.02</v>
      </c>
      <c r="AU55" s="37">
        <v>50.7</v>
      </c>
      <c r="AV55" s="38">
        <f t="shared" ref="AV55:AW55" si="60">(AT55/7)</f>
        <v>0.1457142857</v>
      </c>
      <c r="AW55" s="38">
        <f t="shared" si="60"/>
        <v>7.242857143</v>
      </c>
    </row>
    <row r="56" ht="14.25" customHeight="1">
      <c r="E56" s="36" t="str">
        <f t="shared" si="3"/>
        <v>19/01 a20/01</v>
      </c>
      <c r="G56" s="31">
        <v>8847.0</v>
      </c>
      <c r="H56" s="31" t="s">
        <v>169</v>
      </c>
      <c r="I56" s="31">
        <v>8847.0</v>
      </c>
      <c r="J56" s="31">
        <v>1.26</v>
      </c>
      <c r="K56" s="36" t="str">
        <f t="shared" si="4"/>
        <v>20/01 a 21/01</v>
      </c>
      <c r="Q56" s="36"/>
      <c r="S56" s="31">
        <v>7075.0</v>
      </c>
      <c r="T56" s="31" t="s">
        <v>174</v>
      </c>
      <c r="U56" s="31">
        <v>7075.0</v>
      </c>
      <c r="V56" s="31">
        <v>0.4</v>
      </c>
      <c r="W56" s="36" t="str">
        <f t="shared" si="6"/>
        <v>15/01 a16/01</v>
      </c>
      <c r="Y56" s="31">
        <v>8839.0</v>
      </c>
      <c r="Z56" s="31" t="s">
        <v>192</v>
      </c>
      <c r="AA56" s="31">
        <v>8839.0</v>
      </c>
      <c r="AB56" s="31">
        <v>0.26</v>
      </c>
      <c r="AC56" s="36" t="str">
        <f t="shared" si="7"/>
        <v>16/01 a 17/01</v>
      </c>
      <c r="AE56" s="31">
        <v>8834.0</v>
      </c>
      <c r="AF56" s="31" t="s">
        <v>203</v>
      </c>
      <c r="AG56" s="31">
        <v>8834.0</v>
      </c>
      <c r="AH56" s="31">
        <v>0.56</v>
      </c>
      <c r="AI56" s="36" t="str">
        <f t="shared" si="8"/>
        <v>17/01 a 18/01</v>
      </c>
      <c r="AK56" s="31">
        <v>7327.0</v>
      </c>
      <c r="AL56" s="31" t="s">
        <v>213</v>
      </c>
      <c r="AM56" s="31">
        <v>7327.0</v>
      </c>
      <c r="AN56" s="31">
        <v>0.34</v>
      </c>
      <c r="AO56" s="36" t="str">
        <f t="shared" si="9"/>
        <v>20/10 A 23/10</v>
      </c>
      <c r="AQ56" s="31">
        <v>7195.0</v>
      </c>
      <c r="AR56" s="31" t="s">
        <v>215</v>
      </c>
      <c r="AS56" s="31">
        <v>7195.0</v>
      </c>
      <c r="AT56" s="31">
        <v>1.27</v>
      </c>
      <c r="AU56" s="37">
        <v>50.61</v>
      </c>
      <c r="AV56" s="38">
        <f t="shared" ref="AV56:AW56" si="61">(AT56/7)</f>
        <v>0.1814285714</v>
      </c>
      <c r="AW56" s="38">
        <f t="shared" si="61"/>
        <v>7.23</v>
      </c>
    </row>
    <row r="57" ht="14.25" customHeight="1">
      <c r="E57" s="36" t="str">
        <f t="shared" si="3"/>
        <v>19/01 a20/01</v>
      </c>
      <c r="G57" s="31">
        <v>8874.0</v>
      </c>
      <c r="H57" s="31" t="s">
        <v>202</v>
      </c>
      <c r="I57" s="31">
        <v>8874.0</v>
      </c>
      <c r="J57" s="31">
        <v>1.24</v>
      </c>
      <c r="K57" s="36" t="str">
        <f t="shared" si="4"/>
        <v>20/01 a 21/01</v>
      </c>
      <c r="Q57" s="36"/>
      <c r="W57" s="36"/>
      <c r="Y57" s="31">
        <v>8862.0</v>
      </c>
      <c r="Z57" s="31" t="s">
        <v>211</v>
      </c>
      <c r="AA57" s="31">
        <v>8862.0</v>
      </c>
      <c r="AB57" s="31">
        <v>0.57</v>
      </c>
      <c r="AC57" s="36" t="str">
        <f t="shared" si="7"/>
        <v>16/01 a 17/01</v>
      </c>
      <c r="AE57" s="31">
        <v>9123.0</v>
      </c>
      <c r="AF57" s="31" t="s">
        <v>164</v>
      </c>
      <c r="AG57" s="31">
        <v>9123.0</v>
      </c>
      <c r="AH57" s="31">
        <v>2.0</v>
      </c>
      <c r="AI57" s="36" t="str">
        <f t="shared" si="8"/>
        <v>17/01 a 18/01</v>
      </c>
      <c r="AK57" s="31">
        <v>4052.0</v>
      </c>
      <c r="AL57" s="31" t="s">
        <v>216</v>
      </c>
      <c r="AM57" s="31">
        <v>4052.0</v>
      </c>
      <c r="AN57" s="31">
        <v>0.5</v>
      </c>
      <c r="AO57" s="36" t="str">
        <f t="shared" si="9"/>
        <v>20/10 A 23/10</v>
      </c>
      <c r="AQ57" s="31">
        <v>7473.0</v>
      </c>
      <c r="AR57" s="31" t="s">
        <v>217</v>
      </c>
      <c r="AS57" s="31">
        <v>7473.0</v>
      </c>
      <c r="AT57" s="31">
        <v>1.34</v>
      </c>
      <c r="AU57" s="37">
        <v>48.12</v>
      </c>
      <c r="AV57" s="38">
        <f t="shared" ref="AV57:AW57" si="62">(AT57/7)</f>
        <v>0.1914285714</v>
      </c>
      <c r="AW57" s="38">
        <f t="shared" si="62"/>
        <v>6.874285714</v>
      </c>
    </row>
    <row r="58" ht="14.25" customHeight="1">
      <c r="E58" s="36" t="str">
        <f t="shared" si="3"/>
        <v>19/01 a20/01</v>
      </c>
      <c r="G58" s="31">
        <v>7065.0</v>
      </c>
      <c r="H58" s="31" t="s">
        <v>205</v>
      </c>
      <c r="I58" s="31">
        <v>7065.0</v>
      </c>
      <c r="J58" s="31">
        <v>0.94</v>
      </c>
      <c r="K58" s="36" t="str">
        <f t="shared" si="4"/>
        <v>20/01 a 21/01</v>
      </c>
      <c r="Q58" s="36"/>
      <c r="W58" s="36"/>
      <c r="Y58" s="31">
        <v>8874.0</v>
      </c>
      <c r="Z58" s="31" t="s">
        <v>202</v>
      </c>
      <c r="AA58" s="31">
        <v>8874.0</v>
      </c>
      <c r="AB58" s="31">
        <v>1.6</v>
      </c>
      <c r="AC58" s="36" t="str">
        <f t="shared" si="7"/>
        <v>16/01 a 17/01</v>
      </c>
      <c r="AE58" s="31">
        <v>8839.0</v>
      </c>
      <c r="AF58" s="31" t="s">
        <v>192</v>
      </c>
      <c r="AG58" s="31">
        <v>8839.0</v>
      </c>
      <c r="AH58" s="31">
        <v>0.26</v>
      </c>
      <c r="AI58" s="36" t="str">
        <f t="shared" si="8"/>
        <v>17/01 a 18/01</v>
      </c>
      <c r="AK58" s="31">
        <v>93445.0</v>
      </c>
      <c r="AL58" s="31" t="s">
        <v>218</v>
      </c>
      <c r="AM58" s="31">
        <v>93445.0</v>
      </c>
      <c r="AN58" s="31">
        <v>0.38</v>
      </c>
      <c r="AO58" s="36" t="str">
        <f t="shared" si="9"/>
        <v>20/10 A 23/10</v>
      </c>
      <c r="AQ58" s="31">
        <v>7496.0</v>
      </c>
      <c r="AR58" s="31" t="s">
        <v>219</v>
      </c>
      <c r="AS58" s="31">
        <v>7496.0</v>
      </c>
      <c r="AT58" s="31">
        <v>0.97</v>
      </c>
      <c r="AU58" s="37">
        <v>46.28</v>
      </c>
      <c r="AV58" s="38">
        <f t="shared" ref="AV58:AW58" si="63">(AT58/7)</f>
        <v>0.1385714286</v>
      </c>
      <c r="AW58" s="38">
        <f t="shared" si="63"/>
        <v>6.611428571</v>
      </c>
    </row>
    <row r="59" ht="14.25" customHeight="1">
      <c r="E59" s="36" t="str">
        <f t="shared" si="3"/>
        <v>19/01 a20/01</v>
      </c>
      <c r="G59" s="31">
        <v>7075.0</v>
      </c>
      <c r="H59" s="31" t="s">
        <v>174</v>
      </c>
      <c r="I59" s="31">
        <v>7075.0</v>
      </c>
      <c r="J59" s="31">
        <v>4.86</v>
      </c>
      <c r="K59" s="36" t="str">
        <f t="shared" si="4"/>
        <v>20/01 a 21/01</v>
      </c>
      <c r="Q59" s="36"/>
      <c r="W59" s="36"/>
      <c r="Y59" s="31">
        <v>8900.0</v>
      </c>
      <c r="Z59" s="31" t="s">
        <v>220</v>
      </c>
      <c r="AA59" s="31">
        <v>8900.0</v>
      </c>
      <c r="AB59" s="31">
        <v>3.28</v>
      </c>
      <c r="AC59" s="36" t="str">
        <f t="shared" si="7"/>
        <v>16/01 a 17/01</v>
      </c>
      <c r="AE59" s="31">
        <v>8862.0</v>
      </c>
      <c r="AF59" s="31" t="s">
        <v>211</v>
      </c>
      <c r="AG59" s="31">
        <v>8862.0</v>
      </c>
      <c r="AH59" s="31">
        <v>0.39</v>
      </c>
      <c r="AI59" s="36" t="str">
        <f t="shared" si="8"/>
        <v>17/01 a 18/01</v>
      </c>
      <c r="AK59" s="31">
        <v>7398.0</v>
      </c>
      <c r="AL59" s="31" t="s">
        <v>194</v>
      </c>
      <c r="AM59" s="31">
        <v>7398.0</v>
      </c>
      <c r="AN59" s="31">
        <v>1.34</v>
      </c>
      <c r="AO59" s="36" t="str">
        <f t="shared" si="9"/>
        <v>20/10 A 23/10</v>
      </c>
      <c r="AQ59" s="31">
        <v>7479.0</v>
      </c>
      <c r="AR59" s="31" t="s">
        <v>221</v>
      </c>
      <c r="AS59" s="31">
        <v>7479.0</v>
      </c>
      <c r="AT59" s="31">
        <v>1.3</v>
      </c>
      <c r="AU59" s="37">
        <v>45.31</v>
      </c>
      <c r="AV59" s="38">
        <f t="shared" ref="AV59:AW59" si="64">(AT59/7)</f>
        <v>0.1857142857</v>
      </c>
      <c r="AW59" s="38">
        <f t="shared" si="64"/>
        <v>6.472857143</v>
      </c>
    </row>
    <row r="60" ht="14.25" customHeight="1">
      <c r="E60" s="36" t="str">
        <f t="shared" si="3"/>
        <v>19/01 a20/01</v>
      </c>
      <c r="K60" s="36" t="str">
        <f t="shared" si="4"/>
        <v>20/01 a 21/01</v>
      </c>
      <c r="Q60" s="36"/>
      <c r="W60" s="36"/>
      <c r="Y60" s="31">
        <v>7075.0</v>
      </c>
      <c r="Z60" s="31" t="s">
        <v>174</v>
      </c>
      <c r="AA60" s="31">
        <v>7075.0</v>
      </c>
      <c r="AB60" s="31">
        <v>0.21</v>
      </c>
      <c r="AC60" s="36" t="str">
        <f t="shared" si="7"/>
        <v>16/01 a 17/01</v>
      </c>
      <c r="AE60" s="31">
        <v>8523.0</v>
      </c>
      <c r="AF60" s="31" t="s">
        <v>222</v>
      </c>
      <c r="AG60" s="31">
        <v>8523.0</v>
      </c>
      <c r="AH60" s="31">
        <v>2.69</v>
      </c>
      <c r="AI60" s="36" t="str">
        <f t="shared" si="8"/>
        <v>17/01 a 18/01</v>
      </c>
      <c r="AK60" s="31">
        <v>7421.0</v>
      </c>
      <c r="AL60" s="31" t="s">
        <v>223</v>
      </c>
      <c r="AM60" s="31">
        <v>7421.0</v>
      </c>
      <c r="AN60" s="31">
        <v>1.6</v>
      </c>
      <c r="AO60" s="36" t="str">
        <f t="shared" si="9"/>
        <v>20/10 A 23/10</v>
      </c>
      <c r="AQ60" s="31">
        <v>7549.0</v>
      </c>
      <c r="AR60" s="31" t="s">
        <v>224</v>
      </c>
      <c r="AS60" s="31">
        <v>7549.0</v>
      </c>
      <c r="AT60" s="31">
        <v>0.66</v>
      </c>
      <c r="AU60" s="37">
        <v>44.94</v>
      </c>
      <c r="AV60" s="38">
        <f t="shared" ref="AV60:AW60" si="65">(AT60/7)</f>
        <v>0.09428571429</v>
      </c>
      <c r="AW60" s="38">
        <f t="shared" si="65"/>
        <v>6.42</v>
      </c>
    </row>
    <row r="61" ht="14.25" customHeight="1">
      <c r="E61" s="36" t="str">
        <f t="shared" si="3"/>
        <v>19/01 a20/01</v>
      </c>
      <c r="J61" s="31">
        <v>153.344</v>
      </c>
      <c r="K61" s="36" t="str">
        <f t="shared" si="4"/>
        <v>20/01 a 21/01</v>
      </c>
      <c r="Q61" s="36"/>
      <c r="W61" s="36"/>
      <c r="AC61" s="36" t="str">
        <f t="shared" si="7"/>
        <v>16/01 a 17/01</v>
      </c>
      <c r="AE61" s="31">
        <v>8874.0</v>
      </c>
      <c r="AF61" s="31" t="s">
        <v>202</v>
      </c>
      <c r="AG61" s="31">
        <v>8874.0</v>
      </c>
      <c r="AH61" s="31">
        <v>0.22</v>
      </c>
      <c r="AI61" s="36" t="str">
        <f t="shared" si="8"/>
        <v>17/01 a 18/01</v>
      </c>
      <c r="AK61" s="31">
        <v>7435.0</v>
      </c>
      <c r="AL61" s="31" t="s">
        <v>225</v>
      </c>
      <c r="AM61" s="31">
        <v>7435.0</v>
      </c>
      <c r="AN61" s="31">
        <v>0.56</v>
      </c>
      <c r="AO61" s="36" t="str">
        <f t="shared" si="9"/>
        <v>20/10 A 23/10</v>
      </c>
      <c r="AQ61" s="31">
        <v>7504.0</v>
      </c>
      <c r="AR61" s="31" t="s">
        <v>226</v>
      </c>
      <c r="AS61" s="31">
        <v>7504.0</v>
      </c>
      <c r="AT61" s="31">
        <v>0.95</v>
      </c>
      <c r="AU61" s="37">
        <v>44.74</v>
      </c>
      <c r="AV61" s="38">
        <f t="shared" ref="AV61:AW61" si="66">(AT61/7)</f>
        <v>0.1357142857</v>
      </c>
      <c r="AW61" s="38">
        <f t="shared" si="66"/>
        <v>6.391428571</v>
      </c>
    </row>
    <row r="62" ht="14.25" customHeight="1">
      <c r="E62" s="36" t="str">
        <f t="shared" si="3"/>
        <v>19/01 a20/01</v>
      </c>
      <c r="K62" s="36" t="str">
        <f t="shared" si="4"/>
        <v>20/01 a 21/01</v>
      </c>
      <c r="Q62" s="36"/>
      <c r="W62" s="36"/>
      <c r="AC62" s="36" t="str">
        <f t="shared" si="7"/>
        <v>16/01 a 17/01</v>
      </c>
      <c r="AE62" s="31">
        <v>8900.0</v>
      </c>
      <c r="AF62" s="31" t="s">
        <v>220</v>
      </c>
      <c r="AG62" s="31">
        <v>8900.0</v>
      </c>
      <c r="AH62" s="31">
        <v>3.7</v>
      </c>
      <c r="AI62" s="36" t="str">
        <f t="shared" si="8"/>
        <v>17/01 a 18/01</v>
      </c>
      <c r="AK62" s="31">
        <v>7436.0</v>
      </c>
      <c r="AL62" s="31" t="s">
        <v>227</v>
      </c>
      <c r="AM62" s="31">
        <v>7436.0</v>
      </c>
      <c r="AN62" s="31">
        <v>1.13</v>
      </c>
      <c r="AO62" s="36" t="str">
        <f t="shared" si="9"/>
        <v>20/10 A 23/10</v>
      </c>
      <c r="AQ62" s="31">
        <v>7119.0</v>
      </c>
      <c r="AR62" s="31" t="s">
        <v>228</v>
      </c>
      <c r="AS62" s="31">
        <v>7119.0</v>
      </c>
      <c r="AT62" s="31">
        <v>1.09</v>
      </c>
      <c r="AU62" s="37">
        <v>43.48</v>
      </c>
      <c r="AV62" s="38">
        <f t="shared" ref="AV62:AW62" si="67">(AT62/7)</f>
        <v>0.1557142857</v>
      </c>
      <c r="AW62" s="38">
        <f t="shared" si="67"/>
        <v>6.211428571</v>
      </c>
    </row>
    <row r="63" ht="14.25" customHeight="1">
      <c r="E63" s="36" t="str">
        <f t="shared" si="3"/>
        <v>19/01 a20/01</v>
      </c>
      <c r="K63" s="36" t="str">
        <f t="shared" si="4"/>
        <v>20/01 a 21/01</v>
      </c>
      <c r="Q63" s="36"/>
      <c r="W63" s="36"/>
      <c r="AC63" s="36" t="str">
        <f t="shared" si="7"/>
        <v>16/01 a 17/01</v>
      </c>
      <c r="AI63" s="36" t="str">
        <f t="shared" si="8"/>
        <v>17/01 a 18/01</v>
      </c>
      <c r="AK63" s="31">
        <v>7437.0</v>
      </c>
      <c r="AL63" s="31" t="s">
        <v>229</v>
      </c>
      <c r="AM63" s="31">
        <v>7437.0</v>
      </c>
      <c r="AN63" s="31">
        <v>0.91</v>
      </c>
      <c r="AO63" s="36" t="str">
        <f t="shared" si="9"/>
        <v>20/10 A 23/10</v>
      </c>
      <c r="AQ63" s="31">
        <v>7041.0</v>
      </c>
      <c r="AR63" s="37" t="s">
        <v>28</v>
      </c>
      <c r="AS63" s="32">
        <v>7041.0</v>
      </c>
      <c r="AT63" s="32">
        <v>1.06</v>
      </c>
      <c r="AU63" s="37">
        <v>42.14</v>
      </c>
      <c r="AV63" s="38">
        <f t="shared" ref="AV63:AW63" si="68">(AT63/7)</f>
        <v>0.1514285714</v>
      </c>
      <c r="AW63" s="38">
        <f t="shared" si="68"/>
        <v>6.02</v>
      </c>
    </row>
    <row r="64" ht="14.25" customHeight="1">
      <c r="E64" s="36" t="str">
        <f t="shared" si="3"/>
        <v>19/01 a20/01</v>
      </c>
      <c r="K64" s="36" t="str">
        <f t="shared" si="4"/>
        <v>20/01 a 21/01</v>
      </c>
      <c r="Q64" s="36"/>
      <c r="W64" s="36"/>
      <c r="AC64" s="36" t="str">
        <f t="shared" si="7"/>
        <v>16/01 a 17/01</v>
      </c>
      <c r="AI64" s="36" t="str">
        <f t="shared" si="8"/>
        <v>17/01 a 18/01</v>
      </c>
      <c r="AK64" s="31">
        <v>7455.0</v>
      </c>
      <c r="AL64" s="31" t="s">
        <v>82</v>
      </c>
      <c r="AM64" s="31">
        <v>7455.0</v>
      </c>
      <c r="AN64" s="31">
        <v>12.0</v>
      </c>
      <c r="AO64" s="36" t="str">
        <f t="shared" si="9"/>
        <v>20/10 A 23/10</v>
      </c>
      <c r="AQ64" s="31">
        <v>6990.0</v>
      </c>
      <c r="AR64" s="31" t="s">
        <v>230</v>
      </c>
      <c r="AS64" s="31">
        <v>6990.0</v>
      </c>
      <c r="AT64" s="31">
        <v>1.14</v>
      </c>
      <c r="AU64" s="37">
        <v>42.0</v>
      </c>
      <c r="AV64" s="38">
        <f t="shared" ref="AV64:AW64" si="69">(AT64/7)</f>
        <v>0.1628571429</v>
      </c>
      <c r="AW64" s="38">
        <f t="shared" si="69"/>
        <v>6</v>
      </c>
    </row>
    <row r="65" ht="14.25" customHeight="1">
      <c r="E65" s="36" t="str">
        <f t="shared" si="3"/>
        <v>19/01 a20/01</v>
      </c>
      <c r="K65" s="36" t="str">
        <f t="shared" si="4"/>
        <v>20/01 a 21/01</v>
      </c>
      <c r="Q65" s="36"/>
      <c r="W65" s="36"/>
      <c r="AC65" s="36" t="str">
        <f t="shared" si="7"/>
        <v>16/01 a 17/01</v>
      </c>
      <c r="AI65" s="36" t="str">
        <f t="shared" si="8"/>
        <v>17/01 a 18/01</v>
      </c>
      <c r="AK65" s="31">
        <v>7096.0</v>
      </c>
      <c r="AL65" s="31" t="s">
        <v>231</v>
      </c>
      <c r="AM65" s="31">
        <v>7096.0</v>
      </c>
      <c r="AN65" s="31">
        <v>0.33</v>
      </c>
      <c r="AO65" s="36" t="str">
        <f t="shared" si="9"/>
        <v>20/10 A 23/10</v>
      </c>
      <c r="AQ65" s="31">
        <v>7032.0</v>
      </c>
      <c r="AR65" s="31" t="s">
        <v>232</v>
      </c>
      <c r="AS65" s="31">
        <v>7032.0</v>
      </c>
      <c r="AT65" s="31">
        <v>1.01</v>
      </c>
      <c r="AU65" s="37">
        <v>40.12</v>
      </c>
      <c r="AV65" s="38">
        <f t="shared" ref="AV65:AW65" si="70">(AT65/7)</f>
        <v>0.1442857143</v>
      </c>
      <c r="AW65" s="38">
        <f t="shared" si="70"/>
        <v>5.731428571</v>
      </c>
    </row>
    <row r="66" ht="14.25" customHeight="1">
      <c r="E66" s="36" t="str">
        <f t="shared" si="3"/>
        <v>19/01 a20/01</v>
      </c>
      <c r="K66" s="36" t="str">
        <f t="shared" si="4"/>
        <v>20/01 a 21/01</v>
      </c>
      <c r="Q66" s="36"/>
      <c r="W66" s="36"/>
      <c r="AC66" s="36" t="str">
        <f t="shared" si="7"/>
        <v>16/01 a 17/01</v>
      </c>
      <c r="AI66" s="36" t="str">
        <f t="shared" si="8"/>
        <v>17/01 a 18/01</v>
      </c>
      <c r="AK66" s="31">
        <v>7190.0</v>
      </c>
      <c r="AL66" s="31" t="s">
        <v>233</v>
      </c>
      <c r="AM66" s="31">
        <v>7190.0</v>
      </c>
      <c r="AN66" s="31">
        <v>0.32</v>
      </c>
      <c r="AO66" s="36" t="str">
        <f t="shared" si="9"/>
        <v>20/10 A 23/10</v>
      </c>
      <c r="AQ66" s="31">
        <v>101883.0</v>
      </c>
      <c r="AR66" s="31" t="s">
        <v>234</v>
      </c>
      <c r="AS66" s="31">
        <v>101883.0</v>
      </c>
      <c r="AT66" s="31">
        <v>1.92</v>
      </c>
      <c r="AU66" s="37">
        <v>38.48</v>
      </c>
      <c r="AV66" s="38">
        <f t="shared" ref="AV66:AW66" si="71">(AT66/7)</f>
        <v>0.2742857143</v>
      </c>
      <c r="AW66" s="38">
        <f t="shared" si="71"/>
        <v>5.497142857</v>
      </c>
    </row>
    <row r="67" ht="14.25" customHeight="1">
      <c r="E67" s="36" t="str">
        <f t="shared" si="3"/>
        <v>19/01 a20/01</v>
      </c>
      <c r="K67" s="36" t="str">
        <f t="shared" si="4"/>
        <v>20/01 a 21/01</v>
      </c>
      <c r="Q67" s="36"/>
      <c r="W67" s="36"/>
      <c r="AC67" s="36" t="str">
        <f t="shared" si="7"/>
        <v>16/01 a 17/01</v>
      </c>
      <c r="AI67" s="36" t="str">
        <f t="shared" si="8"/>
        <v>17/01 a 18/01</v>
      </c>
      <c r="AK67" s="31">
        <v>7306.0</v>
      </c>
      <c r="AL67" s="31" t="s">
        <v>235</v>
      </c>
      <c r="AM67" s="31">
        <v>7306.0</v>
      </c>
      <c r="AN67" s="31">
        <v>0.82</v>
      </c>
      <c r="AO67" s="36" t="str">
        <f t="shared" si="9"/>
        <v>20/10 A 23/10</v>
      </c>
      <c r="AQ67" s="31">
        <v>6939.0</v>
      </c>
      <c r="AR67" s="31" t="s">
        <v>236</v>
      </c>
      <c r="AS67" s="31">
        <v>6939.0</v>
      </c>
      <c r="AT67" s="31">
        <v>0.95</v>
      </c>
      <c r="AU67" s="37">
        <v>37.74</v>
      </c>
      <c r="AV67" s="38">
        <f t="shared" ref="AV67:AW67" si="72">(AT67/7)</f>
        <v>0.1357142857</v>
      </c>
      <c r="AW67" s="38">
        <f t="shared" si="72"/>
        <v>5.391428571</v>
      </c>
    </row>
    <row r="68" ht="14.25" customHeight="1">
      <c r="E68" s="36" t="str">
        <f t="shared" si="3"/>
        <v>19/01 a20/01</v>
      </c>
      <c r="K68" s="36" t="str">
        <f t="shared" si="4"/>
        <v>20/01 a 21/01</v>
      </c>
      <c r="Q68" s="36"/>
      <c r="W68" s="36"/>
      <c r="AC68" s="36" t="str">
        <f t="shared" si="7"/>
        <v>16/01 a 17/01</v>
      </c>
      <c r="AI68" s="36" t="str">
        <f t="shared" si="8"/>
        <v>17/01 a 18/01</v>
      </c>
      <c r="AK68" s="31">
        <v>6949.0</v>
      </c>
      <c r="AL68" s="31" t="s">
        <v>237</v>
      </c>
      <c r="AM68" s="31">
        <v>6949.0</v>
      </c>
      <c r="AN68" s="31">
        <v>1.76</v>
      </c>
      <c r="AO68" s="36" t="str">
        <f t="shared" si="9"/>
        <v>20/10 A 23/10</v>
      </c>
      <c r="AQ68" s="31">
        <v>913.0</v>
      </c>
      <c r="AR68" s="31" t="s">
        <v>238</v>
      </c>
      <c r="AS68" s="31">
        <v>913.0</v>
      </c>
      <c r="AT68" s="31">
        <v>1.88</v>
      </c>
      <c r="AU68" s="37">
        <v>37.36</v>
      </c>
      <c r="AV68" s="38">
        <f t="shared" ref="AV68:AW68" si="73">(AT68/7)</f>
        <v>0.2685714286</v>
      </c>
      <c r="AW68" s="38">
        <f t="shared" si="73"/>
        <v>5.337142857</v>
      </c>
    </row>
    <row r="69" ht="14.25" customHeight="1">
      <c r="E69" s="36" t="str">
        <f t="shared" si="3"/>
        <v>19/01 a20/01</v>
      </c>
      <c r="K69" s="36" t="str">
        <f t="shared" si="4"/>
        <v>20/01 a 21/01</v>
      </c>
      <c r="Q69" s="36"/>
      <c r="W69" s="36"/>
      <c r="AC69" s="36" t="str">
        <f t="shared" si="7"/>
        <v>16/01 a 17/01</v>
      </c>
      <c r="AI69" s="36" t="str">
        <f t="shared" si="8"/>
        <v>17/01 a 18/01</v>
      </c>
      <c r="AK69" s="31">
        <v>6954.0</v>
      </c>
      <c r="AL69" s="31" t="s">
        <v>210</v>
      </c>
      <c r="AM69" s="31">
        <v>6954.0</v>
      </c>
      <c r="AN69" s="31">
        <v>0.25</v>
      </c>
      <c r="AO69" s="36" t="str">
        <f t="shared" si="9"/>
        <v>20/10 A 23/10</v>
      </c>
      <c r="AQ69" s="31">
        <v>7309.0</v>
      </c>
      <c r="AR69" s="31" t="s">
        <v>239</v>
      </c>
      <c r="AS69" s="31">
        <v>7309.0</v>
      </c>
      <c r="AT69" s="31">
        <v>1.13</v>
      </c>
      <c r="AU69" s="37">
        <v>37.11</v>
      </c>
      <c r="AV69" s="38">
        <f t="shared" ref="AV69:AW69" si="74">(AT69/7)</f>
        <v>0.1614285714</v>
      </c>
      <c r="AW69" s="38">
        <f t="shared" si="74"/>
        <v>5.301428571</v>
      </c>
    </row>
    <row r="70" ht="14.25" customHeight="1">
      <c r="E70" s="36" t="str">
        <f t="shared" si="3"/>
        <v>19/01 a20/01</v>
      </c>
      <c r="K70" s="36" t="str">
        <f t="shared" si="4"/>
        <v>20/01 a 21/01</v>
      </c>
      <c r="Q70" s="36"/>
      <c r="W70" s="36"/>
      <c r="AC70" s="36" t="str">
        <f t="shared" si="7"/>
        <v>16/01 a 17/01</v>
      </c>
      <c r="AI70" s="36" t="str">
        <f t="shared" si="8"/>
        <v>17/01 a 18/01</v>
      </c>
      <c r="AK70" s="31">
        <v>5580.0</v>
      </c>
      <c r="AL70" s="31" t="s">
        <v>240</v>
      </c>
      <c r="AM70" s="31">
        <v>5580.0</v>
      </c>
      <c r="AN70" s="31">
        <v>1.0</v>
      </c>
      <c r="AO70" s="36" t="str">
        <f t="shared" si="9"/>
        <v>20/10 A 23/10</v>
      </c>
      <c r="AQ70" s="31">
        <v>7190.0</v>
      </c>
      <c r="AR70" s="31" t="s">
        <v>233</v>
      </c>
      <c r="AS70" s="31">
        <v>7190.0</v>
      </c>
      <c r="AT70" s="31">
        <v>0.82</v>
      </c>
      <c r="AU70" s="37">
        <v>35.84</v>
      </c>
      <c r="AV70" s="38">
        <f t="shared" ref="AV70:AW70" si="75">(AT70/7)</f>
        <v>0.1171428571</v>
      </c>
      <c r="AW70" s="38">
        <f t="shared" si="75"/>
        <v>5.12</v>
      </c>
    </row>
    <row r="71" ht="14.25" customHeight="1">
      <c r="E71" s="36" t="str">
        <f t="shared" si="3"/>
        <v>19/01 a20/01</v>
      </c>
      <c r="K71" s="36" t="str">
        <f t="shared" si="4"/>
        <v>20/01 a 21/01</v>
      </c>
      <c r="Q71" s="36"/>
      <c r="W71" s="36"/>
      <c r="AC71" s="36" t="str">
        <f t="shared" si="7"/>
        <v>16/01 a 17/01</v>
      </c>
      <c r="AI71" s="36" t="str">
        <f t="shared" si="8"/>
        <v>17/01 a 18/01</v>
      </c>
      <c r="AK71" s="31">
        <v>7569.0</v>
      </c>
      <c r="AL71" s="31" t="s">
        <v>34</v>
      </c>
      <c r="AM71" s="31">
        <v>7569.0</v>
      </c>
      <c r="AN71" s="31">
        <v>34.0</v>
      </c>
      <c r="AO71" s="36" t="str">
        <f t="shared" si="9"/>
        <v>20/10 A 23/10</v>
      </c>
      <c r="AQ71" s="31">
        <v>6957.0</v>
      </c>
      <c r="AR71" s="31" t="s">
        <v>241</v>
      </c>
      <c r="AS71" s="31">
        <v>6957.0</v>
      </c>
      <c r="AT71" s="31">
        <v>0.89</v>
      </c>
      <c r="AU71" s="37">
        <v>35.66</v>
      </c>
      <c r="AV71" s="38">
        <f t="shared" ref="AV71:AW71" si="76">(AT71/7)</f>
        <v>0.1271428571</v>
      </c>
      <c r="AW71" s="38">
        <f t="shared" si="76"/>
        <v>5.094285714</v>
      </c>
    </row>
    <row r="72" ht="14.25" customHeight="1">
      <c r="E72" s="36" t="str">
        <f t="shared" si="3"/>
        <v>19/01 a20/01</v>
      </c>
      <c r="K72" s="36" t="str">
        <f t="shared" si="4"/>
        <v>20/01 a 21/01</v>
      </c>
      <c r="Q72" s="36"/>
      <c r="W72" s="36"/>
      <c r="AC72" s="36" t="str">
        <f t="shared" si="7"/>
        <v>16/01 a 17/01</v>
      </c>
      <c r="AI72" s="36" t="str">
        <f t="shared" si="8"/>
        <v>17/01 a 18/01</v>
      </c>
      <c r="AK72" s="31">
        <v>6951.0</v>
      </c>
      <c r="AL72" s="31" t="s">
        <v>74</v>
      </c>
      <c r="AM72" s="31">
        <v>6951.0</v>
      </c>
      <c r="AN72" s="31">
        <v>6.36</v>
      </c>
      <c r="AO72" s="36" t="str">
        <f t="shared" si="9"/>
        <v>20/10 A 23/10</v>
      </c>
      <c r="AQ72" s="31">
        <v>7435.0</v>
      </c>
      <c r="AR72" s="31" t="s">
        <v>225</v>
      </c>
      <c r="AS72" s="31">
        <v>7435.0</v>
      </c>
      <c r="AT72" s="31">
        <v>0.66</v>
      </c>
      <c r="AU72" s="37">
        <v>32.17</v>
      </c>
      <c r="AV72" s="38">
        <f t="shared" ref="AV72:AW72" si="77">(AT72/7)</f>
        <v>0.09428571429</v>
      </c>
      <c r="AW72" s="38">
        <f t="shared" si="77"/>
        <v>4.595714286</v>
      </c>
    </row>
    <row r="73" ht="14.25" customHeight="1">
      <c r="E73" s="36" t="str">
        <f t="shared" si="3"/>
        <v>19/01 a20/01</v>
      </c>
      <c r="K73" s="36" t="str">
        <f t="shared" si="4"/>
        <v>20/01 a 21/01</v>
      </c>
      <c r="Q73" s="36"/>
      <c r="W73" s="36"/>
      <c r="AC73" s="36" t="str">
        <f t="shared" si="7"/>
        <v>16/01 a 17/01</v>
      </c>
      <c r="AI73" s="36" t="str">
        <f t="shared" si="8"/>
        <v>17/01 a 18/01</v>
      </c>
      <c r="AK73" s="31">
        <v>6956.0</v>
      </c>
      <c r="AL73" s="31" t="s">
        <v>242</v>
      </c>
      <c r="AM73" s="31">
        <v>6956.0</v>
      </c>
      <c r="AN73" s="31">
        <v>0.37</v>
      </c>
      <c r="AO73" s="36" t="str">
        <f t="shared" si="9"/>
        <v>20/10 A 23/10</v>
      </c>
      <c r="AQ73" s="31">
        <v>6949.0</v>
      </c>
      <c r="AR73" s="31" t="s">
        <v>237</v>
      </c>
      <c r="AS73" s="31">
        <v>6949.0</v>
      </c>
      <c r="AT73" s="31">
        <v>0.96</v>
      </c>
      <c r="AU73" s="37">
        <v>31.46</v>
      </c>
      <c r="AV73" s="38">
        <f t="shared" ref="AV73:AW73" si="78">(AT73/7)</f>
        <v>0.1371428571</v>
      </c>
      <c r="AW73" s="38">
        <f t="shared" si="78"/>
        <v>4.494285714</v>
      </c>
    </row>
    <row r="74" ht="14.25" customHeight="1">
      <c r="E74" s="36" t="str">
        <f t="shared" si="3"/>
        <v>19/01 a20/01</v>
      </c>
      <c r="K74" s="36" t="str">
        <f t="shared" si="4"/>
        <v>20/01 a 21/01</v>
      </c>
      <c r="Q74" s="36"/>
      <c r="W74" s="36"/>
      <c r="AC74" s="36" t="str">
        <f t="shared" si="7"/>
        <v>16/01 a 17/01</v>
      </c>
      <c r="AI74" s="36" t="str">
        <f t="shared" si="8"/>
        <v>17/01 a 18/01</v>
      </c>
      <c r="AK74" s="31">
        <v>7308.0</v>
      </c>
      <c r="AL74" s="31" t="s">
        <v>243</v>
      </c>
      <c r="AM74" s="31">
        <v>7308.0</v>
      </c>
      <c r="AN74" s="31">
        <v>1.16</v>
      </c>
      <c r="AO74" s="36" t="str">
        <f t="shared" si="9"/>
        <v>20/10 A 23/10</v>
      </c>
      <c r="AQ74" s="31">
        <v>7480.0</v>
      </c>
      <c r="AR74" s="31" t="s">
        <v>244</v>
      </c>
      <c r="AS74" s="31">
        <v>7480.0</v>
      </c>
      <c r="AT74" s="31">
        <v>2.0</v>
      </c>
      <c r="AU74" s="37">
        <v>29.98</v>
      </c>
      <c r="AV74" s="38">
        <f t="shared" ref="AV74:AW74" si="79">(AT74/7)</f>
        <v>0.2857142857</v>
      </c>
      <c r="AW74" s="38">
        <f t="shared" si="79"/>
        <v>4.282857143</v>
      </c>
    </row>
    <row r="75" ht="14.25" customHeight="1">
      <c r="E75" s="36" t="str">
        <f t="shared" si="3"/>
        <v>19/01 a20/01</v>
      </c>
      <c r="K75" s="36" t="str">
        <f t="shared" si="4"/>
        <v>20/01 a 21/01</v>
      </c>
      <c r="Q75" s="36"/>
      <c r="W75" s="36"/>
      <c r="AC75" s="36" t="str">
        <f t="shared" si="7"/>
        <v>16/01 a 17/01</v>
      </c>
      <c r="AI75" s="36" t="str">
        <f t="shared" si="8"/>
        <v>17/01 a 18/01</v>
      </c>
      <c r="AK75" s="31">
        <v>6957.0</v>
      </c>
      <c r="AL75" s="31" t="s">
        <v>241</v>
      </c>
      <c r="AM75" s="31">
        <v>6957.0</v>
      </c>
      <c r="AN75" s="31">
        <v>0.81</v>
      </c>
      <c r="AO75" s="36" t="str">
        <f t="shared" si="9"/>
        <v>20/10 A 23/10</v>
      </c>
      <c r="AQ75" s="31">
        <v>7492.0</v>
      </c>
      <c r="AR75" s="31" t="s">
        <v>245</v>
      </c>
      <c r="AS75" s="31">
        <v>7492.0</v>
      </c>
      <c r="AT75" s="31">
        <v>0.63</v>
      </c>
      <c r="AU75" s="37">
        <v>29.98</v>
      </c>
      <c r="AV75" s="38">
        <f t="shared" ref="AV75:AW75" si="80">(AT75/7)</f>
        <v>0.09</v>
      </c>
      <c r="AW75" s="38">
        <f t="shared" si="80"/>
        <v>4.282857143</v>
      </c>
    </row>
    <row r="76" ht="14.25" customHeight="1">
      <c r="E76" s="36" t="str">
        <f t="shared" si="3"/>
        <v>19/01 a20/01</v>
      </c>
      <c r="K76" s="36" t="str">
        <f t="shared" si="4"/>
        <v>20/01 a 21/01</v>
      </c>
      <c r="Q76" s="36"/>
      <c r="W76" s="36"/>
      <c r="AC76" s="36" t="str">
        <f t="shared" si="7"/>
        <v>16/01 a 17/01</v>
      </c>
      <c r="AI76" s="36" t="str">
        <f t="shared" si="8"/>
        <v>17/01 a 18/01</v>
      </c>
      <c r="AK76" s="31">
        <v>6965.0</v>
      </c>
      <c r="AL76" s="31" t="s">
        <v>50</v>
      </c>
      <c r="AM76" s="31">
        <v>6965.0</v>
      </c>
      <c r="AN76" s="31">
        <v>3.62</v>
      </c>
      <c r="AO76" s="36" t="str">
        <f t="shared" si="9"/>
        <v>20/10 A 23/10</v>
      </c>
      <c r="AQ76" s="31">
        <v>7436.0</v>
      </c>
      <c r="AR76" s="31" t="s">
        <v>227</v>
      </c>
      <c r="AS76" s="31">
        <v>7436.0</v>
      </c>
      <c r="AT76" s="31">
        <v>0.52</v>
      </c>
      <c r="AU76" s="37">
        <v>29.59</v>
      </c>
      <c r="AV76" s="38">
        <f t="shared" ref="AV76:AW76" si="81">(AT76/7)</f>
        <v>0.07428571429</v>
      </c>
      <c r="AW76" s="38">
        <f t="shared" si="81"/>
        <v>4.227142857</v>
      </c>
    </row>
    <row r="77" ht="14.25" customHeight="1">
      <c r="E77" s="36" t="str">
        <f t="shared" si="3"/>
        <v>19/01 a20/01</v>
      </c>
      <c r="K77" s="36" t="str">
        <f t="shared" si="4"/>
        <v>20/01 a 21/01</v>
      </c>
      <c r="Q77" s="36"/>
      <c r="W77" s="36"/>
      <c r="AC77" s="36" t="str">
        <f t="shared" si="7"/>
        <v>16/01 a 17/01</v>
      </c>
      <c r="AI77" s="36" t="str">
        <f t="shared" si="8"/>
        <v>17/01 a 18/01</v>
      </c>
      <c r="AK77" s="31">
        <v>95804.0</v>
      </c>
      <c r="AL77" s="31" t="s">
        <v>78</v>
      </c>
      <c r="AM77" s="31">
        <v>95804.0</v>
      </c>
      <c r="AN77" s="31">
        <v>2.15</v>
      </c>
      <c r="AO77" s="36" t="str">
        <f t="shared" si="9"/>
        <v>20/10 A 23/10</v>
      </c>
      <c r="AQ77" s="31">
        <v>7433.0</v>
      </c>
      <c r="AR77" s="31" t="s">
        <v>246</v>
      </c>
      <c r="AS77" s="31">
        <v>7433.0</v>
      </c>
      <c r="AT77" s="31">
        <v>0.6</v>
      </c>
      <c r="AU77" s="37">
        <v>29.44</v>
      </c>
      <c r="AV77" s="38">
        <f t="shared" ref="AV77:AW77" si="82">(AT77/7)</f>
        <v>0.08571428571</v>
      </c>
      <c r="AW77" s="38">
        <f t="shared" si="82"/>
        <v>4.205714286</v>
      </c>
    </row>
    <row r="78" ht="14.25" customHeight="1">
      <c r="E78" s="36" t="str">
        <f t="shared" si="3"/>
        <v>19/01 a20/01</v>
      </c>
      <c r="K78" s="36" t="str">
        <f t="shared" si="4"/>
        <v>20/01 a 21/01</v>
      </c>
      <c r="Q78" s="36"/>
      <c r="W78" s="36"/>
      <c r="AC78" s="36" t="str">
        <f t="shared" si="7"/>
        <v>16/01 a 17/01</v>
      </c>
      <c r="AI78" s="36" t="str">
        <f t="shared" si="8"/>
        <v>17/01 a 18/01</v>
      </c>
      <c r="AK78" s="31">
        <v>6966.0</v>
      </c>
      <c r="AL78" s="31" t="s">
        <v>41</v>
      </c>
      <c r="AM78" s="31">
        <v>6966.0</v>
      </c>
      <c r="AN78" s="31">
        <v>5.87</v>
      </c>
      <c r="AO78" s="36" t="str">
        <f t="shared" si="9"/>
        <v>20/10 A 23/10</v>
      </c>
      <c r="AQ78" s="31">
        <v>7482.0</v>
      </c>
      <c r="AR78" s="31" t="s">
        <v>247</v>
      </c>
      <c r="AS78" s="31">
        <v>7482.0</v>
      </c>
      <c r="AT78" s="31">
        <v>1.0</v>
      </c>
      <c r="AU78" s="37">
        <v>28.9</v>
      </c>
      <c r="AV78" s="38">
        <f t="shared" ref="AV78:AW78" si="83">(AT78/7)</f>
        <v>0.1428571429</v>
      </c>
      <c r="AW78" s="38">
        <f t="shared" si="83"/>
        <v>4.128571429</v>
      </c>
    </row>
    <row r="79" ht="14.25" customHeight="1">
      <c r="E79" s="36" t="str">
        <f t="shared" si="3"/>
        <v>19/01 a20/01</v>
      </c>
      <c r="K79" s="36" t="str">
        <f t="shared" si="4"/>
        <v>20/01 a 21/01</v>
      </c>
      <c r="Q79" s="36"/>
      <c r="W79" s="36"/>
      <c r="AC79" s="36" t="str">
        <f t="shared" si="7"/>
        <v>16/01 a 17/01</v>
      </c>
      <c r="AI79" s="36" t="str">
        <f t="shared" si="8"/>
        <v>17/01 a 18/01</v>
      </c>
      <c r="AK79" s="31">
        <v>7030.0</v>
      </c>
      <c r="AL79" s="31" t="s">
        <v>70</v>
      </c>
      <c r="AM79" s="31">
        <v>7030.0</v>
      </c>
      <c r="AN79" s="31">
        <v>0.34</v>
      </c>
      <c r="AO79" s="36" t="str">
        <f t="shared" si="9"/>
        <v>20/10 A 23/10</v>
      </c>
      <c r="AQ79" s="31">
        <v>7434.0</v>
      </c>
      <c r="AR79" s="31" t="s">
        <v>248</v>
      </c>
      <c r="AS79" s="31">
        <v>7434.0</v>
      </c>
      <c r="AT79" s="31">
        <v>0.55</v>
      </c>
      <c r="AU79" s="37">
        <v>26.7</v>
      </c>
      <c r="AV79" s="38">
        <f t="shared" ref="AV79:AW79" si="84">(AT79/7)</f>
        <v>0.07857142857</v>
      </c>
      <c r="AW79" s="38">
        <f t="shared" si="84"/>
        <v>3.814285714</v>
      </c>
    </row>
    <row r="80" ht="14.25" customHeight="1">
      <c r="E80" s="36" t="str">
        <f t="shared" si="3"/>
        <v>19/01 a20/01</v>
      </c>
      <c r="K80" s="36" t="str">
        <f t="shared" si="4"/>
        <v>20/01 a 21/01</v>
      </c>
      <c r="Q80" s="36"/>
      <c r="W80" s="36"/>
      <c r="AC80" s="36" t="str">
        <f t="shared" si="7"/>
        <v>16/01 a 17/01</v>
      </c>
      <c r="AI80" s="36" t="str">
        <f t="shared" si="8"/>
        <v>17/01 a 18/01</v>
      </c>
      <c r="AK80" s="31">
        <v>6975.0</v>
      </c>
      <c r="AL80" s="31" t="s">
        <v>70</v>
      </c>
      <c r="AM80" s="31">
        <v>6975.0</v>
      </c>
      <c r="AN80" s="31">
        <v>3.0</v>
      </c>
      <c r="AO80" s="36" t="str">
        <f t="shared" si="9"/>
        <v>20/10 A 23/10</v>
      </c>
      <c r="AQ80" s="31">
        <v>95804.0</v>
      </c>
      <c r="AR80" s="31" t="s">
        <v>78</v>
      </c>
      <c r="AS80" s="31">
        <v>95804.0</v>
      </c>
      <c r="AT80" s="31">
        <v>0.84</v>
      </c>
      <c r="AU80" s="37">
        <v>23.3</v>
      </c>
      <c r="AV80" s="38">
        <f t="shared" ref="AV80:AW80" si="85">(AT80/7)</f>
        <v>0.12</v>
      </c>
      <c r="AW80" s="38">
        <f t="shared" si="85"/>
        <v>3.328571429</v>
      </c>
    </row>
    <row r="81" ht="14.25" customHeight="1">
      <c r="E81" s="36" t="str">
        <f t="shared" si="3"/>
        <v>19/01 a20/01</v>
      </c>
      <c r="K81" s="36" t="str">
        <f t="shared" si="4"/>
        <v>20/01 a 21/01</v>
      </c>
      <c r="M81" s="31">
        <v>626.0</v>
      </c>
      <c r="Q81" s="36"/>
      <c r="W81" s="36"/>
      <c r="AC81" s="36" t="str">
        <f t="shared" si="7"/>
        <v>16/01 a 17/01</v>
      </c>
      <c r="AI81" s="36" t="str">
        <f t="shared" si="8"/>
        <v>17/01 a 18/01</v>
      </c>
      <c r="AK81" s="31">
        <v>626.0</v>
      </c>
      <c r="AL81" s="31" t="s">
        <v>249</v>
      </c>
      <c r="AM81" s="31">
        <v>626.0</v>
      </c>
      <c r="AN81" s="31">
        <v>0.83</v>
      </c>
      <c r="AO81" s="36" t="str">
        <f t="shared" si="9"/>
        <v>20/10 A 23/10</v>
      </c>
      <c r="AQ81" s="31">
        <v>7102.0</v>
      </c>
      <c r="AR81" s="31" t="s">
        <v>250</v>
      </c>
      <c r="AS81" s="31">
        <v>7102.0</v>
      </c>
      <c r="AT81" s="31">
        <v>0.66</v>
      </c>
      <c r="AU81" s="37">
        <v>22.97</v>
      </c>
      <c r="AV81" s="38">
        <f t="shared" ref="AV81:AW81" si="86">(AT81/7)</f>
        <v>0.09428571429</v>
      </c>
      <c r="AW81" s="38">
        <f t="shared" si="86"/>
        <v>3.281428571</v>
      </c>
    </row>
    <row r="82" ht="14.25" customHeight="1">
      <c r="E82" s="36" t="str">
        <f t="shared" si="3"/>
        <v>19/01 a20/01</v>
      </c>
      <c r="K82" s="36" t="str">
        <f t="shared" si="4"/>
        <v>20/01 a 21/01</v>
      </c>
      <c r="M82" s="31">
        <v>7032.0</v>
      </c>
      <c r="Q82" s="36"/>
      <c r="W82" s="36"/>
      <c r="AC82" s="36" t="str">
        <f t="shared" si="7"/>
        <v>16/01 a 17/01</v>
      </c>
      <c r="AI82" s="36" t="str">
        <f t="shared" si="8"/>
        <v>17/01 a 18/01</v>
      </c>
      <c r="AK82" s="31">
        <v>7032.0</v>
      </c>
      <c r="AL82" s="31" t="s">
        <v>232</v>
      </c>
      <c r="AM82" s="31">
        <v>7032.0</v>
      </c>
      <c r="AN82" s="31">
        <v>0.33</v>
      </c>
      <c r="AO82" s="36" t="str">
        <f t="shared" si="9"/>
        <v>20/10 A 23/10</v>
      </c>
      <c r="AQ82" s="31">
        <v>6985.0</v>
      </c>
      <c r="AR82" s="31" t="s">
        <v>251</v>
      </c>
      <c r="AS82" s="31">
        <v>6985.0</v>
      </c>
      <c r="AT82" s="31">
        <v>0.52</v>
      </c>
      <c r="AU82" s="37">
        <v>22.92</v>
      </c>
      <c r="AV82" s="38">
        <f t="shared" ref="AV82:AW82" si="87">(AT82/7)</f>
        <v>0.07428571429</v>
      </c>
      <c r="AW82" s="38">
        <f t="shared" si="87"/>
        <v>3.274285714</v>
      </c>
    </row>
    <row r="83" ht="14.25" customHeight="1">
      <c r="E83" s="36" t="str">
        <f t="shared" si="3"/>
        <v>19/01 a20/01</v>
      </c>
      <c r="K83" s="36" t="str">
        <f t="shared" si="4"/>
        <v>20/01 a 21/01</v>
      </c>
      <c r="M83" s="31">
        <v>3605.0</v>
      </c>
      <c r="Q83" s="36"/>
      <c r="W83" s="36"/>
      <c r="AC83" s="36" t="str">
        <f t="shared" si="7"/>
        <v>16/01 a 17/01</v>
      </c>
      <c r="AI83" s="36" t="str">
        <f t="shared" si="8"/>
        <v>17/01 a 18/01</v>
      </c>
      <c r="AK83" s="31">
        <v>3605.0</v>
      </c>
      <c r="AL83" s="31" t="s">
        <v>252</v>
      </c>
      <c r="AM83" s="31">
        <v>3605.0</v>
      </c>
      <c r="AN83" s="31">
        <v>1.43</v>
      </c>
      <c r="AO83" s="36" t="str">
        <f t="shared" si="9"/>
        <v>20/10 A 23/10</v>
      </c>
      <c r="AQ83" s="31">
        <v>5766.0</v>
      </c>
      <c r="AR83" s="31" t="s">
        <v>253</v>
      </c>
      <c r="AS83" s="31">
        <v>5766.0</v>
      </c>
      <c r="AT83" s="31">
        <v>0.54</v>
      </c>
      <c r="AU83" s="37">
        <v>21.46</v>
      </c>
      <c r="AV83" s="38">
        <f t="shared" ref="AV83:AW83" si="88">(AT83/7)</f>
        <v>0.07714285714</v>
      </c>
      <c r="AW83" s="38">
        <f t="shared" si="88"/>
        <v>3.065714286</v>
      </c>
    </row>
    <row r="84" ht="14.25" customHeight="1">
      <c r="E84" s="36" t="str">
        <f t="shared" si="3"/>
        <v>19/01 a20/01</v>
      </c>
      <c r="K84" s="36" t="str">
        <f t="shared" si="4"/>
        <v>20/01 a 21/01</v>
      </c>
      <c r="M84" s="31">
        <v>913.0</v>
      </c>
      <c r="Q84" s="36"/>
      <c r="W84" s="36"/>
      <c r="AC84" s="36" t="str">
        <f t="shared" si="7"/>
        <v>16/01 a 17/01</v>
      </c>
      <c r="AI84" s="36" t="str">
        <f t="shared" si="8"/>
        <v>17/01 a 18/01</v>
      </c>
      <c r="AK84" s="31">
        <v>913.0</v>
      </c>
      <c r="AL84" s="31" t="s">
        <v>238</v>
      </c>
      <c r="AM84" s="31">
        <v>913.0</v>
      </c>
      <c r="AN84" s="31">
        <v>1.43</v>
      </c>
      <c r="AO84" s="36" t="str">
        <f t="shared" si="9"/>
        <v>20/10 A 23/10</v>
      </c>
      <c r="AQ84" s="31">
        <v>6964.0</v>
      </c>
      <c r="AR84" s="31" t="s">
        <v>254</v>
      </c>
      <c r="AS84" s="31">
        <v>6964.0</v>
      </c>
      <c r="AT84" s="31">
        <v>0.47</v>
      </c>
      <c r="AU84" s="37">
        <v>21.01</v>
      </c>
      <c r="AV84" s="38">
        <f t="shared" ref="AV84:AW84" si="89">(AT84/7)</f>
        <v>0.06714285714</v>
      </c>
      <c r="AW84" s="38">
        <f t="shared" si="89"/>
        <v>3.001428571</v>
      </c>
    </row>
    <row r="85" ht="14.25" customHeight="1">
      <c r="E85" s="36" t="str">
        <f t="shared" si="3"/>
        <v>19/01 a20/01</v>
      </c>
      <c r="K85" s="36" t="str">
        <f t="shared" si="4"/>
        <v>20/01 a 21/01</v>
      </c>
      <c r="M85" s="31">
        <v>7481.0</v>
      </c>
      <c r="Q85" s="36"/>
      <c r="W85" s="36"/>
      <c r="AC85" s="36" t="str">
        <f t="shared" si="7"/>
        <v>16/01 a 17/01</v>
      </c>
      <c r="AI85" s="36" t="str">
        <f t="shared" si="8"/>
        <v>17/01 a 18/01</v>
      </c>
      <c r="AK85" s="31">
        <v>7481.0</v>
      </c>
      <c r="AL85" s="31" t="s">
        <v>159</v>
      </c>
      <c r="AM85" s="31">
        <v>7481.0</v>
      </c>
      <c r="AN85" s="31">
        <v>1.97</v>
      </c>
      <c r="AO85" s="36" t="str">
        <f t="shared" si="9"/>
        <v>20/10 A 23/10</v>
      </c>
      <c r="AQ85" s="31">
        <v>7567.0</v>
      </c>
      <c r="AR85" s="31" t="s">
        <v>58</v>
      </c>
      <c r="AS85" s="31">
        <v>7567.0</v>
      </c>
      <c r="AT85" s="31">
        <v>0.49</v>
      </c>
      <c r="AU85" s="37">
        <v>19.63</v>
      </c>
      <c r="AV85" s="38">
        <f t="shared" ref="AV85:AW85" si="90">(AT85/7)</f>
        <v>0.07</v>
      </c>
      <c r="AW85" s="38">
        <f t="shared" si="90"/>
        <v>2.804285714</v>
      </c>
    </row>
    <row r="86" ht="14.25" customHeight="1">
      <c r="E86" s="36" t="str">
        <f t="shared" si="3"/>
        <v>19/01 a20/01</v>
      </c>
      <c r="K86" s="36" t="str">
        <f t="shared" si="4"/>
        <v>20/01 a 21/01</v>
      </c>
      <c r="M86" s="31">
        <v>7481.0</v>
      </c>
      <c r="Q86" s="36"/>
      <c r="W86" s="36"/>
      <c r="AC86" s="36" t="str">
        <f t="shared" si="7"/>
        <v>16/01 a 17/01</v>
      </c>
      <c r="AI86" s="36" t="str">
        <f t="shared" si="8"/>
        <v>17/01 a 18/01</v>
      </c>
      <c r="AK86" s="31">
        <v>7481.0</v>
      </c>
      <c r="AL86" s="31" t="s">
        <v>159</v>
      </c>
      <c r="AM86" s="31">
        <v>7481.0</v>
      </c>
      <c r="AN86" s="31">
        <v>0.18</v>
      </c>
      <c r="AO86" s="36" t="str">
        <f t="shared" si="9"/>
        <v>20/10 A 23/10</v>
      </c>
      <c r="AQ86" s="31">
        <v>6818.0</v>
      </c>
      <c r="AR86" s="31" t="s">
        <v>134</v>
      </c>
      <c r="AS86" s="31">
        <v>6818.0</v>
      </c>
      <c r="AT86" s="31">
        <v>0.31</v>
      </c>
      <c r="AU86" s="37">
        <v>18.68</v>
      </c>
      <c r="AV86" s="38">
        <f t="shared" ref="AV86:AW86" si="91">(AT86/7)</f>
        <v>0.04428571429</v>
      </c>
      <c r="AW86" s="38">
        <f t="shared" si="91"/>
        <v>2.668571429</v>
      </c>
    </row>
    <row r="87" ht="14.25" customHeight="1">
      <c r="E87" s="36" t="str">
        <f t="shared" si="3"/>
        <v>19/01 a20/01</v>
      </c>
      <c r="K87" s="36" t="str">
        <f t="shared" si="4"/>
        <v>20/01 a 21/01</v>
      </c>
      <c r="M87" s="31">
        <v>7492.0</v>
      </c>
      <c r="Q87" s="36"/>
      <c r="W87" s="36"/>
      <c r="AC87" s="36" t="str">
        <f t="shared" si="7"/>
        <v>16/01 a 17/01</v>
      </c>
      <c r="AI87" s="36" t="str">
        <f t="shared" si="8"/>
        <v>17/01 a 18/01</v>
      </c>
      <c r="AK87" s="31">
        <v>7492.0</v>
      </c>
      <c r="AL87" s="31" t="s">
        <v>245</v>
      </c>
      <c r="AM87" s="31">
        <v>7492.0</v>
      </c>
      <c r="AN87" s="31">
        <v>0.49</v>
      </c>
      <c r="AO87" s="36" t="str">
        <f t="shared" si="9"/>
        <v>20/10 A 23/10</v>
      </c>
      <c r="AQ87" s="31">
        <v>7308.0</v>
      </c>
      <c r="AR87" s="31" t="s">
        <v>243</v>
      </c>
      <c r="AS87" s="31">
        <v>7308.0</v>
      </c>
      <c r="AT87" s="31">
        <v>0.51</v>
      </c>
      <c r="AU87" s="37">
        <v>16.71</v>
      </c>
      <c r="AV87" s="38">
        <f t="shared" ref="AV87:AW87" si="92">(AT87/7)</f>
        <v>0.07285714286</v>
      </c>
      <c r="AW87" s="38">
        <f t="shared" si="92"/>
        <v>2.387142857</v>
      </c>
    </row>
    <row r="88" ht="14.25" customHeight="1">
      <c r="E88" s="36" t="str">
        <f t="shared" si="3"/>
        <v>19/01 a20/01</v>
      </c>
      <c r="K88" s="36" t="str">
        <f t="shared" si="4"/>
        <v>20/01 a 21/01</v>
      </c>
      <c r="M88" s="31">
        <v>7494.0</v>
      </c>
      <c r="Q88" s="36"/>
      <c r="W88" s="36"/>
      <c r="AC88" s="36" t="str">
        <f t="shared" si="7"/>
        <v>16/01 a 17/01</v>
      </c>
      <c r="AI88" s="36" t="str">
        <f t="shared" si="8"/>
        <v>17/01 a 18/01</v>
      </c>
      <c r="AK88" s="31">
        <v>7494.0</v>
      </c>
      <c r="AL88" s="31" t="s">
        <v>255</v>
      </c>
      <c r="AM88" s="31">
        <v>7494.0</v>
      </c>
      <c r="AN88" s="31">
        <v>0.2</v>
      </c>
      <c r="AO88" s="36" t="str">
        <f t="shared" si="9"/>
        <v>20/10 A 23/10</v>
      </c>
      <c r="AQ88" s="31">
        <v>6948.0</v>
      </c>
      <c r="AR88" s="31" t="s">
        <v>256</v>
      </c>
      <c r="AS88" s="31">
        <v>6948.0</v>
      </c>
      <c r="AT88" s="31">
        <v>0.48</v>
      </c>
      <c r="AU88" s="37">
        <v>14.46</v>
      </c>
      <c r="AV88" s="38">
        <f t="shared" ref="AV88:AW88" si="93">(AT88/7)</f>
        <v>0.06857142857</v>
      </c>
      <c r="AW88" s="38">
        <f t="shared" si="93"/>
        <v>2.065714286</v>
      </c>
    </row>
    <row r="89" ht="14.25" customHeight="1">
      <c r="E89" s="36" t="str">
        <f t="shared" si="3"/>
        <v>19/01 a20/01</v>
      </c>
      <c r="K89" s="36" t="str">
        <f t="shared" si="4"/>
        <v>20/01 a 21/01</v>
      </c>
      <c r="M89" s="31">
        <v>7495.0</v>
      </c>
      <c r="Q89" s="36"/>
      <c r="W89" s="36"/>
      <c r="AC89" s="36" t="str">
        <f t="shared" si="7"/>
        <v>16/01 a 17/01</v>
      </c>
      <c r="AI89" s="36" t="str">
        <f t="shared" si="8"/>
        <v>17/01 a 18/01</v>
      </c>
      <c r="AK89" s="31">
        <v>7495.0</v>
      </c>
      <c r="AL89" s="31" t="s">
        <v>257</v>
      </c>
      <c r="AM89" s="31">
        <v>7495.0</v>
      </c>
      <c r="AN89" s="31">
        <v>0.17</v>
      </c>
      <c r="AO89" s="36" t="str">
        <f t="shared" si="9"/>
        <v>20/10 A 23/10</v>
      </c>
      <c r="AQ89" s="31">
        <v>6987.0</v>
      </c>
      <c r="AR89" s="31" t="s">
        <v>258</v>
      </c>
      <c r="AS89" s="31">
        <v>6987.0</v>
      </c>
      <c r="AT89" s="31">
        <v>0.32</v>
      </c>
      <c r="AU89" s="37">
        <v>14.05</v>
      </c>
      <c r="AV89" s="38">
        <f t="shared" ref="AV89:AW89" si="94">(AT89/7)</f>
        <v>0.04571428571</v>
      </c>
      <c r="AW89" s="38">
        <f t="shared" si="94"/>
        <v>2.007142857</v>
      </c>
    </row>
    <row r="90" ht="14.25" customHeight="1">
      <c r="E90" s="36" t="str">
        <f t="shared" si="3"/>
        <v>19/01 a20/01</v>
      </c>
      <c r="K90" s="36" t="str">
        <f t="shared" si="4"/>
        <v>20/01 a 21/01</v>
      </c>
      <c r="M90" s="31">
        <v>6982.0</v>
      </c>
      <c r="Q90" s="36"/>
      <c r="W90" s="36"/>
      <c r="AC90" s="36" t="str">
        <f t="shared" si="7"/>
        <v>16/01 a 17/01</v>
      </c>
      <c r="AI90" s="36" t="str">
        <f t="shared" si="8"/>
        <v>17/01 a 18/01</v>
      </c>
      <c r="AK90" s="31">
        <v>6982.0</v>
      </c>
      <c r="AL90" s="31" t="s">
        <v>59</v>
      </c>
      <c r="AM90" s="31">
        <v>6982.0</v>
      </c>
      <c r="AN90" s="31">
        <v>1.74</v>
      </c>
      <c r="AO90" s="36" t="str">
        <f t="shared" si="9"/>
        <v>20/10 A 23/10</v>
      </c>
      <c r="AQ90" s="31">
        <v>6643.0</v>
      </c>
      <c r="AR90" s="31" t="s">
        <v>97</v>
      </c>
      <c r="AS90" s="31">
        <v>6643.0</v>
      </c>
      <c r="AT90" s="31">
        <v>0.34</v>
      </c>
      <c r="AU90" s="37">
        <v>13.4</v>
      </c>
      <c r="AV90" s="38">
        <f t="shared" ref="AV90:AW90" si="95">(AT90/7)</f>
        <v>0.04857142857</v>
      </c>
      <c r="AW90" s="38">
        <f t="shared" si="95"/>
        <v>1.914285714</v>
      </c>
    </row>
    <row r="91" ht="14.25" customHeight="1">
      <c r="E91" s="36" t="str">
        <f t="shared" si="3"/>
        <v>19/01 a20/01</v>
      </c>
      <c r="K91" s="36" t="str">
        <f t="shared" si="4"/>
        <v>20/01 a 21/01</v>
      </c>
      <c r="M91" s="31">
        <v>6985.0</v>
      </c>
      <c r="Q91" s="36"/>
      <c r="W91" s="36"/>
      <c r="AC91" s="36" t="str">
        <f t="shared" si="7"/>
        <v>16/01 a 17/01</v>
      </c>
      <c r="AI91" s="36" t="str">
        <f t="shared" si="8"/>
        <v>17/01 a 18/01</v>
      </c>
      <c r="AK91" s="31">
        <v>6985.0</v>
      </c>
      <c r="AL91" s="31" t="s">
        <v>251</v>
      </c>
      <c r="AM91" s="31">
        <v>6985.0</v>
      </c>
      <c r="AN91" s="31">
        <v>0.52</v>
      </c>
      <c r="AO91" s="36" t="str">
        <f t="shared" si="9"/>
        <v>20/10 A 23/10</v>
      </c>
      <c r="AQ91" s="31">
        <v>6987.0</v>
      </c>
      <c r="AR91" s="31" t="s">
        <v>258</v>
      </c>
      <c r="AS91" s="31">
        <v>6987.0</v>
      </c>
      <c r="AT91" s="31">
        <v>0.28</v>
      </c>
      <c r="AU91" s="37">
        <v>12.57</v>
      </c>
      <c r="AV91" s="38">
        <f t="shared" ref="AV91:AW91" si="96">(AT91/7)</f>
        <v>0.04</v>
      </c>
      <c r="AW91" s="38">
        <f t="shared" si="96"/>
        <v>1.795714286</v>
      </c>
    </row>
    <row r="92" ht="14.25" customHeight="1">
      <c r="E92" s="36" t="str">
        <f t="shared" si="3"/>
        <v>19/01 a20/01</v>
      </c>
      <c r="K92" s="36" t="str">
        <f t="shared" si="4"/>
        <v>20/01 a 21/01</v>
      </c>
      <c r="M92" s="31">
        <v>6990.0</v>
      </c>
      <c r="Q92" s="36"/>
      <c r="W92" s="36"/>
      <c r="AC92" s="36" t="str">
        <f t="shared" si="7"/>
        <v>16/01 a 17/01</v>
      </c>
      <c r="AI92" s="36" t="str">
        <f t="shared" si="8"/>
        <v>17/01 a 18/01</v>
      </c>
      <c r="AK92" s="31">
        <v>6990.0</v>
      </c>
      <c r="AL92" s="31" t="s">
        <v>230</v>
      </c>
      <c r="AM92" s="31">
        <v>6990.0</v>
      </c>
      <c r="AN92" s="31">
        <v>0.36</v>
      </c>
      <c r="AO92" s="36" t="str">
        <f t="shared" si="9"/>
        <v>20/10 A 23/10</v>
      </c>
      <c r="AQ92" s="31">
        <v>103.0</v>
      </c>
      <c r="AR92" s="31" t="s">
        <v>124</v>
      </c>
      <c r="AS92" s="31">
        <v>103.0</v>
      </c>
      <c r="AT92" s="31">
        <v>0.34</v>
      </c>
      <c r="AU92" s="37">
        <v>12.48</v>
      </c>
      <c r="AV92" s="38">
        <f t="shared" ref="AV92:AW92" si="97">(AT92/7)</f>
        <v>0.04857142857</v>
      </c>
      <c r="AW92" s="38">
        <f t="shared" si="97"/>
        <v>1.782857143</v>
      </c>
    </row>
    <row r="93" ht="14.25" customHeight="1">
      <c r="E93" s="36" t="str">
        <f t="shared" si="3"/>
        <v>19/01 a20/01</v>
      </c>
      <c r="K93" s="36" t="str">
        <f t="shared" si="4"/>
        <v>20/01 a 21/01</v>
      </c>
      <c r="M93" s="31">
        <v>6993.0</v>
      </c>
      <c r="Q93" s="36"/>
      <c r="W93" s="36"/>
      <c r="AC93" s="36" t="str">
        <f t="shared" si="7"/>
        <v>16/01 a 17/01</v>
      </c>
      <c r="AI93" s="36" t="str">
        <f t="shared" si="8"/>
        <v>17/01 a 18/01</v>
      </c>
      <c r="AK93" s="31">
        <v>6993.0</v>
      </c>
      <c r="AL93" s="31" t="s">
        <v>196</v>
      </c>
      <c r="AM93" s="31">
        <v>6993.0</v>
      </c>
      <c r="AN93" s="31">
        <v>0.35</v>
      </c>
      <c r="AO93" s="36" t="str">
        <f t="shared" si="9"/>
        <v>20/10 A 23/10</v>
      </c>
      <c r="AQ93" s="31">
        <v>6979.0</v>
      </c>
      <c r="AR93" s="31" t="s">
        <v>259</v>
      </c>
      <c r="AS93" s="31">
        <v>6979.0</v>
      </c>
      <c r="AT93" s="31">
        <v>0.28</v>
      </c>
      <c r="AU93" s="37">
        <v>8.37</v>
      </c>
      <c r="AV93" s="38">
        <f t="shared" ref="AV93:AW93" si="98">(AT93/7)</f>
        <v>0.04</v>
      </c>
      <c r="AW93" s="38">
        <f t="shared" si="98"/>
        <v>1.195714286</v>
      </c>
    </row>
    <row r="94" ht="14.25" customHeight="1">
      <c r="E94" s="36" t="str">
        <f t="shared" si="3"/>
        <v>19/01 a20/01</v>
      </c>
      <c r="K94" s="36" t="str">
        <f t="shared" si="4"/>
        <v>20/01 a 21/01</v>
      </c>
      <c r="M94" s="31">
        <v>6994.0</v>
      </c>
      <c r="Q94" s="36"/>
      <c r="W94" s="36"/>
      <c r="AC94" s="36" t="str">
        <f t="shared" si="7"/>
        <v>16/01 a 17/01</v>
      </c>
      <c r="AI94" s="36" t="str">
        <f t="shared" si="8"/>
        <v>17/01 a 18/01</v>
      </c>
      <c r="AK94" s="31">
        <v>6994.0</v>
      </c>
      <c r="AL94" s="31" t="s">
        <v>260</v>
      </c>
      <c r="AM94" s="31">
        <v>6994.0</v>
      </c>
      <c r="AN94" s="31">
        <v>0.39</v>
      </c>
      <c r="AO94" s="36" t="str">
        <f t="shared" si="9"/>
        <v>20/10 A 23/10</v>
      </c>
      <c r="AQ94" s="31">
        <v>6993.0</v>
      </c>
      <c r="AR94" s="31" t="s">
        <v>196</v>
      </c>
      <c r="AS94" s="31">
        <v>6993.0</v>
      </c>
      <c r="AT94" s="31">
        <v>0.33</v>
      </c>
      <c r="AU94" s="37">
        <v>7.91</v>
      </c>
      <c r="AV94" s="38">
        <f t="shared" ref="AV94:AW94" si="99">(AT94/7)</f>
        <v>0.04714285714</v>
      </c>
      <c r="AW94" s="38">
        <f t="shared" si="99"/>
        <v>1.13</v>
      </c>
    </row>
    <row r="95" ht="14.25" customHeight="1">
      <c r="E95" s="36" t="str">
        <f t="shared" si="3"/>
        <v>19/01 a20/01</v>
      </c>
      <c r="K95" s="36" t="str">
        <f t="shared" si="4"/>
        <v>20/01 a 21/01</v>
      </c>
      <c r="M95" s="31">
        <v>7003.0</v>
      </c>
      <c r="Q95" s="36"/>
      <c r="W95" s="36"/>
      <c r="AC95" s="36" t="str">
        <f t="shared" si="7"/>
        <v>16/01 a 17/01</v>
      </c>
      <c r="AI95" s="36" t="str">
        <f t="shared" si="8"/>
        <v>17/01 a 18/01</v>
      </c>
      <c r="AK95" s="31">
        <v>7003.0</v>
      </c>
      <c r="AL95" s="31" t="s">
        <v>155</v>
      </c>
      <c r="AM95" s="31">
        <v>7003.0</v>
      </c>
      <c r="AN95" s="31">
        <v>0.15</v>
      </c>
      <c r="AO95" s="36" t="str">
        <f t="shared" si="9"/>
        <v>20/10 A 23/10</v>
      </c>
      <c r="AQ95" s="31">
        <v>7068.0</v>
      </c>
      <c r="AR95" s="31" t="s">
        <v>30</v>
      </c>
      <c r="AS95" s="31">
        <v>7068.0</v>
      </c>
      <c r="AT95" s="31">
        <v>0.28</v>
      </c>
      <c r="AU95" s="37">
        <v>7.04</v>
      </c>
      <c r="AV95" s="38">
        <f t="shared" ref="AV95:AW95" si="100">(AT95/7)</f>
        <v>0.04</v>
      </c>
      <c r="AW95" s="38">
        <f t="shared" si="100"/>
        <v>1.005714286</v>
      </c>
    </row>
    <row r="96" ht="14.25" customHeight="1">
      <c r="E96" s="36" t="str">
        <f t="shared" si="3"/>
        <v>19/01 a20/01</v>
      </c>
      <c r="K96" s="36" t="str">
        <f t="shared" si="4"/>
        <v>20/01 a 21/01</v>
      </c>
      <c r="M96" s="31">
        <v>7004.0</v>
      </c>
      <c r="Q96" s="36"/>
      <c r="W96" s="36"/>
      <c r="AC96" s="36" t="str">
        <f t="shared" si="7"/>
        <v>16/01 a 17/01</v>
      </c>
      <c r="AI96" s="36" t="str">
        <f t="shared" si="8"/>
        <v>17/01 a 18/01</v>
      </c>
      <c r="AK96" s="31">
        <v>7004.0</v>
      </c>
      <c r="AL96" s="31" t="s">
        <v>152</v>
      </c>
      <c r="AM96" s="31">
        <v>7004.0</v>
      </c>
      <c r="AN96" s="31">
        <v>0.43</v>
      </c>
      <c r="AO96" s="36" t="str">
        <f t="shared" si="9"/>
        <v>20/10 A 23/10</v>
      </c>
      <c r="AQ96" s="31">
        <v>7096.0</v>
      </c>
      <c r="AR96" s="31" t="s">
        <v>231</v>
      </c>
      <c r="AS96" s="31">
        <v>7096.0</v>
      </c>
      <c r="AT96" s="31">
        <v>0.17</v>
      </c>
      <c r="AU96" s="37">
        <v>6.86</v>
      </c>
      <c r="AV96" s="38">
        <f t="shared" ref="AV96:AW96" si="101">(AT96/7)</f>
        <v>0.02428571429</v>
      </c>
      <c r="AW96" s="38">
        <f t="shared" si="101"/>
        <v>0.98</v>
      </c>
    </row>
    <row r="97" ht="14.25" customHeight="1">
      <c r="E97" s="36" t="str">
        <f t="shared" si="3"/>
        <v>19/01 a20/01</v>
      </c>
      <c r="K97" s="36" t="str">
        <f t="shared" si="4"/>
        <v>20/01 a 21/01</v>
      </c>
      <c r="M97" s="31">
        <v>7499.0</v>
      </c>
      <c r="Q97" s="36"/>
      <c r="W97" s="36"/>
      <c r="AC97" s="36" t="str">
        <f t="shared" si="7"/>
        <v>16/01 a 17/01</v>
      </c>
      <c r="AI97" s="36" t="str">
        <f t="shared" si="8"/>
        <v>17/01 a 18/01</v>
      </c>
      <c r="AK97" s="31">
        <v>7499.0</v>
      </c>
      <c r="AL97" s="31" t="s">
        <v>55</v>
      </c>
      <c r="AM97" s="31">
        <v>7499.0</v>
      </c>
      <c r="AN97" s="31">
        <v>3.11</v>
      </c>
      <c r="AO97" s="36" t="str">
        <f t="shared" si="9"/>
        <v>20/10 A 23/10</v>
      </c>
      <c r="AQ97" s="31">
        <v>6856.0</v>
      </c>
      <c r="AR97" s="31" t="s">
        <v>37</v>
      </c>
      <c r="AS97" s="31">
        <v>6856.0</v>
      </c>
      <c r="AT97" s="31">
        <v>0.32</v>
      </c>
      <c r="AU97" s="37">
        <v>6.39</v>
      </c>
      <c r="AV97" s="38">
        <f t="shared" ref="AV97:AW97" si="102">(AT97/7)</f>
        <v>0.04571428571</v>
      </c>
      <c r="AW97" s="38">
        <f t="shared" si="102"/>
        <v>0.9128571429</v>
      </c>
    </row>
    <row r="98" ht="14.25" customHeight="1">
      <c r="E98" s="36" t="str">
        <f t="shared" si="3"/>
        <v>19/01 a20/01</v>
      </c>
      <c r="K98" s="36" t="str">
        <f t="shared" si="4"/>
        <v>20/01 a 21/01</v>
      </c>
      <c r="M98" s="31">
        <v>7500.0</v>
      </c>
      <c r="Q98" s="36"/>
      <c r="W98" s="36"/>
      <c r="AC98" s="36" t="str">
        <f t="shared" si="7"/>
        <v>16/01 a 17/01</v>
      </c>
      <c r="AI98" s="36" t="str">
        <f t="shared" si="8"/>
        <v>17/01 a 18/01</v>
      </c>
      <c r="AK98" s="31">
        <v>7500.0</v>
      </c>
      <c r="AL98" s="31" t="s">
        <v>261</v>
      </c>
      <c r="AM98" s="31">
        <v>7500.0</v>
      </c>
      <c r="AN98" s="31">
        <v>0.29</v>
      </c>
      <c r="AO98" s="36" t="str">
        <f t="shared" si="9"/>
        <v>20/10 A 23/10</v>
      </c>
      <c r="AQ98" s="31">
        <v>4568.0</v>
      </c>
      <c r="AR98" s="31" t="s">
        <v>101</v>
      </c>
      <c r="AS98" s="31">
        <v>4568.0</v>
      </c>
      <c r="AT98" s="31">
        <v>0.08</v>
      </c>
      <c r="AU98" s="37">
        <v>5.45</v>
      </c>
      <c r="AV98" s="38">
        <f t="shared" ref="AV98:AW98" si="103">(AT98/7)</f>
        <v>0.01142857143</v>
      </c>
      <c r="AW98" s="38">
        <f t="shared" si="103"/>
        <v>0.7785714286</v>
      </c>
    </row>
    <row r="99" ht="14.25" customHeight="1">
      <c r="E99" s="36" t="str">
        <f t="shared" si="3"/>
        <v>19/01 a20/01</v>
      </c>
      <c r="K99" s="36" t="str">
        <f t="shared" si="4"/>
        <v>20/01 a 21/01</v>
      </c>
      <c r="M99" s="31">
        <v>93533.0</v>
      </c>
      <c r="Q99" s="36"/>
      <c r="W99" s="36"/>
      <c r="AC99" s="36" t="str">
        <f t="shared" si="7"/>
        <v>16/01 a 17/01</v>
      </c>
      <c r="AI99" s="36" t="str">
        <f t="shared" si="8"/>
        <v>17/01 a 18/01</v>
      </c>
      <c r="AK99" s="31">
        <v>93533.0</v>
      </c>
      <c r="AL99" s="31" t="s">
        <v>262</v>
      </c>
      <c r="AM99" s="31">
        <v>93533.0</v>
      </c>
      <c r="AN99" s="31">
        <v>1.24</v>
      </c>
      <c r="AO99" s="36" t="str">
        <f t="shared" si="9"/>
        <v>20/10 A 23/10</v>
      </c>
      <c r="AQ99" s="31">
        <v>7132.0</v>
      </c>
      <c r="AR99" s="31" t="s">
        <v>115</v>
      </c>
      <c r="AS99" s="31">
        <v>7132.0</v>
      </c>
      <c r="AT99" s="31">
        <v>0.26</v>
      </c>
      <c r="AU99" s="37">
        <v>5.11</v>
      </c>
      <c r="AV99" s="38">
        <f t="shared" ref="AV99:AW99" si="104">(AT99/7)</f>
        <v>0.03714285714</v>
      </c>
      <c r="AW99" s="38">
        <f t="shared" si="104"/>
        <v>0.73</v>
      </c>
    </row>
    <row r="100" ht="14.25" customHeight="1">
      <c r="E100" s="36" t="str">
        <f t="shared" si="3"/>
        <v>19/01 a20/01</v>
      </c>
      <c r="K100" s="36" t="str">
        <f t="shared" si="4"/>
        <v>20/01 a 21/01</v>
      </c>
      <c r="M100" s="31">
        <v>7503.0</v>
      </c>
      <c r="Q100" s="36"/>
      <c r="W100" s="36"/>
      <c r="AC100" s="36" t="str">
        <f t="shared" si="7"/>
        <v>16/01 a 17/01</v>
      </c>
      <c r="AI100" s="36" t="str">
        <f t="shared" si="8"/>
        <v>17/01 a 18/01</v>
      </c>
      <c r="AK100" s="31">
        <v>7503.0</v>
      </c>
      <c r="AL100" s="31" t="s">
        <v>128</v>
      </c>
      <c r="AM100" s="31">
        <v>7503.0</v>
      </c>
      <c r="AN100" s="31">
        <v>1.27</v>
      </c>
      <c r="AO100" s="36" t="str">
        <f t="shared" si="9"/>
        <v>20/10 A 23/10</v>
      </c>
      <c r="AQ100" s="31">
        <v>7132.0</v>
      </c>
      <c r="AR100" s="31" t="s">
        <v>115</v>
      </c>
      <c r="AS100" s="31">
        <v>7132.0</v>
      </c>
      <c r="AT100" s="31">
        <v>0.25</v>
      </c>
      <c r="AU100" s="37">
        <v>4.91</v>
      </c>
      <c r="AV100" s="38">
        <f t="shared" ref="AV100:AW100" si="105">(AT100/7)</f>
        <v>0.03571428571</v>
      </c>
      <c r="AW100" s="38">
        <f t="shared" si="105"/>
        <v>0.7014285714</v>
      </c>
    </row>
    <row r="101" ht="14.25" customHeight="1">
      <c r="AQ101" s="31">
        <v>6590.0</v>
      </c>
      <c r="AR101" s="31" t="s">
        <v>92</v>
      </c>
      <c r="AS101" s="31">
        <v>6590.0</v>
      </c>
      <c r="AT101" s="31">
        <v>0.07</v>
      </c>
      <c r="AU101" s="37">
        <v>2.88</v>
      </c>
      <c r="AV101" s="38">
        <f t="shared" ref="AV101:AW101" si="106">(AT101/7)</f>
        <v>0.01</v>
      </c>
      <c r="AW101" s="38">
        <f t="shared" si="106"/>
        <v>0.4114285714</v>
      </c>
    </row>
    <row r="102" ht="14.25" customHeight="1">
      <c r="AQ102" s="41">
        <v>7068.0</v>
      </c>
      <c r="AR102" s="42" t="s">
        <v>30</v>
      </c>
      <c r="AS102" s="41">
        <v>7068.0</v>
      </c>
      <c r="AT102" s="41">
        <v>0.16</v>
      </c>
      <c r="AU102" s="37">
        <v>0.0</v>
      </c>
      <c r="AV102" s="38">
        <f t="shared" ref="AV102:AW102" si="107">(AT102/7)</f>
        <v>0.02285714286</v>
      </c>
      <c r="AW102" s="38">
        <f t="shared" si="107"/>
        <v>0</v>
      </c>
    </row>
    <row r="103" ht="14.25" customHeight="1">
      <c r="AQ103" s="31">
        <v>6856.0</v>
      </c>
      <c r="AR103" s="31" t="s">
        <v>37</v>
      </c>
      <c r="AS103" s="31">
        <v>6856.0</v>
      </c>
      <c r="AT103" s="31">
        <v>0.15</v>
      </c>
      <c r="AU103" s="37">
        <v>0.0</v>
      </c>
      <c r="AV103" s="38">
        <f t="shared" ref="AV103:AW103" si="108">(AT103/7)</f>
        <v>0.02142857143</v>
      </c>
      <c r="AW103" s="38">
        <f t="shared" si="108"/>
        <v>0</v>
      </c>
    </row>
    <row r="104" ht="14.25" customHeight="1">
      <c r="AQ104" s="31">
        <v>7569.0</v>
      </c>
      <c r="AR104" s="31" t="s">
        <v>34</v>
      </c>
      <c r="AS104" s="31">
        <v>7569.0</v>
      </c>
      <c r="AT104" s="31">
        <v>1.0</v>
      </c>
      <c r="AU104" s="37">
        <v>0.0</v>
      </c>
      <c r="AV104" s="38">
        <f t="shared" ref="AV104:AW104" si="109">(AT104/7)</f>
        <v>0.1428571429</v>
      </c>
      <c r="AW104" s="38">
        <f t="shared" si="109"/>
        <v>0</v>
      </c>
    </row>
    <row r="105" ht="14.25" customHeight="1">
      <c r="AQ105" s="31">
        <v>6955.0</v>
      </c>
      <c r="AR105" s="31" t="s">
        <v>163</v>
      </c>
      <c r="AS105" s="31">
        <v>6955.0</v>
      </c>
      <c r="AT105" s="31">
        <v>0.17</v>
      </c>
      <c r="AU105" s="37">
        <v>0.0</v>
      </c>
      <c r="AV105" s="38">
        <f t="shared" ref="AV105:AW105" si="110">(AT105/7)</f>
        <v>0.02428571429</v>
      </c>
      <c r="AW105" s="38">
        <f t="shared" si="110"/>
        <v>0</v>
      </c>
    </row>
    <row r="106" ht="14.25" customHeight="1">
      <c r="AV106" s="43"/>
      <c r="AW106" s="43"/>
    </row>
    <row r="107" ht="14.25" customHeight="1">
      <c r="AV107" s="43"/>
      <c r="AW107" s="43"/>
    </row>
    <row r="108" ht="14.25" customHeight="1">
      <c r="AV108" s="43"/>
      <c r="AW108" s="43"/>
    </row>
    <row r="109" ht="14.25" customHeight="1">
      <c r="AV109" s="43"/>
      <c r="AW109" s="43"/>
    </row>
    <row r="110" ht="14.25" customHeight="1">
      <c r="AV110" s="43"/>
      <c r="AW110" s="43"/>
    </row>
    <row r="111" ht="14.25" customHeight="1">
      <c r="AV111" s="43"/>
      <c r="AW111" s="43"/>
    </row>
    <row r="112" ht="14.25" customHeight="1">
      <c r="AV112" s="43"/>
      <c r="AW112" s="43"/>
    </row>
    <row r="113" ht="14.25" customHeight="1">
      <c r="AV113" s="43"/>
      <c r="AW113" s="43"/>
    </row>
    <row r="114" ht="14.25" customHeight="1">
      <c r="AV114" s="43"/>
      <c r="AW114" s="43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Q$2:$AW$2">
    <sortState ref="AQ2:AW2">
      <sortCondition descending="1" ref="AU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4.43"/>
    <col customWidth="1" min="7" max="7" width="6.57"/>
    <col customWidth="1" min="8" max="8" width="61.57"/>
  </cols>
  <sheetData>
    <row r="1">
      <c r="A1" s="44" t="s">
        <v>263</v>
      </c>
      <c r="B1" s="45"/>
      <c r="C1" s="45"/>
      <c r="D1" s="46"/>
      <c r="E1" s="47"/>
      <c r="F1" s="48" t="s">
        <v>264</v>
      </c>
      <c r="G1" s="45"/>
      <c r="H1" s="45"/>
      <c r="I1" s="46"/>
      <c r="J1" s="49"/>
      <c r="K1" s="50" t="s">
        <v>265</v>
      </c>
      <c r="L1" s="45"/>
      <c r="M1" s="45"/>
      <c r="N1" s="46"/>
      <c r="O1" s="49"/>
      <c r="P1" s="51" t="s">
        <v>266</v>
      </c>
      <c r="Q1" s="45"/>
      <c r="R1" s="45"/>
      <c r="S1" s="46"/>
      <c r="T1" s="49"/>
      <c r="U1" s="52" t="s">
        <v>267</v>
      </c>
      <c r="V1" s="45"/>
      <c r="W1" s="45"/>
      <c r="X1" s="46"/>
      <c r="Y1" s="49"/>
      <c r="Z1" s="53" t="s">
        <v>5</v>
      </c>
      <c r="AA1" s="45"/>
      <c r="AB1" s="45"/>
      <c r="AC1" s="46"/>
      <c r="AD1" s="49"/>
      <c r="AE1" s="54" t="s">
        <v>6</v>
      </c>
      <c r="AF1" s="45"/>
      <c r="AG1" s="45"/>
      <c r="AH1" s="46"/>
      <c r="AI1" s="55"/>
      <c r="AJ1" s="56" t="s">
        <v>8</v>
      </c>
      <c r="AK1" s="57" t="s">
        <v>268</v>
      </c>
      <c r="AL1" s="57" t="s">
        <v>10</v>
      </c>
      <c r="AM1" s="58" t="s">
        <v>269</v>
      </c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</row>
    <row r="2">
      <c r="A2" s="59" t="s">
        <v>270</v>
      </c>
      <c r="B2" s="60" t="s">
        <v>271</v>
      </c>
      <c r="C2" s="61" t="s">
        <v>272</v>
      </c>
      <c r="D2" s="62" t="s">
        <v>273</v>
      </c>
      <c r="E2" s="63"/>
      <c r="F2" s="64" t="s">
        <v>270</v>
      </c>
      <c r="G2" s="65" t="s">
        <v>271</v>
      </c>
      <c r="H2" s="66" t="s">
        <v>272</v>
      </c>
      <c r="I2" s="67" t="s">
        <v>273</v>
      </c>
      <c r="J2" s="68"/>
      <c r="K2" s="69" t="s">
        <v>270</v>
      </c>
      <c r="L2" s="70" t="s">
        <v>271</v>
      </c>
      <c r="M2" s="71" t="s">
        <v>272</v>
      </c>
      <c r="N2" s="72" t="s">
        <v>273</v>
      </c>
      <c r="O2" s="68"/>
      <c r="P2" s="73" t="s">
        <v>270</v>
      </c>
      <c r="Q2" s="74" t="s">
        <v>271</v>
      </c>
      <c r="R2" s="75" t="s">
        <v>272</v>
      </c>
      <c r="S2" s="76" t="s">
        <v>273</v>
      </c>
      <c r="T2" s="68"/>
      <c r="U2" s="77" t="s">
        <v>270</v>
      </c>
      <c r="V2" s="78" t="s">
        <v>271</v>
      </c>
      <c r="W2" s="79" t="s">
        <v>272</v>
      </c>
      <c r="X2" s="80" t="s">
        <v>273</v>
      </c>
      <c r="Y2" s="68"/>
      <c r="Z2" s="81" t="s">
        <v>270</v>
      </c>
      <c r="AA2" s="82" t="s">
        <v>271</v>
      </c>
      <c r="AB2" s="83" t="s">
        <v>272</v>
      </c>
      <c r="AC2" s="84" t="s">
        <v>273</v>
      </c>
      <c r="AD2" s="68"/>
      <c r="AE2" s="85" t="s">
        <v>270</v>
      </c>
      <c r="AF2" s="86" t="s">
        <v>271</v>
      </c>
      <c r="AG2" s="87" t="s">
        <v>272</v>
      </c>
      <c r="AH2" s="88" t="s">
        <v>273</v>
      </c>
      <c r="AI2" s="55"/>
      <c r="AJ2" s="89" t="s">
        <v>274</v>
      </c>
      <c r="AK2" s="90" t="s">
        <v>275</v>
      </c>
      <c r="AL2" s="91">
        <v>93583.0</v>
      </c>
      <c r="AM2" s="92">
        <v>45.9</v>
      </c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</row>
    <row r="3">
      <c r="A3" s="93" t="s">
        <v>276</v>
      </c>
      <c r="B3" s="94">
        <v>7768.0</v>
      </c>
      <c r="C3" s="95" t="s">
        <v>277</v>
      </c>
      <c r="D3" s="96">
        <v>1.0</v>
      </c>
      <c r="E3" s="97"/>
      <c r="F3" s="93" t="s">
        <v>276</v>
      </c>
      <c r="G3" s="94">
        <v>7875.0</v>
      </c>
      <c r="H3" s="98" t="s">
        <v>278</v>
      </c>
      <c r="I3" s="99">
        <v>1.0</v>
      </c>
      <c r="J3" s="55"/>
      <c r="K3" s="93" t="s">
        <v>276</v>
      </c>
      <c r="L3" s="100">
        <v>7673.0</v>
      </c>
      <c r="M3" s="101" t="s">
        <v>279</v>
      </c>
      <c r="N3" s="102">
        <v>1.0</v>
      </c>
      <c r="O3" s="55"/>
      <c r="P3" s="93" t="s">
        <v>276</v>
      </c>
      <c r="Q3" s="103">
        <v>7625.0</v>
      </c>
      <c r="R3" s="104" t="s">
        <v>280</v>
      </c>
      <c r="S3" s="105">
        <v>1.0</v>
      </c>
      <c r="T3" s="55"/>
      <c r="U3" s="93" t="s">
        <v>276</v>
      </c>
      <c r="V3" s="106">
        <v>9362.0</v>
      </c>
      <c r="W3" s="107" t="s">
        <v>281</v>
      </c>
      <c r="X3" s="108">
        <v>1.0</v>
      </c>
      <c r="Y3" s="55"/>
      <c r="Z3" s="93" t="s">
        <v>276</v>
      </c>
      <c r="AA3" s="100">
        <v>7673.0</v>
      </c>
      <c r="AB3" s="101" t="s">
        <v>279</v>
      </c>
      <c r="AC3" s="102">
        <v>1.0</v>
      </c>
      <c r="AD3" s="55"/>
      <c r="AE3" s="109"/>
      <c r="AF3" s="97"/>
      <c r="AG3" s="97"/>
      <c r="AH3" s="110"/>
      <c r="AI3" s="55"/>
      <c r="AJ3" s="89" t="s">
        <v>282</v>
      </c>
      <c r="AK3" s="90" t="s">
        <v>275</v>
      </c>
      <c r="AL3" s="91">
        <v>2893.0</v>
      </c>
      <c r="AM3" s="92">
        <v>26.9</v>
      </c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</row>
    <row r="4">
      <c r="A4" s="111"/>
      <c r="B4" s="94">
        <v>8966.0</v>
      </c>
      <c r="C4" s="95" t="s">
        <v>283</v>
      </c>
      <c r="D4" s="112">
        <v>1.0</v>
      </c>
      <c r="E4" s="97"/>
      <c r="F4" s="111"/>
      <c r="G4" s="94">
        <v>7877.0</v>
      </c>
      <c r="H4" s="98" t="s">
        <v>284</v>
      </c>
      <c r="I4" s="113">
        <v>1.0</v>
      </c>
      <c r="J4" s="55"/>
      <c r="K4" s="111"/>
      <c r="L4" s="100">
        <v>8948.0</v>
      </c>
      <c r="M4" s="101" t="s">
        <v>285</v>
      </c>
      <c r="N4" s="102">
        <v>1.0</v>
      </c>
      <c r="O4" s="55"/>
      <c r="P4" s="111"/>
      <c r="Q4" s="103">
        <v>8491.0</v>
      </c>
      <c r="R4" s="104" t="s">
        <v>286</v>
      </c>
      <c r="S4" s="105">
        <v>1.0</v>
      </c>
      <c r="T4" s="55"/>
      <c r="U4" s="111"/>
      <c r="V4" s="106">
        <v>7874.0</v>
      </c>
      <c r="W4" s="107" t="s">
        <v>287</v>
      </c>
      <c r="X4" s="108">
        <v>1.0</v>
      </c>
      <c r="Y4" s="55"/>
      <c r="Z4" s="111"/>
      <c r="AA4" s="100">
        <v>7660.0</v>
      </c>
      <c r="AB4" s="101" t="s">
        <v>288</v>
      </c>
      <c r="AC4" s="102">
        <v>1.0</v>
      </c>
      <c r="AD4" s="55"/>
      <c r="AE4" s="114" t="s">
        <v>289</v>
      </c>
      <c r="AF4" s="115">
        <v>8480.0</v>
      </c>
      <c r="AG4" s="116" t="s">
        <v>290</v>
      </c>
      <c r="AH4" s="117">
        <v>0.0</v>
      </c>
      <c r="AI4" s="55"/>
      <c r="AJ4" s="89" t="s">
        <v>291</v>
      </c>
      <c r="AK4" s="90" t="s">
        <v>292</v>
      </c>
      <c r="AL4" s="91">
        <v>2353.0</v>
      </c>
      <c r="AM4" s="92">
        <v>0.0</v>
      </c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</row>
    <row r="5">
      <c r="A5" s="118"/>
      <c r="B5" s="119">
        <v>0.0</v>
      </c>
      <c r="C5" s="120" t="s">
        <v>293</v>
      </c>
      <c r="D5" s="121">
        <v>0.0</v>
      </c>
      <c r="E5" s="97"/>
      <c r="F5" s="118"/>
      <c r="G5" s="119">
        <v>7305.0</v>
      </c>
      <c r="H5" s="122" t="s">
        <v>293</v>
      </c>
      <c r="I5" s="123">
        <v>1.0</v>
      </c>
      <c r="J5" s="55"/>
      <c r="K5" s="118"/>
      <c r="L5" s="124">
        <v>0.0</v>
      </c>
      <c r="M5" s="125" t="s">
        <v>293</v>
      </c>
      <c r="N5" s="126">
        <v>1.0</v>
      </c>
      <c r="O5" s="55"/>
      <c r="P5" s="118"/>
      <c r="Q5" s="127">
        <v>0.0</v>
      </c>
      <c r="R5" s="128" t="s">
        <v>293</v>
      </c>
      <c r="S5" s="129">
        <v>1.0</v>
      </c>
      <c r="T5" s="55"/>
      <c r="U5" s="118"/>
      <c r="V5" s="130">
        <v>0.0</v>
      </c>
      <c r="W5" s="131" t="s">
        <v>293</v>
      </c>
      <c r="X5" s="132">
        <v>1.0</v>
      </c>
      <c r="Y5" s="55"/>
      <c r="Z5" s="118"/>
      <c r="AA5" s="124">
        <v>7305.0</v>
      </c>
      <c r="AB5" s="125" t="s">
        <v>293</v>
      </c>
      <c r="AC5" s="126">
        <v>1.0</v>
      </c>
      <c r="AD5" s="55"/>
      <c r="AE5" s="111"/>
      <c r="AF5" s="115">
        <v>8321.0</v>
      </c>
      <c r="AG5" s="116" t="s">
        <v>294</v>
      </c>
      <c r="AH5" s="117">
        <v>0.0</v>
      </c>
      <c r="AI5" s="55"/>
      <c r="AJ5" s="89" t="s">
        <v>295</v>
      </c>
      <c r="AK5" s="90" t="s">
        <v>292</v>
      </c>
      <c r="AL5" s="91">
        <v>5877.0</v>
      </c>
      <c r="AM5" s="92">
        <v>0.0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</row>
    <row r="6">
      <c r="A6" s="109"/>
      <c r="B6" s="97"/>
      <c r="C6" s="97"/>
      <c r="D6" s="110"/>
      <c r="E6" s="97"/>
      <c r="F6" s="109"/>
      <c r="G6" s="97"/>
      <c r="H6" s="97"/>
      <c r="I6" s="110"/>
      <c r="J6" s="133"/>
      <c r="K6" s="109"/>
      <c r="L6" s="97"/>
      <c r="M6" s="97"/>
      <c r="N6" s="110"/>
      <c r="O6" s="133"/>
      <c r="P6" s="109"/>
      <c r="Q6" s="97"/>
      <c r="R6" s="97"/>
      <c r="S6" s="110"/>
      <c r="T6" s="133"/>
      <c r="U6" s="109"/>
      <c r="V6" s="97"/>
      <c r="W6" s="97"/>
      <c r="X6" s="110"/>
      <c r="Y6" s="133"/>
      <c r="Z6" s="109"/>
      <c r="AA6" s="97"/>
      <c r="AB6" s="97"/>
      <c r="AC6" s="110"/>
      <c r="AD6" s="133"/>
      <c r="AE6" s="111"/>
      <c r="AF6" s="134">
        <v>8400.0</v>
      </c>
      <c r="AG6" s="135" t="s">
        <v>296</v>
      </c>
      <c r="AH6" s="136">
        <v>0.0</v>
      </c>
      <c r="AI6" s="55"/>
      <c r="AJ6" s="89" t="s">
        <v>297</v>
      </c>
      <c r="AK6" s="90" t="s">
        <v>292</v>
      </c>
      <c r="AL6" s="91">
        <v>2028.0</v>
      </c>
      <c r="AM6" s="92">
        <v>0.0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</row>
    <row r="7">
      <c r="A7" s="137" t="s">
        <v>298</v>
      </c>
      <c r="B7" s="138">
        <v>8480.0</v>
      </c>
      <c r="C7" s="95" t="s">
        <v>290</v>
      </c>
      <c r="D7" s="96">
        <v>0.35</v>
      </c>
      <c r="E7" s="97"/>
      <c r="F7" s="137" t="s">
        <v>298</v>
      </c>
      <c r="G7" s="138">
        <v>8480.0</v>
      </c>
      <c r="H7" s="95" t="s">
        <v>290</v>
      </c>
      <c r="I7" s="96">
        <v>0.35</v>
      </c>
      <c r="J7" s="55"/>
      <c r="K7" s="137" t="s">
        <v>298</v>
      </c>
      <c r="L7" s="139">
        <v>8480.0</v>
      </c>
      <c r="M7" s="101" t="s">
        <v>290</v>
      </c>
      <c r="N7" s="102">
        <v>0.35</v>
      </c>
      <c r="O7" s="55"/>
      <c r="P7" s="137" t="s">
        <v>298</v>
      </c>
      <c r="Q7" s="140">
        <v>8480.0</v>
      </c>
      <c r="R7" s="104" t="s">
        <v>290</v>
      </c>
      <c r="S7" s="105">
        <v>0.35</v>
      </c>
      <c r="T7" s="55"/>
      <c r="U7" s="137" t="s">
        <v>298</v>
      </c>
      <c r="V7" s="141">
        <v>8480.0</v>
      </c>
      <c r="W7" s="107" t="s">
        <v>290</v>
      </c>
      <c r="X7" s="108">
        <v>0.35</v>
      </c>
      <c r="Y7" s="55"/>
      <c r="Z7" s="137" t="s">
        <v>298</v>
      </c>
      <c r="AA7" s="139">
        <v>8900.0</v>
      </c>
      <c r="AB7" s="101" t="s">
        <v>299</v>
      </c>
      <c r="AC7" s="102">
        <v>0.35</v>
      </c>
      <c r="AD7" s="55"/>
      <c r="AE7" s="118"/>
      <c r="AF7" s="142">
        <v>9020.0</v>
      </c>
      <c r="AG7" s="135" t="s">
        <v>293</v>
      </c>
      <c r="AH7" s="143">
        <v>0.0</v>
      </c>
      <c r="AI7" s="55"/>
      <c r="AJ7" s="89" t="s">
        <v>300</v>
      </c>
      <c r="AK7" s="90" t="s">
        <v>275</v>
      </c>
      <c r="AL7" s="91">
        <v>356077.0</v>
      </c>
      <c r="AM7" s="92">
        <v>10.0</v>
      </c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</row>
    <row r="8">
      <c r="A8" s="144"/>
      <c r="B8" s="138">
        <v>93626.0</v>
      </c>
      <c r="C8" s="95" t="s">
        <v>301</v>
      </c>
      <c r="D8" s="96">
        <v>0.35</v>
      </c>
      <c r="E8" s="97"/>
      <c r="F8" s="144"/>
      <c r="G8" s="138">
        <v>8442.0</v>
      </c>
      <c r="H8" s="95" t="s">
        <v>302</v>
      </c>
      <c r="I8" s="96">
        <v>0.35</v>
      </c>
      <c r="J8" s="55"/>
      <c r="K8" s="144"/>
      <c r="L8" s="139">
        <v>8321.0</v>
      </c>
      <c r="M8" s="101" t="s">
        <v>294</v>
      </c>
      <c r="N8" s="102">
        <v>1.0</v>
      </c>
      <c r="O8" s="55"/>
      <c r="P8" s="144"/>
      <c r="Q8" s="140">
        <v>8321.0</v>
      </c>
      <c r="R8" s="104" t="s">
        <v>294</v>
      </c>
      <c r="S8" s="105">
        <v>1.0</v>
      </c>
      <c r="T8" s="55"/>
      <c r="U8" s="144"/>
      <c r="V8" s="141">
        <v>8321.0</v>
      </c>
      <c r="W8" s="107" t="s">
        <v>294</v>
      </c>
      <c r="X8" s="108">
        <v>1.0</v>
      </c>
      <c r="Y8" s="55"/>
      <c r="Z8" s="144"/>
      <c r="AA8" s="139">
        <v>8480.0</v>
      </c>
      <c r="AB8" s="101" t="s">
        <v>290</v>
      </c>
      <c r="AC8" s="102">
        <v>0.35</v>
      </c>
      <c r="AD8" s="55"/>
      <c r="AE8" s="145"/>
      <c r="AF8" s="97"/>
      <c r="AG8" s="97"/>
      <c r="AH8" s="110"/>
      <c r="AI8" s="55"/>
      <c r="AJ8" s="89" t="s">
        <v>303</v>
      </c>
      <c r="AK8" s="90" t="s">
        <v>292</v>
      </c>
      <c r="AL8" s="91">
        <v>7337.0</v>
      </c>
      <c r="AM8" s="92">
        <v>69.9</v>
      </c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</row>
    <row r="9">
      <c r="A9" s="146"/>
      <c r="B9" s="147">
        <v>0.0</v>
      </c>
      <c r="C9" s="120" t="s">
        <v>293</v>
      </c>
      <c r="D9" s="121">
        <v>0.35</v>
      </c>
      <c r="E9" s="97"/>
      <c r="F9" s="146"/>
      <c r="G9" s="147">
        <v>9019.0</v>
      </c>
      <c r="H9" s="95" t="s">
        <v>293</v>
      </c>
      <c r="I9" s="121">
        <v>0.0</v>
      </c>
      <c r="J9" s="55"/>
      <c r="K9" s="146"/>
      <c r="L9" s="148">
        <v>9019.0</v>
      </c>
      <c r="M9" s="125" t="s">
        <v>293</v>
      </c>
      <c r="N9" s="126">
        <v>0.0</v>
      </c>
      <c r="O9" s="55"/>
      <c r="P9" s="146"/>
      <c r="Q9" s="149">
        <v>0.0</v>
      </c>
      <c r="R9" s="128" t="s">
        <v>293</v>
      </c>
      <c r="S9" s="129">
        <v>1.0</v>
      </c>
      <c r="T9" s="55"/>
      <c r="U9" s="146"/>
      <c r="V9" s="150">
        <v>0.0</v>
      </c>
      <c r="W9" s="131" t="s">
        <v>293</v>
      </c>
      <c r="X9" s="132">
        <v>0.35</v>
      </c>
      <c r="Y9" s="55"/>
      <c r="Z9" s="146"/>
      <c r="AA9" s="148">
        <v>8321.0</v>
      </c>
      <c r="AB9" s="125" t="s">
        <v>294</v>
      </c>
      <c r="AC9" s="126">
        <v>1.0</v>
      </c>
      <c r="AD9" s="55"/>
      <c r="AE9" s="114" t="s">
        <v>304</v>
      </c>
      <c r="AF9" s="134">
        <v>8037.0</v>
      </c>
      <c r="AG9" s="116" t="s">
        <v>305</v>
      </c>
      <c r="AH9" s="136">
        <v>0.0</v>
      </c>
      <c r="AI9" s="55"/>
      <c r="AJ9" s="89" t="s">
        <v>306</v>
      </c>
      <c r="AK9" s="90" t="s">
        <v>292</v>
      </c>
      <c r="AL9" s="91">
        <v>6911.0</v>
      </c>
      <c r="AM9" s="92">
        <v>10.0</v>
      </c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</row>
    <row r="10">
      <c r="A10" s="145"/>
      <c r="B10" s="97"/>
      <c r="C10" s="97"/>
      <c r="D10" s="110"/>
      <c r="E10" s="97"/>
      <c r="F10" s="145"/>
      <c r="G10" s="97"/>
      <c r="H10" s="97"/>
      <c r="I10" s="110"/>
      <c r="J10" s="55"/>
      <c r="K10" s="145"/>
      <c r="L10" s="97"/>
      <c r="M10" s="97"/>
      <c r="N10" s="110"/>
      <c r="O10" s="55"/>
      <c r="P10" s="145"/>
      <c r="Q10" s="97"/>
      <c r="R10" s="97"/>
      <c r="S10" s="110"/>
      <c r="T10" s="55"/>
      <c r="U10" s="145"/>
      <c r="V10" s="97"/>
      <c r="W10" s="97"/>
      <c r="X10" s="110"/>
      <c r="Y10" s="55"/>
      <c r="Z10" s="145"/>
      <c r="AA10" s="97"/>
      <c r="AB10" s="97"/>
      <c r="AC10" s="110"/>
      <c r="AD10" s="55"/>
      <c r="AE10" s="111"/>
      <c r="AF10" s="142">
        <v>8023.0</v>
      </c>
      <c r="AG10" s="116" t="s">
        <v>307</v>
      </c>
      <c r="AH10" s="143">
        <v>0.0</v>
      </c>
      <c r="AI10" s="55"/>
      <c r="AJ10" s="89" t="s">
        <v>308</v>
      </c>
      <c r="AK10" s="90" t="s">
        <v>309</v>
      </c>
      <c r="AL10" s="91">
        <v>6270.0</v>
      </c>
      <c r="AM10" s="92">
        <v>2.45</v>
      </c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</row>
    <row r="11">
      <c r="A11" s="114" t="s">
        <v>304</v>
      </c>
      <c r="B11" s="119">
        <v>8028.0</v>
      </c>
      <c r="C11" s="120" t="s">
        <v>310</v>
      </c>
      <c r="D11" s="121">
        <v>0.12</v>
      </c>
      <c r="E11" s="97"/>
      <c r="F11" s="114" t="s">
        <v>304</v>
      </c>
      <c r="G11" s="119">
        <v>8028.0</v>
      </c>
      <c r="H11" s="98" t="s">
        <v>310</v>
      </c>
      <c r="I11" s="123">
        <v>0.12</v>
      </c>
      <c r="J11" s="55"/>
      <c r="K11" s="114" t="s">
        <v>304</v>
      </c>
      <c r="L11" s="124">
        <v>8028.0</v>
      </c>
      <c r="M11" s="101" t="s">
        <v>310</v>
      </c>
      <c r="N11" s="126">
        <v>0.12</v>
      </c>
      <c r="O11" s="55"/>
      <c r="P11" s="114" t="s">
        <v>304</v>
      </c>
      <c r="Q11" s="127">
        <v>8028.0</v>
      </c>
      <c r="R11" s="104" t="s">
        <v>310</v>
      </c>
      <c r="S11" s="129">
        <v>0.15</v>
      </c>
      <c r="T11" s="55"/>
      <c r="U11" s="114" t="s">
        <v>304</v>
      </c>
      <c r="V11" s="130">
        <v>8028.0</v>
      </c>
      <c r="W11" s="107" t="s">
        <v>310</v>
      </c>
      <c r="X11" s="132">
        <v>0.12</v>
      </c>
      <c r="Y11" s="55"/>
      <c r="Z11" s="114" t="s">
        <v>304</v>
      </c>
      <c r="AA11" s="124">
        <v>8028.0</v>
      </c>
      <c r="AB11" s="101" t="s">
        <v>310</v>
      </c>
      <c r="AC11" s="126">
        <v>0.12</v>
      </c>
      <c r="AD11" s="55"/>
      <c r="AE11" s="118"/>
      <c r="AF11" s="142">
        <v>0.0</v>
      </c>
      <c r="AG11" s="135" t="s">
        <v>293</v>
      </c>
      <c r="AH11" s="143">
        <v>0.0</v>
      </c>
      <c r="AI11" s="55"/>
      <c r="AJ11" s="89" t="s">
        <v>311</v>
      </c>
      <c r="AK11" s="90" t="s">
        <v>292</v>
      </c>
      <c r="AL11" s="91">
        <v>6272.0</v>
      </c>
      <c r="AM11" s="92">
        <v>37.95</v>
      </c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</row>
    <row r="12">
      <c r="A12" s="118"/>
      <c r="B12" s="151">
        <v>0.0</v>
      </c>
      <c r="C12" s="152" t="s">
        <v>293</v>
      </c>
      <c r="D12" s="153">
        <v>0.0</v>
      </c>
      <c r="E12" s="97"/>
      <c r="F12" s="118"/>
      <c r="G12" s="151">
        <v>346.0</v>
      </c>
      <c r="H12" s="122" t="s">
        <v>293</v>
      </c>
      <c r="I12" s="154">
        <v>0.0</v>
      </c>
      <c r="J12" s="55"/>
      <c r="K12" s="118"/>
      <c r="L12" s="155">
        <v>346.0</v>
      </c>
      <c r="M12" s="125" t="s">
        <v>293</v>
      </c>
      <c r="N12" s="156">
        <v>0.0</v>
      </c>
      <c r="O12" s="55"/>
      <c r="P12" s="118"/>
      <c r="Q12" s="157">
        <v>0.0</v>
      </c>
      <c r="R12" s="128" t="s">
        <v>293</v>
      </c>
      <c r="S12" s="158">
        <v>1.0</v>
      </c>
      <c r="T12" s="55"/>
      <c r="U12" s="118"/>
      <c r="V12" s="159">
        <v>0.0</v>
      </c>
      <c r="W12" s="131" t="s">
        <v>293</v>
      </c>
      <c r="X12" s="160">
        <v>1.0</v>
      </c>
      <c r="Y12" s="55"/>
      <c r="Z12" s="118"/>
      <c r="AA12" s="155">
        <v>346.0</v>
      </c>
      <c r="AB12" s="125" t="s">
        <v>293</v>
      </c>
      <c r="AC12" s="156">
        <v>0.0</v>
      </c>
      <c r="AD12" s="55"/>
      <c r="AE12" s="161"/>
      <c r="AF12" s="97"/>
      <c r="AG12" s="97"/>
      <c r="AH12" s="110"/>
      <c r="AI12" s="55"/>
      <c r="AJ12" s="89" t="s">
        <v>312</v>
      </c>
      <c r="AK12" s="90" t="s">
        <v>309</v>
      </c>
      <c r="AL12" s="91">
        <v>6268.0</v>
      </c>
      <c r="AM12" s="92">
        <v>5.0</v>
      </c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</row>
    <row r="13">
      <c r="A13" s="109"/>
      <c r="B13" s="97"/>
      <c r="C13" s="97"/>
      <c r="D13" s="110"/>
      <c r="E13" s="97"/>
      <c r="F13" s="109"/>
      <c r="G13" s="97"/>
      <c r="H13" s="97"/>
      <c r="I13" s="110"/>
      <c r="J13" s="162"/>
      <c r="K13" s="109"/>
      <c r="L13" s="97"/>
      <c r="M13" s="97"/>
      <c r="N13" s="110"/>
      <c r="O13" s="162"/>
      <c r="P13" s="109"/>
      <c r="Q13" s="97"/>
      <c r="R13" s="97"/>
      <c r="S13" s="110"/>
      <c r="T13" s="162"/>
      <c r="U13" s="109"/>
      <c r="V13" s="97"/>
      <c r="W13" s="97"/>
      <c r="X13" s="110"/>
      <c r="Y13" s="162"/>
      <c r="Z13" s="109"/>
      <c r="AA13" s="97"/>
      <c r="AB13" s="97"/>
      <c r="AC13" s="110"/>
      <c r="AD13" s="162"/>
      <c r="AE13" s="114" t="s">
        <v>313</v>
      </c>
      <c r="AF13" s="117">
        <v>6857.0</v>
      </c>
      <c r="AG13" s="163" t="s">
        <v>314</v>
      </c>
      <c r="AH13" s="117">
        <v>0.0</v>
      </c>
      <c r="AI13" s="55"/>
      <c r="AJ13" s="89" t="s">
        <v>315</v>
      </c>
      <c r="AK13" s="90" t="s">
        <v>292</v>
      </c>
      <c r="AL13" s="91">
        <v>7581.0</v>
      </c>
      <c r="AM13" s="92">
        <v>59.9</v>
      </c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</row>
    <row r="14">
      <c r="A14" s="114" t="s">
        <v>316</v>
      </c>
      <c r="B14" s="94">
        <v>8328.0</v>
      </c>
      <c r="C14" s="95" t="s">
        <v>317</v>
      </c>
      <c r="D14" s="112">
        <v>0.18</v>
      </c>
      <c r="E14" s="97"/>
      <c r="F14" s="114" t="s">
        <v>316</v>
      </c>
      <c r="G14" s="94">
        <v>8328.0</v>
      </c>
      <c r="H14" s="95" t="s">
        <v>317</v>
      </c>
      <c r="I14" s="112">
        <v>0.18</v>
      </c>
      <c r="J14" s="55"/>
      <c r="K14" s="114" t="s">
        <v>316</v>
      </c>
      <c r="L14" s="100">
        <v>8328.0</v>
      </c>
      <c r="M14" s="101" t="s">
        <v>317</v>
      </c>
      <c r="N14" s="102">
        <v>0.18</v>
      </c>
      <c r="O14" s="55"/>
      <c r="P14" s="114" t="s">
        <v>316</v>
      </c>
      <c r="Q14" s="103">
        <v>8328.0</v>
      </c>
      <c r="R14" s="104" t="s">
        <v>317</v>
      </c>
      <c r="S14" s="105">
        <v>0.15</v>
      </c>
      <c r="T14" s="55"/>
      <c r="U14" s="114" t="s">
        <v>316</v>
      </c>
      <c r="V14" s="106">
        <v>8328.0</v>
      </c>
      <c r="W14" s="107" t="s">
        <v>317</v>
      </c>
      <c r="X14" s="108">
        <v>0.18</v>
      </c>
      <c r="Y14" s="55"/>
      <c r="Z14" s="114" t="s">
        <v>316</v>
      </c>
      <c r="AA14" s="100">
        <v>8328.0</v>
      </c>
      <c r="AB14" s="101" t="s">
        <v>317</v>
      </c>
      <c r="AC14" s="102">
        <v>0.18</v>
      </c>
      <c r="AD14" s="55"/>
      <c r="AE14" s="111"/>
      <c r="AF14" s="164">
        <v>8482.0</v>
      </c>
      <c r="AG14" s="163" t="s">
        <v>318</v>
      </c>
      <c r="AH14" s="136">
        <v>0.0</v>
      </c>
      <c r="AI14" s="55"/>
      <c r="AJ14" s="89" t="s">
        <v>319</v>
      </c>
      <c r="AK14" s="90" t="s">
        <v>292</v>
      </c>
      <c r="AL14" s="91">
        <v>3361.0</v>
      </c>
      <c r="AM14" s="92">
        <v>0.0</v>
      </c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</row>
    <row r="15">
      <c r="A15" s="118"/>
      <c r="B15" s="119">
        <v>10.0</v>
      </c>
      <c r="C15" s="120" t="s">
        <v>293</v>
      </c>
      <c r="D15" s="121">
        <v>0.0</v>
      </c>
      <c r="E15" s="97"/>
      <c r="F15" s="118"/>
      <c r="G15" s="119">
        <v>0.0</v>
      </c>
      <c r="H15" s="95" t="s">
        <v>293</v>
      </c>
      <c r="I15" s="121">
        <v>0.0</v>
      </c>
      <c r="J15" s="55"/>
      <c r="K15" s="118"/>
      <c r="L15" s="124">
        <v>0.0</v>
      </c>
      <c r="M15" s="125" t="s">
        <v>293</v>
      </c>
      <c r="N15" s="126">
        <v>0.0</v>
      </c>
      <c r="O15" s="55"/>
      <c r="P15" s="118"/>
      <c r="Q15" s="127">
        <v>0.0</v>
      </c>
      <c r="R15" s="128" t="s">
        <v>293</v>
      </c>
      <c r="S15" s="129">
        <v>0.0</v>
      </c>
      <c r="T15" s="55"/>
      <c r="U15" s="118"/>
      <c r="V15" s="130">
        <v>0.0</v>
      </c>
      <c r="W15" s="131" t="s">
        <v>293</v>
      </c>
      <c r="X15" s="132">
        <v>0.0</v>
      </c>
      <c r="Y15" s="55"/>
      <c r="Z15" s="118"/>
      <c r="AA15" s="124">
        <v>8336.0</v>
      </c>
      <c r="AB15" s="125" t="s">
        <v>320</v>
      </c>
      <c r="AC15" s="126">
        <v>0.35</v>
      </c>
      <c r="AD15" s="55"/>
      <c r="AE15" s="118"/>
      <c r="AF15" s="164">
        <v>1.0</v>
      </c>
      <c r="AG15" s="135" t="s">
        <v>293</v>
      </c>
      <c r="AH15" s="143">
        <v>0.0</v>
      </c>
      <c r="AI15" s="55"/>
      <c r="AJ15" s="89" t="s">
        <v>321</v>
      </c>
      <c r="AK15" s="90" t="s">
        <v>292</v>
      </c>
      <c r="AL15" s="91">
        <v>7570.0</v>
      </c>
      <c r="AM15" s="92">
        <v>149.9</v>
      </c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</row>
    <row r="16">
      <c r="A16" s="109"/>
      <c r="B16" s="97"/>
      <c r="C16" s="97"/>
      <c r="D16" s="110"/>
      <c r="E16" s="97"/>
      <c r="F16" s="109"/>
      <c r="G16" s="97"/>
      <c r="H16" s="97"/>
      <c r="I16" s="165">
        <v>0.0</v>
      </c>
      <c r="J16" s="55"/>
      <c r="K16" s="109"/>
      <c r="L16" s="97"/>
      <c r="M16" s="97"/>
      <c r="N16" s="110"/>
      <c r="O16" s="55"/>
      <c r="P16" s="109"/>
      <c r="Q16" s="97"/>
      <c r="R16" s="97"/>
      <c r="S16" s="110"/>
      <c r="T16" s="55"/>
      <c r="U16" s="109"/>
      <c r="V16" s="97"/>
      <c r="W16" s="97"/>
      <c r="X16" s="110"/>
      <c r="Y16" s="55"/>
      <c r="Z16" s="109"/>
      <c r="AA16" s="97"/>
      <c r="AB16" s="97"/>
      <c r="AC16" s="110"/>
      <c r="AD16" s="55"/>
      <c r="AE16" s="109"/>
      <c r="AF16" s="97"/>
      <c r="AG16" s="97"/>
      <c r="AH16" s="110"/>
      <c r="AI16" s="55"/>
      <c r="AJ16" s="89" t="s">
        <v>322</v>
      </c>
      <c r="AK16" s="90" t="s">
        <v>292</v>
      </c>
      <c r="AL16" s="91">
        <v>9177.0</v>
      </c>
      <c r="AM16" s="92">
        <v>1.69</v>
      </c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</row>
    <row r="17">
      <c r="A17" s="114" t="s">
        <v>323</v>
      </c>
      <c r="B17" s="94">
        <v>8089.0</v>
      </c>
      <c r="C17" s="95" t="s">
        <v>324</v>
      </c>
      <c r="D17" s="96">
        <v>0.15</v>
      </c>
      <c r="E17" s="97"/>
      <c r="F17" s="114" t="s">
        <v>323</v>
      </c>
      <c r="G17" s="94">
        <v>8080.0</v>
      </c>
      <c r="H17" s="98" t="s">
        <v>325</v>
      </c>
      <c r="I17" s="99">
        <v>0.12</v>
      </c>
      <c r="J17" s="55"/>
      <c r="K17" s="114" t="s">
        <v>323</v>
      </c>
      <c r="L17" s="100">
        <v>8292.0</v>
      </c>
      <c r="M17" s="101" t="s">
        <v>326</v>
      </c>
      <c r="N17" s="102">
        <v>0.15</v>
      </c>
      <c r="O17" s="55"/>
      <c r="P17" s="114" t="s">
        <v>323</v>
      </c>
      <c r="Q17" s="103">
        <v>8598.0</v>
      </c>
      <c r="R17" s="104" t="s">
        <v>327</v>
      </c>
      <c r="S17" s="105">
        <v>0.15</v>
      </c>
      <c r="T17" s="55"/>
      <c r="U17" s="114" t="s">
        <v>323</v>
      </c>
      <c r="V17" s="106">
        <v>8279.0</v>
      </c>
      <c r="W17" s="107" t="s">
        <v>328</v>
      </c>
      <c r="X17" s="108">
        <v>0.15</v>
      </c>
      <c r="Y17" s="55"/>
      <c r="Z17" s="114" t="s">
        <v>323</v>
      </c>
      <c r="AA17" s="100">
        <v>8292.0</v>
      </c>
      <c r="AB17" s="101" t="s">
        <v>326</v>
      </c>
      <c r="AC17" s="102">
        <v>0.15</v>
      </c>
      <c r="AD17" s="55"/>
      <c r="AE17" s="114" t="s">
        <v>323</v>
      </c>
      <c r="AF17" s="115">
        <v>6873.0</v>
      </c>
      <c r="AG17" s="116" t="s">
        <v>329</v>
      </c>
      <c r="AH17" s="117">
        <v>0.0</v>
      </c>
      <c r="AI17" s="55"/>
      <c r="AJ17" s="89" t="s">
        <v>330</v>
      </c>
      <c r="AK17" s="90" t="s">
        <v>292</v>
      </c>
      <c r="AL17" s="91">
        <v>9167.0</v>
      </c>
      <c r="AM17" s="92">
        <v>8.1</v>
      </c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</row>
    <row r="18">
      <c r="A18" s="111"/>
      <c r="B18" s="119">
        <v>8598.0</v>
      </c>
      <c r="C18" s="120" t="s">
        <v>327</v>
      </c>
      <c r="D18" s="112">
        <v>0.15</v>
      </c>
      <c r="E18" s="97"/>
      <c r="F18" s="111"/>
      <c r="G18" s="119">
        <v>8089.0</v>
      </c>
      <c r="H18" s="98" t="s">
        <v>324</v>
      </c>
      <c r="I18" s="113">
        <v>0.12</v>
      </c>
      <c r="J18" s="55"/>
      <c r="K18" s="111"/>
      <c r="L18" s="124">
        <v>8391.0</v>
      </c>
      <c r="M18" s="101" t="s">
        <v>331</v>
      </c>
      <c r="N18" s="102">
        <v>0.08</v>
      </c>
      <c r="O18" s="55"/>
      <c r="P18" s="111"/>
      <c r="Q18" s="127">
        <v>8080.0</v>
      </c>
      <c r="R18" s="104" t="s">
        <v>325</v>
      </c>
      <c r="S18" s="105">
        <v>0.12</v>
      </c>
      <c r="T18" s="55"/>
      <c r="U18" s="111"/>
      <c r="V18" s="130">
        <v>8089.0</v>
      </c>
      <c r="W18" s="107" t="s">
        <v>324</v>
      </c>
      <c r="X18" s="108">
        <v>0.15</v>
      </c>
      <c r="Y18" s="55"/>
      <c r="Z18" s="111"/>
      <c r="AA18" s="124">
        <v>8391.0</v>
      </c>
      <c r="AB18" s="101" t="s">
        <v>331</v>
      </c>
      <c r="AC18" s="102">
        <v>0.08</v>
      </c>
      <c r="AD18" s="55"/>
      <c r="AE18" s="111"/>
      <c r="AF18" s="134">
        <v>0.0</v>
      </c>
      <c r="AG18" s="116" t="s">
        <v>293</v>
      </c>
      <c r="AH18" s="117">
        <v>0.0</v>
      </c>
      <c r="AI18" s="55"/>
      <c r="AJ18" s="89" t="s">
        <v>332</v>
      </c>
      <c r="AK18" s="90" t="s">
        <v>292</v>
      </c>
      <c r="AL18" s="91">
        <v>9196.0</v>
      </c>
      <c r="AM18" s="92">
        <v>14.12</v>
      </c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</row>
    <row r="19">
      <c r="A19" s="118"/>
      <c r="B19" s="166">
        <v>8403.0</v>
      </c>
      <c r="C19" s="167" t="s">
        <v>333</v>
      </c>
      <c r="D19" s="166">
        <v>0.15</v>
      </c>
      <c r="E19" s="97"/>
      <c r="F19" s="118"/>
      <c r="G19" s="168">
        <v>8598.0</v>
      </c>
      <c r="H19" s="122" t="s">
        <v>327</v>
      </c>
      <c r="I19" s="169">
        <v>0.12</v>
      </c>
      <c r="J19" s="55"/>
      <c r="K19" s="118"/>
      <c r="L19" s="155">
        <v>8153.0</v>
      </c>
      <c r="M19" s="125" t="s">
        <v>334</v>
      </c>
      <c r="N19" s="126">
        <v>0.08</v>
      </c>
      <c r="O19" s="55"/>
      <c r="P19" s="118"/>
      <c r="Q19" s="157">
        <v>8323.0</v>
      </c>
      <c r="R19" s="128" t="s">
        <v>335</v>
      </c>
      <c r="S19" s="129">
        <v>0.12</v>
      </c>
      <c r="T19" s="55"/>
      <c r="U19" s="118"/>
      <c r="V19" s="159">
        <v>8292.0</v>
      </c>
      <c r="W19" s="131" t="s">
        <v>326</v>
      </c>
      <c r="X19" s="132">
        <v>0.0</v>
      </c>
      <c r="Y19" s="55"/>
      <c r="Z19" s="118"/>
      <c r="AA19" s="155">
        <v>8153.0</v>
      </c>
      <c r="AB19" s="125" t="s">
        <v>334</v>
      </c>
      <c r="AC19" s="126">
        <v>0.1</v>
      </c>
      <c r="AD19" s="55"/>
      <c r="AE19" s="118"/>
      <c r="AF19" s="142">
        <v>0.0</v>
      </c>
      <c r="AG19" s="135" t="s">
        <v>293</v>
      </c>
      <c r="AH19" s="164">
        <v>0.0</v>
      </c>
      <c r="AI19" s="55"/>
      <c r="AJ19" s="89" t="s">
        <v>336</v>
      </c>
      <c r="AK19" s="90" t="s">
        <v>292</v>
      </c>
      <c r="AL19" s="91">
        <v>9197.0</v>
      </c>
      <c r="AM19" s="92">
        <v>4.82</v>
      </c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</row>
    <row r="20">
      <c r="A20" s="170"/>
      <c r="B20" s="97"/>
      <c r="C20" s="97"/>
      <c r="D20" s="110"/>
      <c r="E20" s="97"/>
      <c r="F20" s="170"/>
      <c r="G20" s="97"/>
      <c r="H20" s="97"/>
      <c r="I20" s="110"/>
      <c r="J20" s="55"/>
      <c r="K20" s="170"/>
      <c r="L20" s="97"/>
      <c r="M20" s="97"/>
      <c r="N20" s="110"/>
      <c r="O20" s="55"/>
      <c r="P20" s="170"/>
      <c r="Q20" s="97"/>
      <c r="R20" s="97"/>
      <c r="S20" s="110"/>
      <c r="T20" s="55"/>
      <c r="U20" s="170"/>
      <c r="V20" s="97"/>
      <c r="W20" s="97"/>
      <c r="X20" s="110"/>
      <c r="Y20" s="55"/>
      <c r="Z20" s="170"/>
      <c r="AA20" s="97"/>
      <c r="AB20" s="97"/>
      <c r="AC20" s="110"/>
      <c r="AD20" s="55"/>
      <c r="AE20" s="170"/>
      <c r="AF20" s="97"/>
      <c r="AG20" s="97"/>
      <c r="AH20" s="110"/>
      <c r="AI20" s="55"/>
      <c r="AJ20" s="89" t="s">
        <v>337</v>
      </c>
      <c r="AK20" s="90" t="s">
        <v>292</v>
      </c>
      <c r="AL20" s="91">
        <v>9199.0</v>
      </c>
      <c r="AM20" s="92">
        <v>0.17</v>
      </c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</row>
    <row r="21">
      <c r="A21" s="114" t="s">
        <v>338</v>
      </c>
      <c r="B21" s="94">
        <v>8409.0</v>
      </c>
      <c r="C21" s="95" t="s">
        <v>339</v>
      </c>
      <c r="D21" s="171">
        <v>0.15</v>
      </c>
      <c r="E21" s="97"/>
      <c r="F21" s="114" t="s">
        <v>338</v>
      </c>
      <c r="G21" s="94">
        <v>8491.0</v>
      </c>
      <c r="H21" s="95" t="s">
        <v>286</v>
      </c>
      <c r="I21" s="96">
        <v>0.15</v>
      </c>
      <c r="J21" s="55"/>
      <c r="K21" s="114" t="s">
        <v>338</v>
      </c>
      <c r="L21" s="100">
        <v>8349.0</v>
      </c>
      <c r="M21" s="101" t="s">
        <v>340</v>
      </c>
      <c r="N21" s="126">
        <v>0.15</v>
      </c>
      <c r="O21" s="55"/>
      <c r="P21" s="114" t="s">
        <v>338</v>
      </c>
      <c r="Q21" s="103">
        <v>8804.0</v>
      </c>
      <c r="R21" s="104" t="s">
        <v>341</v>
      </c>
      <c r="S21" s="105">
        <v>0.2</v>
      </c>
      <c r="T21" s="55"/>
      <c r="U21" s="114" t="s">
        <v>338</v>
      </c>
      <c r="V21" s="106">
        <v>8381.0</v>
      </c>
      <c r="W21" s="107" t="s">
        <v>342</v>
      </c>
      <c r="X21" s="108">
        <v>0.15</v>
      </c>
      <c r="Y21" s="55"/>
      <c r="Z21" s="114" t="s">
        <v>338</v>
      </c>
      <c r="AA21" s="100">
        <v>8361.0</v>
      </c>
      <c r="AB21" s="101" t="s">
        <v>343</v>
      </c>
      <c r="AC21" s="126">
        <v>1.0</v>
      </c>
      <c r="AD21" s="55"/>
      <c r="AE21" s="172" t="s">
        <v>344</v>
      </c>
      <c r="AF21" s="86" t="s">
        <v>271</v>
      </c>
      <c r="AG21" s="87" t="s">
        <v>272</v>
      </c>
      <c r="AH21" s="88" t="s">
        <v>273</v>
      </c>
      <c r="AI21" s="55"/>
      <c r="AJ21" s="89" t="s">
        <v>345</v>
      </c>
      <c r="AK21" s="90" t="s">
        <v>292</v>
      </c>
      <c r="AL21" s="91">
        <v>9178.0</v>
      </c>
      <c r="AM21" s="92">
        <v>20.75</v>
      </c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</row>
    <row r="22">
      <c r="A22" s="111"/>
      <c r="B22" s="94">
        <v>8945.0</v>
      </c>
      <c r="C22" s="95" t="s">
        <v>346</v>
      </c>
      <c r="D22" s="173">
        <v>0.15</v>
      </c>
      <c r="E22" s="97"/>
      <c r="F22" s="111"/>
      <c r="G22" s="94">
        <v>8602.0</v>
      </c>
      <c r="H22" s="95" t="s">
        <v>347</v>
      </c>
      <c r="I22" s="171">
        <v>0.15</v>
      </c>
      <c r="J22" s="55"/>
      <c r="K22" s="111"/>
      <c r="L22" s="100">
        <v>8158.0</v>
      </c>
      <c r="M22" s="101" t="s">
        <v>348</v>
      </c>
      <c r="N22" s="156">
        <v>0.15</v>
      </c>
      <c r="O22" s="55"/>
      <c r="P22" s="111"/>
      <c r="Q22" s="103">
        <v>8006.0</v>
      </c>
      <c r="R22" s="104" t="s">
        <v>349</v>
      </c>
      <c r="S22" s="174"/>
      <c r="T22" s="55"/>
      <c r="U22" s="111"/>
      <c r="V22" s="106">
        <v>8834.0</v>
      </c>
      <c r="W22" s="107" t="s">
        <v>350</v>
      </c>
      <c r="X22" s="132">
        <v>0.15</v>
      </c>
      <c r="Y22" s="55"/>
      <c r="Z22" s="111"/>
      <c r="AA22" s="100">
        <v>8409.0</v>
      </c>
      <c r="AB22" s="101" t="s">
        <v>339</v>
      </c>
      <c r="AC22" s="156">
        <v>0.12</v>
      </c>
      <c r="AD22" s="55"/>
      <c r="AE22" s="114" t="s">
        <v>344</v>
      </c>
      <c r="AF22" s="134">
        <v>93583.0</v>
      </c>
      <c r="AG22" s="135" t="s">
        <v>274</v>
      </c>
      <c r="AH22" s="136">
        <v>0.0</v>
      </c>
      <c r="AI22" s="55"/>
      <c r="AJ22" s="175"/>
      <c r="AK22" s="176"/>
      <c r="AL22" s="176"/>
      <c r="AM22" s="177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</row>
    <row r="23">
      <c r="A23" s="111"/>
      <c r="B23" s="119">
        <v>8396.0</v>
      </c>
      <c r="C23" s="120" t="s">
        <v>351</v>
      </c>
      <c r="D23" s="173">
        <v>0.0</v>
      </c>
      <c r="E23" s="97"/>
      <c r="F23" s="111"/>
      <c r="G23" s="94">
        <v>8231.0</v>
      </c>
      <c r="H23" s="95" t="s">
        <v>352</v>
      </c>
      <c r="I23" s="178"/>
      <c r="J23" s="55"/>
      <c r="K23" s="111"/>
      <c r="L23" s="179"/>
      <c r="M23" s="180"/>
      <c r="N23" s="181"/>
      <c r="O23" s="55"/>
      <c r="P23" s="111"/>
      <c r="Q23" s="182"/>
      <c r="R23" s="183"/>
      <c r="S23" s="174"/>
      <c r="T23" s="55"/>
      <c r="U23" s="111"/>
      <c r="V23" s="184"/>
      <c r="W23" s="185"/>
      <c r="X23" s="186"/>
      <c r="Y23" s="55"/>
      <c r="Z23" s="111"/>
      <c r="AA23" s="179"/>
      <c r="AB23" s="180"/>
      <c r="AC23" s="181"/>
      <c r="AD23" s="55"/>
      <c r="AE23" s="111"/>
      <c r="AF23" s="187"/>
      <c r="AG23" s="188"/>
      <c r="AH23" s="189"/>
      <c r="AI23" s="55"/>
      <c r="AJ23" s="175"/>
      <c r="AK23" s="176"/>
      <c r="AL23" s="176"/>
      <c r="AM23" s="177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</row>
    <row r="24">
      <c r="A24" s="118"/>
      <c r="B24" s="151">
        <v>8945.0</v>
      </c>
      <c r="C24" s="152" t="s">
        <v>346</v>
      </c>
      <c r="D24" s="173">
        <v>0.0</v>
      </c>
      <c r="E24" s="97"/>
      <c r="F24" s="118"/>
      <c r="G24" s="119">
        <v>8837.0</v>
      </c>
      <c r="H24" s="120" t="s">
        <v>353</v>
      </c>
      <c r="I24" s="173">
        <v>0.15</v>
      </c>
      <c r="J24" s="55"/>
      <c r="K24" s="118"/>
      <c r="L24" s="124">
        <v>8284.0</v>
      </c>
      <c r="M24" s="125" t="s">
        <v>354</v>
      </c>
      <c r="N24" s="156">
        <v>0.15</v>
      </c>
      <c r="O24" s="55"/>
      <c r="P24" s="118"/>
      <c r="Q24" s="127">
        <v>8519.0</v>
      </c>
      <c r="R24" s="128" t="s">
        <v>355</v>
      </c>
      <c r="S24" s="129">
        <v>0.0</v>
      </c>
      <c r="T24" s="55"/>
      <c r="U24" s="118"/>
      <c r="V24" s="130">
        <v>8231.0</v>
      </c>
      <c r="W24" s="131" t="s">
        <v>352</v>
      </c>
      <c r="X24" s="160">
        <v>0.0</v>
      </c>
      <c r="Y24" s="55"/>
      <c r="Z24" s="118"/>
      <c r="AA24" s="124">
        <v>8298.0</v>
      </c>
      <c r="AB24" s="125" t="s">
        <v>356</v>
      </c>
      <c r="AC24" s="156">
        <v>0.35</v>
      </c>
      <c r="AD24" s="55"/>
      <c r="AE24" s="111"/>
      <c r="AF24" s="142">
        <v>2893.0</v>
      </c>
      <c r="AG24" s="135" t="s">
        <v>282</v>
      </c>
      <c r="AH24" s="143">
        <v>0.0</v>
      </c>
      <c r="AI24" s="55"/>
      <c r="AJ24" s="89" t="s">
        <v>357</v>
      </c>
      <c r="AK24" s="90" t="s">
        <v>358</v>
      </c>
      <c r="AL24" s="91">
        <v>2753.0</v>
      </c>
      <c r="AM24" s="92">
        <v>0.0</v>
      </c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</row>
    <row r="25">
      <c r="A25" s="170"/>
      <c r="B25" s="97"/>
      <c r="C25" s="97"/>
      <c r="D25" s="110"/>
      <c r="E25" s="97"/>
      <c r="F25" s="170"/>
      <c r="G25" s="97"/>
      <c r="H25" s="97"/>
      <c r="I25" s="110"/>
      <c r="J25" s="55"/>
      <c r="K25" s="170"/>
      <c r="L25" s="97"/>
      <c r="M25" s="97"/>
      <c r="N25" s="110"/>
      <c r="O25" s="55"/>
      <c r="P25" s="170"/>
      <c r="Q25" s="97"/>
      <c r="R25" s="97"/>
      <c r="S25" s="110"/>
      <c r="T25" s="55"/>
      <c r="U25" s="170"/>
      <c r="V25" s="97"/>
      <c r="W25" s="97"/>
      <c r="X25" s="110"/>
      <c r="Y25" s="55"/>
      <c r="Z25" s="170"/>
      <c r="AA25" s="97"/>
      <c r="AB25" s="97"/>
      <c r="AC25" s="110"/>
      <c r="AD25" s="55"/>
      <c r="AE25" s="111"/>
      <c r="AF25" s="142">
        <v>93964.0</v>
      </c>
      <c r="AG25" s="135" t="s">
        <v>359</v>
      </c>
      <c r="AH25" s="143">
        <v>0.0</v>
      </c>
      <c r="AI25" s="55"/>
      <c r="AJ25" s="89" t="s">
        <v>360</v>
      </c>
      <c r="AK25" s="90" t="s">
        <v>292</v>
      </c>
      <c r="AL25" s="91">
        <v>6671.0</v>
      </c>
      <c r="AM25" s="92">
        <v>99.99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</row>
    <row r="26">
      <c r="A26" s="114" t="s">
        <v>313</v>
      </c>
      <c r="B26" s="94">
        <v>8221.0</v>
      </c>
      <c r="C26" s="95" t="s">
        <v>361</v>
      </c>
      <c r="D26" s="112">
        <v>0.35</v>
      </c>
      <c r="E26" s="97"/>
      <c r="F26" s="114" t="s">
        <v>313</v>
      </c>
      <c r="G26" s="94">
        <v>8695.0</v>
      </c>
      <c r="H26" s="95" t="s">
        <v>362</v>
      </c>
      <c r="I26" s="112">
        <v>0.35</v>
      </c>
      <c r="J26" s="55"/>
      <c r="K26" s="114" t="s">
        <v>313</v>
      </c>
      <c r="L26" s="100">
        <v>8690.0</v>
      </c>
      <c r="M26" s="101" t="s">
        <v>363</v>
      </c>
      <c r="N26" s="102">
        <v>0.35</v>
      </c>
      <c r="O26" s="55"/>
      <c r="P26" s="114" t="s">
        <v>313</v>
      </c>
      <c r="Q26" s="103">
        <v>8671.0</v>
      </c>
      <c r="R26" s="104" t="s">
        <v>364</v>
      </c>
      <c r="S26" s="105">
        <v>0.35</v>
      </c>
      <c r="T26" s="55"/>
      <c r="U26" s="114" t="s">
        <v>313</v>
      </c>
      <c r="V26" s="106">
        <v>0.0</v>
      </c>
      <c r="W26" s="107" t="s">
        <v>293</v>
      </c>
      <c r="X26" s="108">
        <v>0.0</v>
      </c>
      <c r="Y26" s="55"/>
      <c r="Z26" s="114" t="s">
        <v>313</v>
      </c>
      <c r="AA26" s="100">
        <v>0.0</v>
      </c>
      <c r="AB26" s="101" t="s">
        <v>293</v>
      </c>
      <c r="AC26" s="102">
        <v>0.0</v>
      </c>
      <c r="AD26" s="55"/>
      <c r="AE26" s="111"/>
      <c r="AF26" s="142">
        <v>8484.0</v>
      </c>
      <c r="AG26" s="135" t="s">
        <v>365</v>
      </c>
      <c r="AH26" s="143">
        <v>0.0</v>
      </c>
      <c r="AI26" s="55"/>
      <c r="AJ26" s="89" t="s">
        <v>366</v>
      </c>
      <c r="AK26" s="90" t="s">
        <v>275</v>
      </c>
      <c r="AL26" s="91">
        <v>355445.0</v>
      </c>
      <c r="AM26" s="92">
        <v>30.0</v>
      </c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</row>
    <row r="27">
      <c r="A27" s="118"/>
      <c r="B27" s="119">
        <v>8789.0</v>
      </c>
      <c r="C27" s="120" t="s">
        <v>367</v>
      </c>
      <c r="D27" s="121">
        <v>0.35</v>
      </c>
      <c r="E27" s="97"/>
      <c r="F27" s="118"/>
      <c r="G27" s="119">
        <v>8713.0</v>
      </c>
      <c r="H27" s="95" t="s">
        <v>368</v>
      </c>
      <c r="I27" s="121">
        <v>0.35</v>
      </c>
      <c r="J27" s="55"/>
      <c r="K27" s="118"/>
      <c r="L27" s="124">
        <v>8687.0</v>
      </c>
      <c r="M27" s="101" t="s">
        <v>369</v>
      </c>
      <c r="N27" s="126">
        <v>0.35</v>
      </c>
      <c r="O27" s="55"/>
      <c r="P27" s="118"/>
      <c r="Q27" s="127">
        <v>8839.0</v>
      </c>
      <c r="R27" s="104" t="s">
        <v>370</v>
      </c>
      <c r="S27" s="129">
        <v>0.35</v>
      </c>
      <c r="T27" s="55"/>
      <c r="U27" s="118"/>
      <c r="V27" s="130">
        <v>0.0</v>
      </c>
      <c r="W27" s="107" t="s">
        <v>293</v>
      </c>
      <c r="X27" s="132">
        <v>0.0</v>
      </c>
      <c r="Y27" s="55"/>
      <c r="Z27" s="118"/>
      <c r="AA27" s="124">
        <v>0.0</v>
      </c>
      <c r="AB27" s="101" t="s">
        <v>293</v>
      </c>
      <c r="AC27" s="126">
        <v>-1.0</v>
      </c>
      <c r="AD27" s="55"/>
      <c r="AE27" s="111"/>
      <c r="AF27" s="142">
        <v>8274.0</v>
      </c>
      <c r="AG27" s="135" t="s">
        <v>371</v>
      </c>
      <c r="AH27" s="143">
        <v>0.0</v>
      </c>
      <c r="AI27" s="55"/>
      <c r="AJ27" s="89" t="s">
        <v>372</v>
      </c>
      <c r="AK27" s="90" t="s">
        <v>292</v>
      </c>
      <c r="AL27" s="91">
        <v>1895.0</v>
      </c>
      <c r="AM27" s="92">
        <v>0.0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</row>
    <row r="28">
      <c r="A28" s="190" t="s">
        <v>373</v>
      </c>
      <c r="B28" s="191" t="s">
        <v>271</v>
      </c>
      <c r="C28" s="192" t="s">
        <v>272</v>
      </c>
      <c r="D28" s="193" t="s">
        <v>273</v>
      </c>
      <c r="E28" s="63"/>
      <c r="F28" s="194" t="s">
        <v>373</v>
      </c>
      <c r="G28" s="195" t="s">
        <v>271</v>
      </c>
      <c r="H28" s="66" t="s">
        <v>272</v>
      </c>
      <c r="I28" s="196" t="s">
        <v>273</v>
      </c>
      <c r="J28" s="68"/>
      <c r="K28" s="197" t="s">
        <v>373</v>
      </c>
      <c r="L28" s="198" t="s">
        <v>271</v>
      </c>
      <c r="M28" s="71" t="s">
        <v>272</v>
      </c>
      <c r="N28" s="199" t="s">
        <v>273</v>
      </c>
      <c r="O28" s="55"/>
      <c r="P28" s="200" t="s">
        <v>373</v>
      </c>
      <c r="Q28" s="201" t="s">
        <v>271</v>
      </c>
      <c r="R28" s="75" t="s">
        <v>272</v>
      </c>
      <c r="S28" s="202" t="s">
        <v>273</v>
      </c>
      <c r="T28" s="55"/>
      <c r="U28" s="203" t="s">
        <v>373</v>
      </c>
      <c r="V28" s="204" t="s">
        <v>271</v>
      </c>
      <c r="W28" s="79" t="s">
        <v>272</v>
      </c>
      <c r="X28" s="205" t="s">
        <v>273</v>
      </c>
      <c r="Y28" s="55"/>
      <c r="Z28" s="206" t="s">
        <v>344</v>
      </c>
      <c r="AA28" s="207" t="s">
        <v>271</v>
      </c>
      <c r="AB28" s="208" t="s">
        <v>272</v>
      </c>
      <c r="AC28" s="209" t="s">
        <v>273</v>
      </c>
      <c r="AD28" s="55"/>
      <c r="AE28" s="111"/>
      <c r="AF28" s="142">
        <v>8393.0</v>
      </c>
      <c r="AG28" s="135" t="s">
        <v>374</v>
      </c>
      <c r="AH28" s="143">
        <v>0.0</v>
      </c>
      <c r="AI28" s="55"/>
      <c r="AJ28" s="89" t="s">
        <v>375</v>
      </c>
      <c r="AK28" s="90" t="s">
        <v>292</v>
      </c>
      <c r="AL28" s="91">
        <v>102365.0</v>
      </c>
      <c r="AM28" s="92">
        <v>35.9</v>
      </c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</row>
    <row r="29">
      <c r="A29" s="114" t="s">
        <v>376</v>
      </c>
      <c r="B29" s="94">
        <v>8963.0</v>
      </c>
      <c r="C29" s="95" t="s">
        <v>377</v>
      </c>
      <c r="D29" s="96">
        <v>1.0</v>
      </c>
      <c r="E29" s="97"/>
      <c r="F29" s="114" t="s">
        <v>376</v>
      </c>
      <c r="G29" s="94">
        <v>8963.0</v>
      </c>
      <c r="H29" s="210" t="s">
        <v>377</v>
      </c>
      <c r="I29" s="96">
        <v>1.0</v>
      </c>
      <c r="J29" s="55"/>
      <c r="K29" s="114" t="s">
        <v>376</v>
      </c>
      <c r="L29" s="100">
        <v>8963.0</v>
      </c>
      <c r="M29" s="101" t="s">
        <v>377</v>
      </c>
      <c r="N29" s="102">
        <v>1.0</v>
      </c>
      <c r="O29" s="55"/>
      <c r="P29" s="114" t="s">
        <v>376</v>
      </c>
      <c r="Q29" s="103">
        <v>8963.0</v>
      </c>
      <c r="R29" s="104" t="s">
        <v>377</v>
      </c>
      <c r="S29" s="105">
        <v>1.0</v>
      </c>
      <c r="T29" s="55"/>
      <c r="U29" s="114" t="s">
        <v>376</v>
      </c>
      <c r="V29" s="106">
        <v>8963.0</v>
      </c>
      <c r="W29" s="107" t="s">
        <v>377</v>
      </c>
      <c r="X29" s="108">
        <v>1.0</v>
      </c>
      <c r="Y29" s="55"/>
      <c r="Z29" s="114" t="s">
        <v>344</v>
      </c>
      <c r="AA29" s="124">
        <v>2893.0</v>
      </c>
      <c r="AB29" s="125" t="s">
        <v>282</v>
      </c>
      <c r="AC29" s="126">
        <v>1.0</v>
      </c>
      <c r="AD29" s="55"/>
      <c r="AE29" s="111"/>
      <c r="AF29" s="142">
        <v>7652.0</v>
      </c>
      <c r="AG29" s="135" t="s">
        <v>378</v>
      </c>
      <c r="AH29" s="143">
        <v>0.0</v>
      </c>
      <c r="AI29" s="55"/>
      <c r="AJ29" s="89" t="s">
        <v>379</v>
      </c>
      <c r="AK29" s="90" t="s">
        <v>292</v>
      </c>
      <c r="AL29" s="91">
        <v>2173.0</v>
      </c>
      <c r="AM29" s="92">
        <v>0.0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</row>
    <row r="30">
      <c r="A30" s="111"/>
      <c r="B30" s="94">
        <v>8962.0</v>
      </c>
      <c r="C30" s="95" t="s">
        <v>380</v>
      </c>
      <c r="D30" s="112">
        <v>0.0</v>
      </c>
      <c r="E30" s="97"/>
      <c r="F30" s="111"/>
      <c r="G30" s="94">
        <v>8962.0</v>
      </c>
      <c r="H30" s="95" t="s">
        <v>380</v>
      </c>
      <c r="I30" s="112">
        <v>0.0</v>
      </c>
      <c r="J30" s="55"/>
      <c r="K30" s="111"/>
      <c r="L30" s="94">
        <v>8962.0</v>
      </c>
      <c r="M30" s="101" t="s">
        <v>380</v>
      </c>
      <c r="N30" s="102">
        <v>1.0</v>
      </c>
      <c r="O30" s="55"/>
      <c r="P30" s="111"/>
      <c r="Q30" s="103">
        <v>0.0</v>
      </c>
      <c r="R30" s="104" t="s">
        <v>293</v>
      </c>
      <c r="S30" s="105">
        <v>0.0</v>
      </c>
      <c r="T30" s="55"/>
      <c r="U30" s="111"/>
      <c r="V30" s="106">
        <v>0.0</v>
      </c>
      <c r="W30" s="107" t="s">
        <v>293</v>
      </c>
      <c r="X30" s="108">
        <v>0.0</v>
      </c>
      <c r="Y30" s="55"/>
      <c r="Z30" s="111"/>
      <c r="AA30" s="155">
        <v>8484.0</v>
      </c>
      <c r="AB30" s="125" t="s">
        <v>365</v>
      </c>
      <c r="AC30" s="156">
        <v>0.65</v>
      </c>
      <c r="AD30" s="55"/>
      <c r="AE30" s="111"/>
      <c r="AF30" s="142">
        <v>8523.0</v>
      </c>
      <c r="AG30" s="135" t="s">
        <v>381</v>
      </c>
      <c r="AH30" s="143">
        <v>0.0</v>
      </c>
      <c r="AI30" s="55"/>
      <c r="AJ30" s="89" t="s">
        <v>382</v>
      </c>
      <c r="AK30" s="90" t="s">
        <v>292</v>
      </c>
      <c r="AL30" s="91">
        <v>7573.0</v>
      </c>
      <c r="AM30" s="92">
        <v>59.9</v>
      </c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</row>
    <row r="31">
      <c r="A31" s="118"/>
      <c r="B31" s="119">
        <v>30.0</v>
      </c>
      <c r="C31" s="120" t="s">
        <v>293</v>
      </c>
      <c r="D31" s="121">
        <v>0.0</v>
      </c>
      <c r="E31" s="97"/>
      <c r="F31" s="118"/>
      <c r="G31" s="119">
        <v>0.0</v>
      </c>
      <c r="H31" s="95" t="s">
        <v>293</v>
      </c>
      <c r="I31" s="121">
        <v>0.0</v>
      </c>
      <c r="J31" s="55"/>
      <c r="K31" s="118"/>
      <c r="L31" s="124">
        <v>0.0</v>
      </c>
      <c r="M31" s="125" t="s">
        <v>293</v>
      </c>
      <c r="N31" s="126">
        <v>0.0</v>
      </c>
      <c r="O31" s="55"/>
      <c r="P31" s="118"/>
      <c r="Q31" s="127">
        <v>0.0</v>
      </c>
      <c r="R31" s="128" t="s">
        <v>293</v>
      </c>
      <c r="S31" s="129">
        <v>0.0</v>
      </c>
      <c r="T31" s="55"/>
      <c r="U31" s="118"/>
      <c r="V31" s="130">
        <v>0.0</v>
      </c>
      <c r="W31" s="131" t="s">
        <v>293</v>
      </c>
      <c r="X31" s="132">
        <v>0.0</v>
      </c>
      <c r="Y31" s="55"/>
      <c r="Z31" s="111"/>
      <c r="AA31" s="155">
        <v>8523.0</v>
      </c>
      <c r="AB31" s="125" t="s">
        <v>381</v>
      </c>
      <c r="AC31" s="156">
        <v>0.35</v>
      </c>
      <c r="AD31" s="55"/>
      <c r="AE31" s="118"/>
      <c r="AF31" s="142">
        <v>8396.0</v>
      </c>
      <c r="AG31" s="135" t="s">
        <v>351</v>
      </c>
      <c r="AH31" s="143">
        <v>0.0</v>
      </c>
      <c r="AI31" s="55"/>
      <c r="AJ31" s="89" t="s">
        <v>383</v>
      </c>
      <c r="AK31" s="90" t="s">
        <v>292</v>
      </c>
      <c r="AL31" s="91">
        <v>7574.0</v>
      </c>
      <c r="AM31" s="92">
        <v>99.9</v>
      </c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</row>
    <row r="32">
      <c r="A32" s="211"/>
      <c r="B32" s="97"/>
      <c r="C32" s="97"/>
      <c r="D32" s="110"/>
      <c r="E32" s="97"/>
      <c r="F32" s="211"/>
      <c r="G32" s="97"/>
      <c r="H32" s="97"/>
      <c r="I32" s="110"/>
      <c r="J32" s="55"/>
      <c r="K32" s="211"/>
      <c r="L32" s="97"/>
      <c r="M32" s="97"/>
      <c r="N32" s="110"/>
      <c r="O32" s="55"/>
      <c r="P32" s="211"/>
      <c r="Q32" s="97"/>
      <c r="R32" s="97"/>
      <c r="S32" s="110"/>
      <c r="T32" s="55"/>
      <c r="U32" s="211"/>
      <c r="V32" s="97"/>
      <c r="W32" s="97"/>
      <c r="X32" s="110"/>
      <c r="Y32" s="55"/>
      <c r="Z32" s="111"/>
      <c r="AA32" s="155">
        <v>0.0</v>
      </c>
      <c r="AB32" s="125" t="s">
        <v>293</v>
      </c>
      <c r="AC32" s="156">
        <v>0.0</v>
      </c>
      <c r="AD32" s="55"/>
      <c r="AE32" s="55"/>
      <c r="AF32" s="55"/>
      <c r="AG32" s="55"/>
      <c r="AH32" s="55"/>
      <c r="AI32" s="55"/>
      <c r="AJ32" s="89" t="s">
        <v>384</v>
      </c>
      <c r="AK32" s="90" t="s">
        <v>292</v>
      </c>
      <c r="AL32" s="91">
        <v>7575.0</v>
      </c>
      <c r="AM32" s="92">
        <v>79.9</v>
      </c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</row>
    <row r="33">
      <c r="A33" s="114" t="s">
        <v>385</v>
      </c>
      <c r="B33" s="94">
        <v>9124.0</v>
      </c>
      <c r="C33" s="95" t="s">
        <v>386</v>
      </c>
      <c r="D33" s="96">
        <v>1.0</v>
      </c>
      <c r="E33" s="97"/>
      <c r="F33" s="114" t="s">
        <v>385</v>
      </c>
      <c r="G33" s="94">
        <v>9123.0</v>
      </c>
      <c r="H33" s="95" t="s">
        <v>387</v>
      </c>
      <c r="I33" s="96">
        <v>1.0</v>
      </c>
      <c r="J33" s="55"/>
      <c r="K33" s="114" t="s">
        <v>385</v>
      </c>
      <c r="L33" s="124">
        <v>9124.0</v>
      </c>
      <c r="M33" s="101" t="s">
        <v>386</v>
      </c>
      <c r="N33" s="102">
        <v>1.0</v>
      </c>
      <c r="O33" s="55"/>
      <c r="P33" s="114" t="s">
        <v>385</v>
      </c>
      <c r="Q33" s="94">
        <v>9123.0</v>
      </c>
      <c r="R33" s="104" t="s">
        <v>387</v>
      </c>
      <c r="S33" s="105">
        <v>1.0</v>
      </c>
      <c r="T33" s="55"/>
      <c r="U33" s="114" t="s">
        <v>385</v>
      </c>
      <c r="V33" s="106">
        <v>9119.0</v>
      </c>
      <c r="W33" s="107" t="s">
        <v>388</v>
      </c>
      <c r="X33" s="108">
        <v>1.0</v>
      </c>
      <c r="Y33" s="55"/>
      <c r="Z33" s="111"/>
      <c r="AA33" s="155">
        <v>0.0</v>
      </c>
      <c r="AB33" s="125" t="s">
        <v>293</v>
      </c>
      <c r="AC33" s="156">
        <v>0.0</v>
      </c>
      <c r="AD33" s="55"/>
      <c r="AE33" s="55"/>
      <c r="AF33" s="55"/>
      <c r="AG33" s="55"/>
      <c r="AH33" s="55"/>
      <c r="AI33" s="55"/>
      <c r="AJ33" s="89" t="s">
        <v>389</v>
      </c>
      <c r="AK33" s="90" t="s">
        <v>292</v>
      </c>
      <c r="AL33" s="91">
        <v>7576.0</v>
      </c>
      <c r="AM33" s="92">
        <v>79.9</v>
      </c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</row>
    <row r="34">
      <c r="A34" s="111"/>
      <c r="B34" s="94">
        <v>9119.0</v>
      </c>
      <c r="C34" s="95" t="s">
        <v>388</v>
      </c>
      <c r="D34" s="112">
        <v>1.0</v>
      </c>
      <c r="E34" s="97"/>
      <c r="F34" s="111"/>
      <c r="G34" s="94">
        <v>0.0</v>
      </c>
      <c r="H34" s="95" t="s">
        <v>293</v>
      </c>
      <c r="I34" s="112">
        <v>0.0</v>
      </c>
      <c r="J34" s="55"/>
      <c r="K34" s="111"/>
      <c r="L34" s="155">
        <v>9119.0</v>
      </c>
      <c r="M34" s="101" t="s">
        <v>388</v>
      </c>
      <c r="N34" s="102">
        <v>1.0</v>
      </c>
      <c r="O34" s="55"/>
      <c r="P34" s="111"/>
      <c r="Q34" s="103">
        <v>0.0</v>
      </c>
      <c r="R34" s="104" t="s">
        <v>293</v>
      </c>
      <c r="S34" s="105">
        <v>1.0</v>
      </c>
      <c r="T34" s="55"/>
      <c r="U34" s="111"/>
      <c r="V34" s="106">
        <v>9124.0</v>
      </c>
      <c r="W34" s="107" t="s">
        <v>386</v>
      </c>
      <c r="X34" s="108">
        <v>1.0</v>
      </c>
      <c r="Y34" s="55"/>
      <c r="Z34" s="111"/>
      <c r="AA34" s="155">
        <v>0.0</v>
      </c>
      <c r="AB34" s="125" t="s">
        <v>293</v>
      </c>
      <c r="AC34" s="156">
        <v>0.0</v>
      </c>
      <c r="AD34" s="55"/>
      <c r="AE34" s="55"/>
      <c r="AF34" s="55"/>
      <c r="AG34" s="55"/>
      <c r="AH34" s="55"/>
      <c r="AI34" s="55"/>
      <c r="AJ34" s="89" t="s">
        <v>390</v>
      </c>
      <c r="AK34" s="90" t="s">
        <v>292</v>
      </c>
      <c r="AL34" s="91">
        <v>8079.0</v>
      </c>
      <c r="AM34" s="92">
        <v>99.9</v>
      </c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</row>
    <row r="35">
      <c r="A35" s="118"/>
      <c r="B35" s="119">
        <v>0.0</v>
      </c>
      <c r="C35" s="120" t="s">
        <v>293</v>
      </c>
      <c r="D35" s="121">
        <v>0.0</v>
      </c>
      <c r="E35" s="97"/>
      <c r="F35" s="118"/>
      <c r="G35" s="119">
        <v>0.0</v>
      </c>
      <c r="H35" s="120" t="s">
        <v>293</v>
      </c>
      <c r="I35" s="121">
        <v>0.0</v>
      </c>
      <c r="J35" s="55"/>
      <c r="K35" s="118"/>
      <c r="L35" s="155">
        <v>0.0</v>
      </c>
      <c r="M35" s="125" t="s">
        <v>293</v>
      </c>
      <c r="N35" s="126">
        <v>0.0</v>
      </c>
      <c r="O35" s="55"/>
      <c r="P35" s="118"/>
      <c r="Q35" s="127">
        <v>0.0</v>
      </c>
      <c r="R35" s="128" t="s">
        <v>293</v>
      </c>
      <c r="S35" s="129">
        <v>0.0</v>
      </c>
      <c r="T35" s="55"/>
      <c r="U35" s="118"/>
      <c r="V35" s="130">
        <v>0.0</v>
      </c>
      <c r="W35" s="131" t="s">
        <v>293</v>
      </c>
      <c r="X35" s="132">
        <v>0.0</v>
      </c>
      <c r="Y35" s="55"/>
      <c r="Z35" s="111"/>
      <c r="AA35" s="155">
        <v>0.0</v>
      </c>
      <c r="AB35" s="125" t="s">
        <v>293</v>
      </c>
      <c r="AC35" s="156">
        <v>0.0</v>
      </c>
      <c r="AD35" s="55"/>
      <c r="AE35" s="55"/>
      <c r="AF35" s="55"/>
      <c r="AG35" s="55"/>
      <c r="AH35" s="55"/>
      <c r="AI35" s="55"/>
      <c r="AJ35" s="89" t="s">
        <v>391</v>
      </c>
      <c r="AK35" s="90" t="s">
        <v>292</v>
      </c>
      <c r="AL35" s="91">
        <v>7580.0</v>
      </c>
      <c r="AM35" s="92">
        <v>79.9</v>
      </c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</row>
    <row r="36">
      <c r="A36" s="211"/>
      <c r="B36" s="97"/>
      <c r="C36" s="97"/>
      <c r="D36" s="110"/>
      <c r="E36" s="97"/>
      <c r="F36" s="211"/>
      <c r="G36" s="97"/>
      <c r="H36" s="97"/>
      <c r="I36" s="110"/>
      <c r="J36" s="55"/>
      <c r="K36" s="211"/>
      <c r="L36" s="97"/>
      <c r="M36" s="97"/>
      <c r="N36" s="110"/>
      <c r="O36" s="55"/>
      <c r="P36" s="211"/>
      <c r="Q36" s="97"/>
      <c r="R36" s="97"/>
      <c r="S36" s="110"/>
      <c r="T36" s="55"/>
      <c r="U36" s="211"/>
      <c r="V36" s="97"/>
      <c r="W36" s="97"/>
      <c r="X36" s="110"/>
      <c r="Y36" s="55"/>
      <c r="Z36" s="111"/>
      <c r="AA36" s="155">
        <v>0.0</v>
      </c>
      <c r="AB36" s="125" t="s">
        <v>293</v>
      </c>
      <c r="AC36" s="156">
        <v>0.0</v>
      </c>
      <c r="AD36" s="55"/>
      <c r="AE36" s="55"/>
      <c r="AF36" s="55"/>
      <c r="AG36" s="55"/>
      <c r="AH36" s="55"/>
      <c r="AI36" s="55"/>
      <c r="AJ36" s="89" t="s">
        <v>392</v>
      </c>
      <c r="AK36" s="90" t="s">
        <v>275</v>
      </c>
      <c r="AL36" s="91">
        <v>7582.0</v>
      </c>
      <c r="AM36" s="92">
        <v>19.9</v>
      </c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</row>
    <row r="37">
      <c r="A37" s="114" t="s">
        <v>393</v>
      </c>
      <c r="B37" s="94">
        <v>9129.0</v>
      </c>
      <c r="C37" s="95" t="s">
        <v>394</v>
      </c>
      <c r="D37" s="96">
        <v>1.0</v>
      </c>
      <c r="E37" s="97"/>
      <c r="F37" s="114" t="s">
        <v>393</v>
      </c>
      <c r="G37" s="94">
        <v>9289.0</v>
      </c>
      <c r="H37" s="95" t="s">
        <v>395</v>
      </c>
      <c r="I37" s="96">
        <v>1.0</v>
      </c>
      <c r="J37" s="55"/>
      <c r="K37" s="114" t="s">
        <v>393</v>
      </c>
      <c r="L37" s="100">
        <v>0.0</v>
      </c>
      <c r="M37" s="101" t="s">
        <v>293</v>
      </c>
      <c r="N37" s="102">
        <v>0.0</v>
      </c>
      <c r="O37" s="55"/>
      <c r="P37" s="114" t="s">
        <v>393</v>
      </c>
      <c r="Q37" s="103">
        <v>9289.0</v>
      </c>
      <c r="R37" s="104" t="s">
        <v>395</v>
      </c>
      <c r="S37" s="105">
        <v>0.0</v>
      </c>
      <c r="T37" s="55"/>
      <c r="U37" s="114" t="s">
        <v>393</v>
      </c>
      <c r="V37" s="106">
        <v>9129.0</v>
      </c>
      <c r="W37" s="107" t="s">
        <v>394</v>
      </c>
      <c r="X37" s="108">
        <v>0.0</v>
      </c>
      <c r="Y37" s="55"/>
      <c r="Z37" s="118"/>
      <c r="AA37" s="155">
        <v>0.0</v>
      </c>
      <c r="AB37" s="125" t="s">
        <v>293</v>
      </c>
      <c r="AC37" s="156">
        <v>0.0</v>
      </c>
      <c r="AD37" s="55"/>
      <c r="AE37" s="55"/>
      <c r="AF37" s="55"/>
      <c r="AG37" s="55"/>
      <c r="AH37" s="55"/>
      <c r="AI37" s="55"/>
      <c r="AJ37" s="89" t="s">
        <v>396</v>
      </c>
      <c r="AK37" s="90" t="s">
        <v>275</v>
      </c>
      <c r="AL37" s="91">
        <v>7930.0</v>
      </c>
      <c r="AM37" s="92">
        <v>23.9</v>
      </c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</row>
    <row r="38">
      <c r="A38" s="111"/>
      <c r="B38" s="94">
        <v>0.0</v>
      </c>
      <c r="C38" s="95" t="s">
        <v>293</v>
      </c>
      <c r="D38" s="112">
        <v>1.0</v>
      </c>
      <c r="E38" s="97"/>
      <c r="F38" s="111"/>
      <c r="G38" s="94">
        <v>0.0</v>
      </c>
      <c r="H38" s="95" t="s">
        <v>293</v>
      </c>
      <c r="I38" s="112">
        <v>0.0</v>
      </c>
      <c r="J38" s="55"/>
      <c r="K38" s="111"/>
      <c r="L38" s="100">
        <v>0.0</v>
      </c>
      <c r="M38" s="101" t="s">
        <v>293</v>
      </c>
      <c r="N38" s="102">
        <v>0.0</v>
      </c>
      <c r="O38" s="55"/>
      <c r="P38" s="111"/>
      <c r="Q38" s="103">
        <v>0.0</v>
      </c>
      <c r="R38" s="104" t="s">
        <v>293</v>
      </c>
      <c r="S38" s="105">
        <v>0.0</v>
      </c>
      <c r="T38" s="55"/>
      <c r="U38" s="111"/>
      <c r="V38" s="106">
        <v>0.0</v>
      </c>
      <c r="W38" s="107" t="s">
        <v>293</v>
      </c>
      <c r="X38" s="108">
        <v>0.0</v>
      </c>
      <c r="Y38" s="55"/>
      <c r="Z38" s="212" t="s">
        <v>373</v>
      </c>
      <c r="AA38" s="213" t="s">
        <v>271</v>
      </c>
      <c r="AB38" s="214" t="s">
        <v>272</v>
      </c>
      <c r="AC38" s="215" t="s">
        <v>273</v>
      </c>
      <c r="AD38" s="55"/>
      <c r="AE38" s="55"/>
      <c r="AF38" s="55"/>
      <c r="AG38" s="55"/>
      <c r="AH38" s="55"/>
      <c r="AI38" s="55"/>
      <c r="AJ38" s="89" t="s">
        <v>285</v>
      </c>
      <c r="AK38" s="90" t="s">
        <v>275</v>
      </c>
      <c r="AL38" s="91">
        <v>8948.0</v>
      </c>
      <c r="AM38" s="92">
        <v>23.9</v>
      </c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</row>
    <row r="39">
      <c r="A39" s="118"/>
      <c r="B39" s="119">
        <v>90.0</v>
      </c>
      <c r="C39" s="120" t="s">
        <v>293</v>
      </c>
      <c r="D39" s="121">
        <v>0.0</v>
      </c>
      <c r="E39" s="97"/>
      <c r="F39" s="118"/>
      <c r="G39" s="119">
        <v>0.0</v>
      </c>
      <c r="H39" s="95" t="s">
        <v>293</v>
      </c>
      <c r="I39" s="121">
        <v>0.0</v>
      </c>
      <c r="J39" s="55"/>
      <c r="K39" s="118"/>
      <c r="L39" s="124">
        <v>0.0</v>
      </c>
      <c r="M39" s="101" t="s">
        <v>293</v>
      </c>
      <c r="N39" s="126">
        <v>0.0</v>
      </c>
      <c r="O39" s="55"/>
      <c r="P39" s="118"/>
      <c r="Q39" s="127">
        <v>0.0</v>
      </c>
      <c r="R39" s="104" t="s">
        <v>293</v>
      </c>
      <c r="S39" s="129">
        <v>0.0</v>
      </c>
      <c r="T39" s="55"/>
      <c r="U39" s="118"/>
      <c r="V39" s="130">
        <v>0.0</v>
      </c>
      <c r="W39" s="107" t="s">
        <v>293</v>
      </c>
      <c r="X39" s="132">
        <v>0.0</v>
      </c>
      <c r="Y39" s="55"/>
      <c r="Z39" s="114" t="s">
        <v>376</v>
      </c>
      <c r="AA39" s="100">
        <v>8963.0</v>
      </c>
      <c r="AB39" s="101" t="s">
        <v>377</v>
      </c>
      <c r="AC39" s="102">
        <v>1.0</v>
      </c>
      <c r="AD39" s="55"/>
      <c r="AE39" s="55"/>
      <c r="AF39" s="55"/>
      <c r="AG39" s="55"/>
      <c r="AH39" s="55"/>
      <c r="AI39" s="55"/>
      <c r="AJ39" s="89" t="s">
        <v>397</v>
      </c>
      <c r="AK39" s="90" t="s">
        <v>275</v>
      </c>
      <c r="AL39" s="91">
        <v>7590.0</v>
      </c>
      <c r="AM39" s="92">
        <v>19.9</v>
      </c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</row>
    <row r="40">
      <c r="A40" s="190" t="s">
        <v>398</v>
      </c>
      <c r="B40" s="191" t="s">
        <v>271</v>
      </c>
      <c r="C40" s="192" t="s">
        <v>272</v>
      </c>
      <c r="D40" s="191" t="s">
        <v>273</v>
      </c>
      <c r="E40" s="216" t="s">
        <v>398</v>
      </c>
      <c r="F40" s="196" t="s">
        <v>398</v>
      </c>
      <c r="G40" s="195" t="s">
        <v>271</v>
      </c>
      <c r="H40" s="66" t="s">
        <v>272</v>
      </c>
      <c r="I40" s="196" t="s">
        <v>273</v>
      </c>
      <c r="J40" s="55"/>
      <c r="K40" s="197" t="s">
        <v>398</v>
      </c>
      <c r="L40" s="198" t="s">
        <v>271</v>
      </c>
      <c r="M40" s="71" t="s">
        <v>272</v>
      </c>
      <c r="N40" s="199" t="s">
        <v>273</v>
      </c>
      <c r="O40" s="55"/>
      <c r="P40" s="200" t="s">
        <v>398</v>
      </c>
      <c r="Q40" s="201" t="s">
        <v>271</v>
      </c>
      <c r="R40" s="75" t="s">
        <v>272</v>
      </c>
      <c r="S40" s="202" t="s">
        <v>273</v>
      </c>
      <c r="T40" s="55"/>
      <c r="U40" s="203" t="s">
        <v>398</v>
      </c>
      <c r="V40" s="204" t="s">
        <v>271</v>
      </c>
      <c r="W40" s="79" t="s">
        <v>272</v>
      </c>
      <c r="X40" s="205" t="s">
        <v>273</v>
      </c>
      <c r="Y40" s="55"/>
      <c r="Z40" s="111"/>
      <c r="AA40" s="100">
        <v>0.0</v>
      </c>
      <c r="AB40" s="101" t="s">
        <v>293</v>
      </c>
      <c r="AC40" s="102">
        <v>0.0</v>
      </c>
      <c r="AD40" s="55"/>
      <c r="AE40" s="55"/>
      <c r="AF40" s="55"/>
      <c r="AG40" s="55"/>
      <c r="AH40" s="55"/>
      <c r="AI40" s="55"/>
      <c r="AJ40" s="89" t="s">
        <v>399</v>
      </c>
      <c r="AK40" s="90" t="s">
        <v>275</v>
      </c>
      <c r="AL40" s="91">
        <v>7602.0</v>
      </c>
      <c r="AM40" s="92">
        <v>19.9</v>
      </c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</row>
    <row r="41">
      <c r="A41" s="217" t="s">
        <v>289</v>
      </c>
      <c r="B41" s="119">
        <v>8307.0</v>
      </c>
      <c r="C41" s="120" t="s">
        <v>400</v>
      </c>
      <c r="D41" s="121">
        <v>0.45</v>
      </c>
      <c r="E41" s="97"/>
      <c r="F41" s="217" t="s">
        <v>289</v>
      </c>
      <c r="G41" s="119">
        <v>6878.0</v>
      </c>
      <c r="H41" s="95" t="s">
        <v>401</v>
      </c>
      <c r="I41" s="121">
        <v>0.25</v>
      </c>
      <c r="J41" s="55"/>
      <c r="K41" s="217" t="s">
        <v>289</v>
      </c>
      <c r="L41" s="119">
        <v>8400.0</v>
      </c>
      <c r="M41" s="101" t="s">
        <v>296</v>
      </c>
      <c r="N41" s="126">
        <v>0.4</v>
      </c>
      <c r="O41" s="55"/>
      <c r="P41" s="217" t="s">
        <v>289</v>
      </c>
      <c r="Q41" s="119">
        <v>8571.0</v>
      </c>
      <c r="R41" s="104" t="s">
        <v>402</v>
      </c>
      <c r="S41" s="129">
        <v>0.45</v>
      </c>
      <c r="T41" s="55"/>
      <c r="U41" s="217" t="s">
        <v>289</v>
      </c>
      <c r="V41" s="119">
        <v>8400.0</v>
      </c>
      <c r="W41" s="107" t="s">
        <v>296</v>
      </c>
      <c r="X41" s="132">
        <v>0.45</v>
      </c>
      <c r="Y41" s="55"/>
      <c r="Z41" s="118"/>
      <c r="AA41" s="124">
        <v>0.0</v>
      </c>
      <c r="AB41" s="125" t="s">
        <v>293</v>
      </c>
      <c r="AC41" s="126">
        <v>0.0</v>
      </c>
      <c r="AD41" s="55"/>
      <c r="AE41" s="55"/>
      <c r="AF41" s="55"/>
      <c r="AG41" s="55"/>
      <c r="AH41" s="55"/>
      <c r="AI41" s="55"/>
      <c r="AJ41" s="89" t="s">
        <v>403</v>
      </c>
      <c r="AK41" s="90" t="s">
        <v>275</v>
      </c>
      <c r="AL41" s="91">
        <v>7606.0</v>
      </c>
      <c r="AM41" s="92">
        <v>23.9</v>
      </c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</row>
    <row r="42">
      <c r="A42" s="111"/>
      <c r="B42" s="151">
        <v>8316.0</v>
      </c>
      <c r="C42" s="152" t="s">
        <v>404</v>
      </c>
      <c r="D42" s="153">
        <v>0.45</v>
      </c>
      <c r="E42" s="97"/>
      <c r="F42" s="111"/>
      <c r="G42" s="151">
        <v>6879.0</v>
      </c>
      <c r="H42" s="95" t="s">
        <v>405</v>
      </c>
      <c r="I42" s="153">
        <v>0.25</v>
      </c>
      <c r="J42" s="55"/>
      <c r="K42" s="111"/>
      <c r="L42" s="151">
        <v>8316.0</v>
      </c>
      <c r="M42" s="101" t="s">
        <v>404</v>
      </c>
      <c r="N42" s="156">
        <v>0.4</v>
      </c>
      <c r="O42" s="55"/>
      <c r="P42" s="111"/>
      <c r="Q42" s="151">
        <v>6878.0</v>
      </c>
      <c r="R42" s="104" t="s">
        <v>401</v>
      </c>
      <c r="S42" s="158">
        <v>0.45</v>
      </c>
      <c r="T42" s="55"/>
      <c r="U42" s="111"/>
      <c r="V42" s="151">
        <v>8316.0</v>
      </c>
      <c r="W42" s="107" t="s">
        <v>404</v>
      </c>
      <c r="X42" s="160">
        <v>0.45</v>
      </c>
      <c r="Y42" s="55"/>
      <c r="Z42" s="211"/>
      <c r="AA42" s="97"/>
      <c r="AB42" s="97"/>
      <c r="AC42" s="110"/>
      <c r="AD42" s="55"/>
      <c r="AE42" s="55"/>
      <c r="AF42" s="55"/>
      <c r="AG42" s="55"/>
      <c r="AH42" s="55"/>
      <c r="AI42" s="55"/>
      <c r="AJ42" s="89" t="s">
        <v>406</v>
      </c>
      <c r="AK42" s="90" t="s">
        <v>275</v>
      </c>
      <c r="AL42" s="91">
        <v>7608.0</v>
      </c>
      <c r="AM42" s="92">
        <v>29.9</v>
      </c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</row>
    <row r="43">
      <c r="A43" s="111"/>
      <c r="B43" s="218"/>
      <c r="C43" s="219"/>
      <c r="D43" s="220"/>
      <c r="E43" s="97"/>
      <c r="F43" s="111"/>
      <c r="G43" s="218"/>
      <c r="H43" s="221"/>
      <c r="I43" s="220"/>
      <c r="J43" s="55"/>
      <c r="K43" s="111"/>
      <c r="L43" s="218"/>
      <c r="M43" s="180"/>
      <c r="N43" s="181"/>
      <c r="O43" s="55"/>
      <c r="P43" s="111"/>
      <c r="Q43" s="218"/>
      <c r="R43" s="183"/>
      <c r="S43" s="222"/>
      <c r="T43" s="55"/>
      <c r="U43" s="111"/>
      <c r="V43" s="223">
        <v>6960.0</v>
      </c>
      <c r="W43" s="107" t="s">
        <v>407</v>
      </c>
      <c r="X43" s="224">
        <v>0.45</v>
      </c>
      <c r="Y43" s="55"/>
      <c r="Z43" s="211"/>
      <c r="AA43" s="97"/>
      <c r="AB43" s="97"/>
      <c r="AC43" s="110"/>
      <c r="AD43" s="55"/>
      <c r="AE43" s="55"/>
      <c r="AF43" s="55"/>
      <c r="AG43" s="55"/>
      <c r="AH43" s="55"/>
      <c r="AI43" s="55"/>
      <c r="AJ43" s="225"/>
      <c r="AK43" s="226"/>
      <c r="AL43" s="226"/>
      <c r="AM43" s="227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</row>
    <row r="44">
      <c r="A44" s="111"/>
      <c r="B44" s="151">
        <v>8333.0</v>
      </c>
      <c r="C44" s="152" t="s">
        <v>408</v>
      </c>
      <c r="D44" s="153">
        <v>0.35</v>
      </c>
      <c r="E44" s="97"/>
      <c r="F44" s="111"/>
      <c r="G44" s="151">
        <v>2771.0</v>
      </c>
      <c r="H44" s="95" t="s">
        <v>409</v>
      </c>
      <c r="I44" s="153">
        <v>0.25</v>
      </c>
      <c r="J44" s="55"/>
      <c r="K44" s="118"/>
      <c r="L44" s="151">
        <v>6960.0</v>
      </c>
      <c r="M44" s="125" t="s">
        <v>407</v>
      </c>
      <c r="N44" s="156">
        <v>0.4</v>
      </c>
      <c r="O44" s="55"/>
      <c r="P44" s="118"/>
      <c r="Q44" s="151">
        <v>8333.0</v>
      </c>
      <c r="R44" s="128" t="s">
        <v>408</v>
      </c>
      <c r="S44" s="158">
        <v>0.45</v>
      </c>
      <c r="T44" s="55"/>
      <c r="U44" s="118"/>
      <c r="V44" s="228">
        <v>8663.0</v>
      </c>
      <c r="W44" s="131" t="s">
        <v>410</v>
      </c>
      <c r="X44" s="229"/>
      <c r="Y44" s="55"/>
      <c r="Z44" s="114" t="s">
        <v>385</v>
      </c>
      <c r="AA44" s="100">
        <v>9123.0</v>
      </c>
      <c r="AB44" s="101" t="s">
        <v>387</v>
      </c>
      <c r="AC44" s="102">
        <v>1.0</v>
      </c>
      <c r="AD44" s="55"/>
      <c r="AE44" s="55"/>
      <c r="AF44" s="55"/>
      <c r="AG44" s="55"/>
      <c r="AH44" s="55"/>
      <c r="AI44" s="55"/>
      <c r="AJ44" s="89" t="s">
        <v>411</v>
      </c>
      <c r="AK44" s="90" t="s">
        <v>275</v>
      </c>
      <c r="AL44" s="91">
        <v>7607.0</v>
      </c>
      <c r="AM44" s="92">
        <v>19.9</v>
      </c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</row>
    <row r="45">
      <c r="A45" s="118"/>
      <c r="B45" s="151">
        <v>8332.0</v>
      </c>
      <c r="C45" s="152" t="s">
        <v>412</v>
      </c>
      <c r="D45" s="153">
        <v>0.35</v>
      </c>
      <c r="E45" s="97"/>
      <c r="F45" s="111"/>
      <c r="G45" s="151">
        <v>9067.0</v>
      </c>
      <c r="H45" s="95" t="s">
        <v>413</v>
      </c>
      <c r="I45" s="153">
        <v>0.25</v>
      </c>
      <c r="J45" s="55"/>
      <c r="K45" s="170"/>
      <c r="L45" s="97"/>
      <c r="M45" s="97"/>
      <c r="N45" s="110"/>
      <c r="O45" s="55"/>
      <c r="P45" s="170"/>
      <c r="Q45" s="170"/>
      <c r="R45" s="97"/>
      <c r="S45" s="110"/>
      <c r="T45" s="55"/>
      <c r="U45" s="170"/>
      <c r="V45" s="97"/>
      <c r="W45" s="97"/>
      <c r="X45" s="110"/>
      <c r="Y45" s="55"/>
      <c r="Z45" s="111"/>
      <c r="AA45" s="100">
        <v>9124.0</v>
      </c>
      <c r="AB45" s="101" t="s">
        <v>386</v>
      </c>
      <c r="AC45" s="102">
        <v>1.0</v>
      </c>
      <c r="AD45" s="55"/>
      <c r="AE45" s="55"/>
      <c r="AF45" s="55"/>
      <c r="AG45" s="55"/>
      <c r="AH45" s="55"/>
      <c r="AI45" s="55"/>
      <c r="AJ45" s="230" t="s">
        <v>414</v>
      </c>
      <c r="AK45" s="231" t="s">
        <v>275</v>
      </c>
      <c r="AL45" s="232">
        <v>7609.0</v>
      </c>
      <c r="AM45" s="233">
        <v>26.9</v>
      </c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</row>
    <row r="46">
      <c r="A46" s="170"/>
      <c r="B46" s="97"/>
      <c r="C46" s="97"/>
      <c r="D46" s="110"/>
      <c r="E46" s="97"/>
      <c r="F46" s="118"/>
      <c r="G46" s="151">
        <v>9075.0</v>
      </c>
      <c r="H46" s="120" t="s">
        <v>415</v>
      </c>
      <c r="I46" s="153">
        <v>0.25</v>
      </c>
      <c r="J46" s="55"/>
      <c r="K46" s="114" t="s">
        <v>416</v>
      </c>
      <c r="L46" s="119">
        <v>7575.0</v>
      </c>
      <c r="M46" s="101" t="s">
        <v>384</v>
      </c>
      <c r="N46" s="126">
        <v>0.15</v>
      </c>
      <c r="O46" s="55"/>
      <c r="P46" s="114" t="s">
        <v>416</v>
      </c>
      <c r="Q46" s="127">
        <v>7570.0</v>
      </c>
      <c r="R46" s="104" t="s">
        <v>321</v>
      </c>
      <c r="S46" s="129">
        <v>4.0</v>
      </c>
      <c r="T46" s="55"/>
      <c r="U46" s="114" t="s">
        <v>416</v>
      </c>
      <c r="V46" s="130">
        <v>0.0</v>
      </c>
      <c r="W46" s="107" t="s">
        <v>293</v>
      </c>
      <c r="X46" s="132">
        <v>4.0</v>
      </c>
      <c r="Y46" s="55"/>
      <c r="Z46" s="118"/>
      <c r="AA46" s="124">
        <v>0.0</v>
      </c>
      <c r="AB46" s="125" t="s">
        <v>293</v>
      </c>
      <c r="AC46" s="126">
        <v>0.0</v>
      </c>
      <c r="AD46" s="55"/>
      <c r="AE46" s="55"/>
      <c r="AF46" s="55"/>
      <c r="AG46" s="55"/>
      <c r="AH46" s="55"/>
      <c r="AI46" s="55"/>
      <c r="AJ46" s="89" t="s">
        <v>417</v>
      </c>
      <c r="AK46" s="90" t="s">
        <v>275</v>
      </c>
      <c r="AL46" s="91">
        <v>7610.0</v>
      </c>
      <c r="AM46" s="92">
        <v>25.9</v>
      </c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</row>
    <row r="47">
      <c r="A47" s="114" t="s">
        <v>416</v>
      </c>
      <c r="B47" s="119">
        <v>8386.0</v>
      </c>
      <c r="C47" s="120" t="s">
        <v>418</v>
      </c>
      <c r="D47" s="121">
        <v>0.12</v>
      </c>
      <c r="E47" s="97"/>
      <c r="F47" s="170"/>
      <c r="G47" s="97"/>
      <c r="H47" s="97"/>
      <c r="I47" s="110"/>
      <c r="J47" s="55"/>
      <c r="K47" s="111"/>
      <c r="L47" s="151">
        <v>7576.0</v>
      </c>
      <c r="M47" s="101" t="s">
        <v>389</v>
      </c>
      <c r="N47" s="156">
        <v>0.15</v>
      </c>
      <c r="O47" s="55"/>
      <c r="P47" s="111"/>
      <c r="Q47" s="157">
        <v>0.0</v>
      </c>
      <c r="R47" s="104" t="s">
        <v>293</v>
      </c>
      <c r="S47" s="158">
        <v>5.0</v>
      </c>
      <c r="T47" s="55"/>
      <c r="U47" s="111"/>
      <c r="V47" s="159">
        <v>0.0</v>
      </c>
      <c r="W47" s="107" t="s">
        <v>293</v>
      </c>
      <c r="X47" s="160">
        <v>5.0</v>
      </c>
      <c r="Y47" s="55"/>
      <c r="Z47" s="211"/>
      <c r="AA47" s="97"/>
      <c r="AB47" s="97"/>
      <c r="AC47" s="110"/>
      <c r="AD47" s="55"/>
      <c r="AE47" s="55"/>
      <c r="AF47" s="55"/>
      <c r="AG47" s="55"/>
      <c r="AH47" s="55"/>
      <c r="AI47" s="55"/>
      <c r="AJ47" s="230" t="s">
        <v>419</v>
      </c>
      <c r="AK47" s="231" t="s">
        <v>275</v>
      </c>
      <c r="AL47" s="232">
        <v>7621.0</v>
      </c>
      <c r="AM47" s="233">
        <v>21.9</v>
      </c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</row>
    <row r="48">
      <c r="A48" s="111"/>
      <c r="B48" s="151">
        <v>8551.0</v>
      </c>
      <c r="C48" s="152" t="s">
        <v>420</v>
      </c>
      <c r="D48" s="153">
        <v>0.12</v>
      </c>
      <c r="E48" s="97"/>
      <c r="F48" s="114" t="s">
        <v>416</v>
      </c>
      <c r="G48" s="119">
        <v>0.0</v>
      </c>
      <c r="H48" s="98" t="s">
        <v>293</v>
      </c>
      <c r="I48" s="123">
        <v>0.0</v>
      </c>
      <c r="J48" s="55"/>
      <c r="K48" s="111"/>
      <c r="L48" s="151">
        <v>8079.0</v>
      </c>
      <c r="M48" s="101" t="s">
        <v>390</v>
      </c>
      <c r="N48" s="156">
        <v>0.15</v>
      </c>
      <c r="O48" s="55"/>
      <c r="P48" s="111"/>
      <c r="Q48" s="157">
        <v>0.0</v>
      </c>
      <c r="R48" s="104" t="s">
        <v>293</v>
      </c>
      <c r="S48" s="158">
        <v>6.0</v>
      </c>
      <c r="T48" s="55"/>
      <c r="U48" s="111"/>
      <c r="V48" s="159">
        <v>0.0</v>
      </c>
      <c r="W48" s="107" t="s">
        <v>293</v>
      </c>
      <c r="X48" s="160">
        <v>6.0</v>
      </c>
      <c r="Y48" s="55"/>
      <c r="Z48" s="114" t="s">
        <v>393</v>
      </c>
      <c r="AA48" s="100">
        <v>0.0</v>
      </c>
      <c r="AB48" s="101" t="s">
        <v>293</v>
      </c>
      <c r="AC48" s="102">
        <v>0.0</v>
      </c>
      <c r="AD48" s="55"/>
      <c r="AE48" s="55"/>
      <c r="AF48" s="55"/>
      <c r="AG48" s="55"/>
      <c r="AH48" s="55"/>
      <c r="AI48" s="55"/>
      <c r="AJ48" s="89" t="s">
        <v>280</v>
      </c>
      <c r="AK48" s="90" t="s">
        <v>275</v>
      </c>
      <c r="AL48" s="91">
        <v>7625.0</v>
      </c>
      <c r="AM48" s="92">
        <v>24.9</v>
      </c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</row>
    <row r="49">
      <c r="A49" s="111"/>
      <c r="B49" s="151">
        <v>8498.0</v>
      </c>
      <c r="C49" s="152" t="s">
        <v>421</v>
      </c>
      <c r="D49" s="153">
        <v>0.12</v>
      </c>
      <c r="E49" s="97"/>
      <c r="F49" s="111"/>
      <c r="G49" s="151">
        <v>0.0</v>
      </c>
      <c r="H49" s="98" t="s">
        <v>293</v>
      </c>
      <c r="I49" s="154">
        <v>0.0</v>
      </c>
      <c r="J49" s="55"/>
      <c r="K49" s="118"/>
      <c r="L49" s="155">
        <v>7574.0</v>
      </c>
      <c r="M49" s="125" t="s">
        <v>383</v>
      </c>
      <c r="N49" s="156">
        <v>0.15</v>
      </c>
      <c r="O49" s="55"/>
      <c r="P49" s="118"/>
      <c r="Q49" s="157">
        <v>0.0</v>
      </c>
      <c r="R49" s="128" t="s">
        <v>293</v>
      </c>
      <c r="S49" s="158">
        <v>7.0</v>
      </c>
      <c r="T49" s="55"/>
      <c r="U49" s="118"/>
      <c r="V49" s="159">
        <v>0.0</v>
      </c>
      <c r="W49" s="131" t="s">
        <v>293</v>
      </c>
      <c r="X49" s="160">
        <v>7.0</v>
      </c>
      <c r="Y49" s="55"/>
      <c r="Z49" s="111"/>
      <c r="AA49" s="100">
        <v>0.0</v>
      </c>
      <c r="AB49" s="101" t="s">
        <v>293</v>
      </c>
      <c r="AC49" s="102">
        <v>0.0</v>
      </c>
      <c r="AD49" s="55"/>
      <c r="AE49" s="55"/>
      <c r="AF49" s="55"/>
      <c r="AG49" s="55"/>
      <c r="AH49" s="55"/>
      <c r="AI49" s="55"/>
      <c r="AJ49" s="230" t="s">
        <v>422</v>
      </c>
      <c r="AK49" s="231" t="s">
        <v>275</v>
      </c>
      <c r="AL49" s="232">
        <v>359993.0</v>
      </c>
      <c r="AM49" s="233">
        <v>19.9</v>
      </c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</row>
    <row r="50">
      <c r="A50" s="118"/>
      <c r="B50" s="151">
        <v>0.0</v>
      </c>
      <c r="C50" s="152" t="s">
        <v>293</v>
      </c>
      <c r="D50" s="153">
        <v>0.0</v>
      </c>
      <c r="E50" s="97"/>
      <c r="F50" s="111"/>
      <c r="G50" s="151">
        <v>0.0</v>
      </c>
      <c r="H50" s="98" t="s">
        <v>293</v>
      </c>
      <c r="I50" s="154">
        <v>0.0</v>
      </c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118"/>
      <c r="AA50" s="124">
        <v>0.0</v>
      </c>
      <c r="AB50" s="101" t="s">
        <v>293</v>
      </c>
      <c r="AC50" s="126">
        <v>0.0</v>
      </c>
      <c r="AD50" s="55"/>
      <c r="AE50" s="55"/>
      <c r="AF50" s="55"/>
      <c r="AG50" s="55"/>
      <c r="AH50" s="55"/>
      <c r="AI50" s="55"/>
      <c r="AJ50" s="89" t="s">
        <v>423</v>
      </c>
      <c r="AK50" s="90" t="s">
        <v>275</v>
      </c>
      <c r="AL50" s="91">
        <v>7623.0</v>
      </c>
      <c r="AM50" s="92">
        <v>22.9</v>
      </c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</row>
    <row r="51">
      <c r="A51" s="55"/>
      <c r="B51" s="55"/>
      <c r="C51" s="55"/>
      <c r="D51" s="55"/>
      <c r="E51" s="97"/>
      <c r="F51" s="118"/>
      <c r="G51" s="151">
        <v>0.0</v>
      </c>
      <c r="H51" s="122" t="s">
        <v>293</v>
      </c>
      <c r="I51" s="154">
        <v>0.0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212" t="s">
        <v>398</v>
      </c>
      <c r="AA51" s="213" t="s">
        <v>271</v>
      </c>
      <c r="AB51" s="83" t="s">
        <v>272</v>
      </c>
      <c r="AC51" s="215" t="s">
        <v>273</v>
      </c>
      <c r="AD51" s="55"/>
      <c r="AE51" s="55"/>
      <c r="AF51" s="55"/>
      <c r="AG51" s="55"/>
      <c r="AH51" s="55"/>
      <c r="AI51" s="55"/>
      <c r="AJ51" s="230" t="s">
        <v>424</v>
      </c>
      <c r="AK51" s="231" t="s">
        <v>275</v>
      </c>
      <c r="AL51" s="232">
        <v>359986.0</v>
      </c>
      <c r="AM51" s="233">
        <v>25.9</v>
      </c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</row>
    <row r="52">
      <c r="A52" s="55"/>
      <c r="B52" s="55"/>
      <c r="C52" s="55"/>
      <c r="D52" s="55"/>
      <c r="E52" s="97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217" t="s">
        <v>289</v>
      </c>
      <c r="AA52" s="124">
        <v>0.0</v>
      </c>
      <c r="AB52" s="101" t="s">
        <v>293</v>
      </c>
      <c r="AC52" s="126">
        <v>0.0</v>
      </c>
      <c r="AD52" s="55"/>
      <c r="AE52" s="55"/>
      <c r="AF52" s="55"/>
      <c r="AG52" s="55"/>
      <c r="AH52" s="55"/>
      <c r="AI52" s="55"/>
      <c r="AJ52" s="89" t="s">
        <v>425</v>
      </c>
      <c r="AK52" s="90" t="s">
        <v>275</v>
      </c>
      <c r="AL52" s="91">
        <v>7628.0</v>
      </c>
      <c r="AM52" s="92">
        <v>24.9</v>
      </c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</row>
    <row r="53">
      <c r="A53" s="55"/>
      <c r="B53" s="55"/>
      <c r="C53" s="55"/>
      <c r="D53" s="55"/>
      <c r="E53" s="97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111"/>
      <c r="AA53" s="155">
        <v>0.0</v>
      </c>
      <c r="AB53" s="101" t="s">
        <v>293</v>
      </c>
      <c r="AC53" s="156">
        <v>1.0</v>
      </c>
      <c r="AD53" s="55"/>
      <c r="AE53" s="55"/>
      <c r="AF53" s="55"/>
      <c r="AG53" s="55"/>
      <c r="AH53" s="55"/>
      <c r="AI53" s="55"/>
      <c r="AJ53" s="230" t="s">
        <v>426</v>
      </c>
      <c r="AK53" s="231" t="s">
        <v>275</v>
      </c>
      <c r="AL53" s="232">
        <v>7646.0</v>
      </c>
      <c r="AM53" s="233">
        <v>24.9</v>
      </c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</row>
    <row r="54">
      <c r="A54" s="55"/>
      <c r="B54" s="55"/>
      <c r="C54" s="55"/>
      <c r="D54" s="55"/>
      <c r="E54" s="97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118"/>
      <c r="AA54" s="155">
        <v>0.0</v>
      </c>
      <c r="AB54" s="125" t="s">
        <v>293</v>
      </c>
      <c r="AC54" s="156">
        <v>2.0</v>
      </c>
      <c r="AD54" s="55"/>
      <c r="AE54" s="55"/>
      <c r="AF54" s="55"/>
      <c r="AG54" s="55"/>
      <c r="AH54" s="55"/>
      <c r="AI54" s="55"/>
      <c r="AJ54" s="89" t="s">
        <v>427</v>
      </c>
      <c r="AK54" s="90" t="s">
        <v>275</v>
      </c>
      <c r="AL54" s="91">
        <v>7647.0</v>
      </c>
      <c r="AM54" s="92">
        <v>19.9</v>
      </c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</row>
    <row r="55">
      <c r="A55" s="55"/>
      <c r="B55" s="55"/>
      <c r="C55" s="55"/>
      <c r="D55" s="55"/>
      <c r="E55" s="97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170"/>
      <c r="AA55" s="97"/>
      <c r="AB55" s="97"/>
      <c r="AC55" s="110"/>
      <c r="AD55" s="55"/>
      <c r="AE55" s="55"/>
      <c r="AF55" s="55"/>
      <c r="AG55" s="55"/>
      <c r="AH55" s="55"/>
      <c r="AI55" s="55"/>
      <c r="AJ55" s="230" t="s">
        <v>378</v>
      </c>
      <c r="AK55" s="231" t="s">
        <v>275</v>
      </c>
      <c r="AL55" s="232">
        <v>7652.0</v>
      </c>
      <c r="AM55" s="233">
        <v>19.9</v>
      </c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</row>
    <row r="56">
      <c r="A56" s="55"/>
      <c r="B56" s="55"/>
      <c r="C56" s="55"/>
      <c r="D56" s="55"/>
      <c r="E56" s="97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114" t="s">
        <v>416</v>
      </c>
      <c r="AA56" s="124">
        <v>0.0</v>
      </c>
      <c r="AB56" s="101" t="s">
        <v>293</v>
      </c>
      <c r="AC56" s="126">
        <v>4.0</v>
      </c>
      <c r="AD56" s="55"/>
      <c r="AE56" s="55"/>
      <c r="AF56" s="55"/>
      <c r="AG56" s="55"/>
      <c r="AH56" s="55"/>
      <c r="AI56" s="55"/>
      <c r="AJ56" s="89" t="s">
        <v>428</v>
      </c>
      <c r="AK56" s="90" t="s">
        <v>275</v>
      </c>
      <c r="AL56" s="91">
        <v>7653.0</v>
      </c>
      <c r="AM56" s="92">
        <v>21.9</v>
      </c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</row>
    <row r="57">
      <c r="A57" s="55"/>
      <c r="B57" s="55"/>
      <c r="C57" s="55"/>
      <c r="D57" s="55"/>
      <c r="E57" s="97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111"/>
      <c r="AA57" s="155">
        <v>0.0</v>
      </c>
      <c r="AB57" s="101" t="s">
        <v>293</v>
      </c>
      <c r="AC57" s="156">
        <v>5.0</v>
      </c>
      <c r="AD57" s="55"/>
      <c r="AE57" s="55"/>
      <c r="AF57" s="55"/>
      <c r="AG57" s="55"/>
      <c r="AH57" s="55"/>
      <c r="AI57" s="55"/>
      <c r="AJ57" s="230" t="s">
        <v>288</v>
      </c>
      <c r="AK57" s="231" t="s">
        <v>275</v>
      </c>
      <c r="AL57" s="232">
        <v>7660.0</v>
      </c>
      <c r="AM57" s="233">
        <v>25.9</v>
      </c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</row>
    <row r="58">
      <c r="A58" s="55"/>
      <c r="B58" s="55"/>
      <c r="C58" s="55"/>
      <c r="D58" s="55"/>
      <c r="E58" s="97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111"/>
      <c r="AA58" s="155">
        <v>0.0</v>
      </c>
      <c r="AB58" s="101" t="s">
        <v>293</v>
      </c>
      <c r="AC58" s="156">
        <v>6.0</v>
      </c>
      <c r="AD58" s="55"/>
      <c r="AE58" s="55"/>
      <c r="AF58" s="55"/>
      <c r="AG58" s="55"/>
      <c r="AH58" s="55"/>
      <c r="AI58" s="55"/>
      <c r="AJ58" s="89" t="s">
        <v>429</v>
      </c>
      <c r="AK58" s="90" t="s">
        <v>275</v>
      </c>
      <c r="AL58" s="91">
        <v>7661.0</v>
      </c>
      <c r="AM58" s="92">
        <v>21.9</v>
      </c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</row>
    <row r="59">
      <c r="A59" s="55"/>
      <c r="B59" s="55"/>
      <c r="C59" s="55"/>
      <c r="D59" s="55"/>
      <c r="E59" s="97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118"/>
      <c r="AA59" s="155">
        <v>0.0</v>
      </c>
      <c r="AB59" s="125" t="s">
        <v>293</v>
      </c>
      <c r="AC59" s="156">
        <v>7.0</v>
      </c>
      <c r="AD59" s="55"/>
      <c r="AE59" s="55"/>
      <c r="AF59" s="55"/>
      <c r="AG59" s="55"/>
      <c r="AH59" s="55"/>
      <c r="AI59" s="55"/>
      <c r="AJ59" s="230" t="s">
        <v>430</v>
      </c>
      <c r="AK59" s="231" t="s">
        <v>275</v>
      </c>
      <c r="AL59" s="232">
        <v>7663.0</v>
      </c>
      <c r="AM59" s="233">
        <v>19.9</v>
      </c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</row>
    <row r="60">
      <c r="A60" s="55"/>
      <c r="B60" s="55"/>
      <c r="C60" s="55"/>
      <c r="D60" s="55"/>
      <c r="E60" s="97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89" t="s">
        <v>431</v>
      </c>
      <c r="AK60" s="90" t="s">
        <v>275</v>
      </c>
      <c r="AL60" s="91">
        <v>7778.0</v>
      </c>
      <c r="AM60" s="92">
        <v>19.9</v>
      </c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</row>
    <row r="61">
      <c r="A61" s="55"/>
      <c r="B61" s="55"/>
      <c r="C61" s="55"/>
      <c r="D61" s="55"/>
      <c r="E61" s="97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230" t="s">
        <v>432</v>
      </c>
      <c r="AK61" s="231" t="s">
        <v>275</v>
      </c>
      <c r="AL61" s="232">
        <v>7789.0</v>
      </c>
      <c r="AM61" s="233">
        <v>19.9</v>
      </c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</row>
    <row r="62">
      <c r="A62" s="55"/>
      <c r="B62" s="55"/>
      <c r="C62" s="55"/>
      <c r="D62" s="55"/>
      <c r="E62" s="97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89" t="s">
        <v>433</v>
      </c>
      <c r="AK62" s="90" t="s">
        <v>275</v>
      </c>
      <c r="AL62" s="91">
        <v>7796.0</v>
      </c>
      <c r="AM62" s="92">
        <v>23.9</v>
      </c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</row>
    <row r="63">
      <c r="A63" s="55"/>
      <c r="B63" s="55"/>
      <c r="C63" s="55"/>
      <c r="D63" s="55"/>
      <c r="E63" s="97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230" t="s">
        <v>434</v>
      </c>
      <c r="AK63" s="231" t="s">
        <v>275</v>
      </c>
      <c r="AL63" s="232">
        <v>7814.0</v>
      </c>
      <c r="AM63" s="233">
        <v>26.9</v>
      </c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</row>
    <row r="64">
      <c r="A64" s="55"/>
      <c r="B64" s="55"/>
      <c r="C64" s="55"/>
      <c r="D64" s="55"/>
      <c r="E64" s="97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89" t="s">
        <v>435</v>
      </c>
      <c r="AK64" s="90" t="s">
        <v>275</v>
      </c>
      <c r="AL64" s="91">
        <v>7840.0</v>
      </c>
      <c r="AM64" s="92">
        <v>21.9</v>
      </c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</row>
    <row r="65">
      <c r="A65" s="55"/>
      <c r="B65" s="55"/>
      <c r="C65" s="55"/>
      <c r="D65" s="55"/>
      <c r="E65" s="97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230" t="s">
        <v>436</v>
      </c>
      <c r="AK65" s="231" t="s">
        <v>275</v>
      </c>
      <c r="AL65" s="232">
        <v>7845.0</v>
      </c>
      <c r="AM65" s="233">
        <v>21.9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</row>
    <row r="66">
      <c r="A66" s="55"/>
      <c r="B66" s="55"/>
      <c r="C66" s="55"/>
      <c r="D66" s="55"/>
      <c r="E66" s="97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89" t="s">
        <v>437</v>
      </c>
      <c r="AK66" s="90" t="s">
        <v>275</v>
      </c>
      <c r="AL66" s="91">
        <v>7860.0</v>
      </c>
      <c r="AM66" s="92">
        <v>21.9</v>
      </c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</row>
    <row r="67">
      <c r="A67" s="55"/>
      <c r="B67" s="55"/>
      <c r="C67" s="55"/>
      <c r="D67" s="55"/>
      <c r="E67" s="97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230" t="s">
        <v>438</v>
      </c>
      <c r="AK67" s="231" t="s">
        <v>275</v>
      </c>
      <c r="AL67" s="232">
        <v>7863.0</v>
      </c>
      <c r="AM67" s="233">
        <v>24.9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</row>
    <row r="68">
      <c r="A68" s="55"/>
      <c r="B68" s="55"/>
      <c r="C68" s="55"/>
      <c r="D68" s="55"/>
      <c r="E68" s="97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89" t="s">
        <v>439</v>
      </c>
      <c r="AK68" s="90" t="s">
        <v>275</v>
      </c>
      <c r="AL68" s="91">
        <v>7867.0</v>
      </c>
      <c r="AM68" s="92">
        <v>23.9</v>
      </c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</row>
    <row r="69">
      <c r="A69" s="55"/>
      <c r="B69" s="55"/>
      <c r="C69" s="55"/>
      <c r="D69" s="55"/>
      <c r="E69" s="97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230" t="s">
        <v>287</v>
      </c>
      <c r="AK69" s="231" t="s">
        <v>275</v>
      </c>
      <c r="AL69" s="232">
        <v>7874.0</v>
      </c>
      <c r="AM69" s="233">
        <v>24.9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</row>
    <row r="70">
      <c r="A70" s="55"/>
      <c r="B70" s="55"/>
      <c r="C70" s="55"/>
      <c r="D70" s="55"/>
      <c r="E70" s="97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89" t="s">
        <v>278</v>
      </c>
      <c r="AK70" s="90" t="s">
        <v>275</v>
      </c>
      <c r="AL70" s="91">
        <v>7875.0</v>
      </c>
      <c r="AM70" s="92">
        <v>23.9</v>
      </c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</row>
    <row r="71">
      <c r="A71" s="55"/>
      <c r="B71" s="55"/>
      <c r="C71" s="55"/>
      <c r="D71" s="55"/>
      <c r="E71" s="97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230" t="s">
        <v>440</v>
      </c>
      <c r="AK71" s="231" t="s">
        <v>275</v>
      </c>
      <c r="AL71" s="232">
        <v>7876.0</v>
      </c>
      <c r="AM71" s="233">
        <v>29.9</v>
      </c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</row>
    <row r="72">
      <c r="A72" s="55"/>
      <c r="B72" s="55"/>
      <c r="C72" s="55"/>
      <c r="D72" s="55"/>
      <c r="E72" s="97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89" t="s">
        <v>441</v>
      </c>
      <c r="AK72" s="90" t="s">
        <v>275</v>
      </c>
      <c r="AL72" s="91">
        <v>360104.0</v>
      </c>
      <c r="AM72" s="92">
        <v>29.9</v>
      </c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</row>
    <row r="73">
      <c r="A73" s="55"/>
      <c r="B73" s="55"/>
      <c r="C73" s="55"/>
      <c r="D73" s="55"/>
      <c r="E73" s="97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230" t="s">
        <v>284</v>
      </c>
      <c r="AK73" s="231" t="s">
        <v>275</v>
      </c>
      <c r="AL73" s="232">
        <v>7877.0</v>
      </c>
      <c r="AM73" s="233">
        <v>24.9</v>
      </c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</row>
    <row r="74">
      <c r="A74" s="55"/>
      <c r="B74" s="55"/>
      <c r="C74" s="55"/>
      <c r="D74" s="55"/>
      <c r="E74" s="97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89" t="s">
        <v>442</v>
      </c>
      <c r="AK74" s="90" t="s">
        <v>275</v>
      </c>
      <c r="AL74" s="91">
        <v>7884.0</v>
      </c>
      <c r="AM74" s="92">
        <v>25.9</v>
      </c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</row>
    <row r="75">
      <c r="A75" s="55"/>
      <c r="B75" s="55"/>
      <c r="C75" s="55"/>
      <c r="D75" s="55"/>
      <c r="E75" s="9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230" t="s">
        <v>443</v>
      </c>
      <c r="AK75" s="231" t="s">
        <v>275</v>
      </c>
      <c r="AL75" s="232">
        <v>7943.0</v>
      </c>
      <c r="AM75" s="233">
        <v>24.9</v>
      </c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</row>
    <row r="76">
      <c r="A76" s="55"/>
      <c r="B76" s="55"/>
      <c r="C76" s="55"/>
      <c r="D76" s="55"/>
      <c r="E76" s="97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89" t="s">
        <v>444</v>
      </c>
      <c r="AK76" s="90" t="s">
        <v>275</v>
      </c>
      <c r="AL76" s="91">
        <v>7887.0</v>
      </c>
      <c r="AM76" s="92">
        <v>25.9</v>
      </c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</row>
    <row r="77">
      <c r="A77" s="55"/>
      <c r="B77" s="55"/>
      <c r="C77" s="55"/>
      <c r="D77" s="55"/>
      <c r="E77" s="97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230" t="s">
        <v>445</v>
      </c>
      <c r="AK77" s="231" t="s">
        <v>275</v>
      </c>
      <c r="AL77" s="232">
        <v>7901.0</v>
      </c>
      <c r="AM77" s="233">
        <v>24.9</v>
      </c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</row>
    <row r="78">
      <c r="A78" s="55"/>
      <c r="B78" s="55"/>
      <c r="C78" s="55"/>
      <c r="D78" s="55"/>
      <c r="E78" s="97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89" t="s">
        <v>446</v>
      </c>
      <c r="AK78" s="90" t="s">
        <v>275</v>
      </c>
      <c r="AL78" s="91">
        <v>7907.0</v>
      </c>
      <c r="AM78" s="92">
        <v>27.9</v>
      </c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</row>
    <row r="79">
      <c r="A79" s="55"/>
      <c r="B79" s="55"/>
      <c r="C79" s="55"/>
      <c r="D79" s="55"/>
      <c r="E79" s="97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230" t="s">
        <v>447</v>
      </c>
      <c r="AK79" s="231" t="s">
        <v>275</v>
      </c>
      <c r="AL79" s="232">
        <v>7923.0</v>
      </c>
      <c r="AM79" s="233">
        <v>24.9</v>
      </c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</row>
    <row r="80">
      <c r="A80" s="55"/>
      <c r="B80" s="55"/>
      <c r="C80" s="55"/>
      <c r="D80" s="55"/>
      <c r="E80" s="97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89" t="s">
        <v>448</v>
      </c>
      <c r="AK80" s="90" t="s">
        <v>275</v>
      </c>
      <c r="AL80" s="91">
        <v>7925.0</v>
      </c>
      <c r="AM80" s="92">
        <v>0.0</v>
      </c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</row>
    <row r="81">
      <c r="A81" s="55"/>
      <c r="B81" s="55"/>
      <c r="C81" s="55"/>
      <c r="D81" s="55"/>
      <c r="E81" s="97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230" t="s">
        <v>449</v>
      </c>
      <c r="AK81" s="231" t="s">
        <v>275</v>
      </c>
      <c r="AL81" s="232">
        <v>7927.0</v>
      </c>
      <c r="AM81" s="233">
        <v>26.9</v>
      </c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</row>
    <row r="82">
      <c r="A82" s="55"/>
      <c r="B82" s="55"/>
      <c r="C82" s="55"/>
      <c r="D82" s="55"/>
      <c r="E82" s="97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89" t="s">
        <v>450</v>
      </c>
      <c r="AK82" s="90" t="s">
        <v>292</v>
      </c>
      <c r="AL82" s="91">
        <v>5748.0</v>
      </c>
      <c r="AM82" s="92">
        <v>0.0</v>
      </c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</row>
    <row r="83">
      <c r="A83" s="55"/>
      <c r="B83" s="55"/>
      <c r="C83" s="55"/>
      <c r="D83" s="55"/>
      <c r="E83" s="97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230" t="s">
        <v>451</v>
      </c>
      <c r="AK83" s="231" t="s">
        <v>292</v>
      </c>
      <c r="AL83" s="232">
        <v>3141.0</v>
      </c>
      <c r="AM83" s="233">
        <v>0.0</v>
      </c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</row>
    <row r="84">
      <c r="A84" s="55"/>
      <c r="B84" s="55"/>
      <c r="C84" s="55"/>
      <c r="D84" s="55"/>
      <c r="E84" s="97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89" t="s">
        <v>452</v>
      </c>
      <c r="AK84" s="90" t="s">
        <v>292</v>
      </c>
      <c r="AL84" s="91">
        <v>3128.0</v>
      </c>
      <c r="AM84" s="92">
        <v>0.0</v>
      </c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</row>
    <row r="85">
      <c r="A85" s="55"/>
      <c r="B85" s="55"/>
      <c r="C85" s="55"/>
      <c r="D85" s="55"/>
      <c r="E85" s="97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230" t="s">
        <v>453</v>
      </c>
      <c r="AK85" s="231" t="s">
        <v>292</v>
      </c>
      <c r="AL85" s="232">
        <v>2527.0</v>
      </c>
      <c r="AM85" s="233">
        <v>0.0</v>
      </c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</row>
    <row r="86">
      <c r="A86" s="55"/>
      <c r="B86" s="55"/>
      <c r="C86" s="55"/>
      <c r="D86" s="55"/>
      <c r="E86" s="97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89" t="s">
        <v>454</v>
      </c>
      <c r="AK86" s="90" t="s">
        <v>292</v>
      </c>
      <c r="AL86" s="91">
        <v>2526.0</v>
      </c>
      <c r="AM86" s="92">
        <v>0.0</v>
      </c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</row>
    <row r="87">
      <c r="A87" s="55"/>
      <c r="B87" s="55"/>
      <c r="C87" s="55"/>
      <c r="D87" s="55"/>
      <c r="E87" s="97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230" t="s">
        <v>455</v>
      </c>
      <c r="AK87" s="231" t="s">
        <v>292</v>
      </c>
      <c r="AL87" s="232">
        <v>5394.0</v>
      </c>
      <c r="AM87" s="233">
        <v>0.0</v>
      </c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</row>
    <row r="88">
      <c r="A88" s="55"/>
      <c r="B88" s="55"/>
      <c r="C88" s="55"/>
      <c r="D88" s="55"/>
      <c r="E88" s="97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89" t="s">
        <v>456</v>
      </c>
      <c r="AK88" s="90" t="s">
        <v>292</v>
      </c>
      <c r="AL88" s="91">
        <v>3090.0</v>
      </c>
      <c r="AM88" s="92">
        <v>0.0</v>
      </c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</row>
    <row r="89">
      <c r="A89" s="55"/>
      <c r="B89" s="55"/>
      <c r="C89" s="55"/>
      <c r="D89" s="55"/>
      <c r="E89" s="97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230" t="s">
        <v>457</v>
      </c>
      <c r="AK89" s="231" t="s">
        <v>292</v>
      </c>
      <c r="AL89" s="232">
        <v>3133.0</v>
      </c>
      <c r="AM89" s="233">
        <v>0.0</v>
      </c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</row>
    <row r="90">
      <c r="A90" s="55"/>
      <c r="B90" s="55"/>
      <c r="C90" s="55"/>
      <c r="D90" s="55"/>
      <c r="E90" s="97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89" t="s">
        <v>458</v>
      </c>
      <c r="AK90" s="90" t="s">
        <v>292</v>
      </c>
      <c r="AL90" s="91">
        <v>4275.0</v>
      </c>
      <c r="AM90" s="92">
        <v>0.0</v>
      </c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</row>
    <row r="91">
      <c r="A91" s="55"/>
      <c r="B91" s="55"/>
      <c r="C91" s="55"/>
      <c r="D91" s="55"/>
      <c r="E91" s="97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230" t="s">
        <v>459</v>
      </c>
      <c r="AK91" s="231" t="s">
        <v>292</v>
      </c>
      <c r="AL91" s="232">
        <v>2590.0</v>
      </c>
      <c r="AM91" s="233">
        <v>0.0</v>
      </c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</row>
    <row r="92">
      <c r="A92" s="55"/>
      <c r="B92" s="55"/>
      <c r="C92" s="55"/>
      <c r="D92" s="55"/>
      <c r="E92" s="97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89" t="s">
        <v>460</v>
      </c>
      <c r="AK92" s="90" t="s">
        <v>292</v>
      </c>
      <c r="AL92" s="91">
        <v>2748.0</v>
      </c>
      <c r="AM92" s="92">
        <v>0.0</v>
      </c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</row>
    <row r="93">
      <c r="A93" s="55"/>
      <c r="B93" s="55"/>
      <c r="C93" s="55"/>
      <c r="D93" s="55"/>
      <c r="E93" s="97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230" t="s">
        <v>461</v>
      </c>
      <c r="AK93" s="231" t="s">
        <v>292</v>
      </c>
      <c r="AL93" s="232">
        <v>5023.0</v>
      </c>
      <c r="AM93" s="233">
        <v>0.0</v>
      </c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</row>
    <row r="94">
      <c r="A94" s="55"/>
      <c r="B94" s="55"/>
      <c r="C94" s="55"/>
      <c r="D94" s="55"/>
      <c r="E94" s="97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89" t="s">
        <v>462</v>
      </c>
      <c r="AK94" s="90" t="s">
        <v>292</v>
      </c>
      <c r="AL94" s="91">
        <v>2135.0</v>
      </c>
      <c r="AM94" s="92">
        <v>0.0</v>
      </c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</row>
    <row r="95">
      <c r="A95" s="55"/>
      <c r="B95" s="55"/>
      <c r="C95" s="55"/>
      <c r="D95" s="55"/>
      <c r="E95" s="97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230" t="s">
        <v>463</v>
      </c>
      <c r="AK95" s="231" t="s">
        <v>292</v>
      </c>
      <c r="AL95" s="232">
        <v>2458.0</v>
      </c>
      <c r="AM95" s="233">
        <v>0.0</v>
      </c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</row>
    <row r="96">
      <c r="A96" s="55"/>
      <c r="B96" s="55"/>
      <c r="C96" s="55"/>
      <c r="D96" s="55"/>
      <c r="E96" s="97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89" t="s">
        <v>464</v>
      </c>
      <c r="AK96" s="90" t="s">
        <v>292</v>
      </c>
      <c r="AL96" s="91">
        <v>2220.0</v>
      </c>
      <c r="AM96" s="92">
        <v>11.5</v>
      </c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</row>
    <row r="97">
      <c r="A97" s="55"/>
      <c r="B97" s="55"/>
      <c r="C97" s="55"/>
      <c r="D97" s="55"/>
      <c r="E97" s="97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230" t="s">
        <v>465</v>
      </c>
      <c r="AK97" s="231" t="s">
        <v>292</v>
      </c>
      <c r="AL97" s="232">
        <v>5981.0</v>
      </c>
      <c r="AM97" s="233">
        <v>0.0</v>
      </c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</row>
    <row r="98">
      <c r="A98" s="55"/>
      <c r="B98" s="55"/>
      <c r="C98" s="55"/>
      <c r="D98" s="55"/>
      <c r="E98" s="97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89" t="s">
        <v>466</v>
      </c>
      <c r="AK98" s="90" t="s">
        <v>292</v>
      </c>
      <c r="AL98" s="91">
        <v>2548.0</v>
      </c>
      <c r="AM98" s="92">
        <v>0.0</v>
      </c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</row>
    <row r="99">
      <c r="A99" s="55"/>
      <c r="B99" s="55"/>
      <c r="C99" s="55"/>
      <c r="D99" s="55"/>
      <c r="E99" s="97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230" t="s">
        <v>467</v>
      </c>
      <c r="AK99" s="231" t="s">
        <v>292</v>
      </c>
      <c r="AL99" s="232">
        <v>2080.0</v>
      </c>
      <c r="AM99" s="233">
        <v>0.0</v>
      </c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</row>
    <row r="100">
      <c r="A100" s="55"/>
      <c r="B100" s="55"/>
      <c r="C100" s="55"/>
      <c r="D100" s="55"/>
      <c r="E100" s="97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89" t="s">
        <v>468</v>
      </c>
      <c r="AK100" s="90" t="s">
        <v>292</v>
      </c>
      <c r="AL100" s="91">
        <v>3127.0</v>
      </c>
      <c r="AM100" s="92">
        <v>0.0</v>
      </c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</row>
    <row r="101">
      <c r="A101" s="55"/>
      <c r="B101" s="55"/>
      <c r="C101" s="55"/>
      <c r="D101" s="55"/>
      <c r="E101" s="97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230" t="s">
        <v>469</v>
      </c>
      <c r="AK101" s="231" t="s">
        <v>292</v>
      </c>
      <c r="AL101" s="232">
        <v>2602.0</v>
      </c>
      <c r="AM101" s="233">
        <v>0.0</v>
      </c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</row>
    <row r="102">
      <c r="A102" s="55"/>
      <c r="B102" s="55"/>
      <c r="C102" s="55"/>
      <c r="D102" s="55"/>
      <c r="E102" s="9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89" t="s">
        <v>470</v>
      </c>
      <c r="AK102" s="90" t="s">
        <v>471</v>
      </c>
      <c r="AL102" s="91">
        <v>2481.0</v>
      </c>
      <c r="AM102" s="92">
        <v>0.0</v>
      </c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</row>
    <row r="103">
      <c r="A103" s="55"/>
      <c r="B103" s="55"/>
      <c r="C103" s="55"/>
      <c r="D103" s="55"/>
      <c r="E103" s="97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230" t="s">
        <v>472</v>
      </c>
      <c r="AK103" s="231" t="s">
        <v>292</v>
      </c>
      <c r="AL103" s="232">
        <v>5089.0</v>
      </c>
      <c r="AM103" s="233">
        <v>0.0</v>
      </c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</row>
    <row r="104">
      <c r="A104" s="55"/>
      <c r="B104" s="55"/>
      <c r="C104" s="55"/>
      <c r="D104" s="55"/>
      <c r="E104" s="97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89" t="s">
        <v>473</v>
      </c>
      <c r="AK104" s="90" t="s">
        <v>292</v>
      </c>
      <c r="AL104" s="91">
        <v>2036.0</v>
      </c>
      <c r="AM104" s="92">
        <v>0.0</v>
      </c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</row>
    <row r="105">
      <c r="A105" s="55"/>
      <c r="B105" s="55"/>
      <c r="C105" s="55"/>
      <c r="D105" s="55"/>
      <c r="E105" s="97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230" t="s">
        <v>474</v>
      </c>
      <c r="AK105" s="231" t="s">
        <v>292</v>
      </c>
      <c r="AL105" s="232">
        <v>2104.0</v>
      </c>
      <c r="AM105" s="233">
        <v>0.0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</row>
    <row r="106">
      <c r="A106" s="55"/>
      <c r="B106" s="55"/>
      <c r="C106" s="55"/>
      <c r="D106" s="55"/>
      <c r="E106" s="97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89" t="s">
        <v>475</v>
      </c>
      <c r="AK106" s="90" t="s">
        <v>292</v>
      </c>
      <c r="AL106" s="91">
        <v>5146.0</v>
      </c>
      <c r="AM106" s="92">
        <v>0.0</v>
      </c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</row>
    <row r="107">
      <c r="A107" s="55"/>
      <c r="B107" s="55"/>
      <c r="C107" s="55"/>
      <c r="D107" s="55"/>
      <c r="E107" s="97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230" t="s">
        <v>476</v>
      </c>
      <c r="AK107" s="231" t="s">
        <v>292</v>
      </c>
      <c r="AL107" s="232">
        <v>2738.0</v>
      </c>
      <c r="AM107" s="233">
        <v>0.0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</row>
    <row r="108">
      <c r="A108" s="55"/>
      <c r="B108" s="55"/>
      <c r="C108" s="55"/>
      <c r="D108" s="55"/>
      <c r="E108" s="97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89" t="s">
        <v>477</v>
      </c>
      <c r="AK108" s="90" t="s">
        <v>292</v>
      </c>
      <c r="AL108" s="91">
        <v>5990.0</v>
      </c>
      <c r="AM108" s="92">
        <v>0.0</v>
      </c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</row>
    <row r="109">
      <c r="A109" s="55"/>
      <c r="B109" s="55"/>
      <c r="C109" s="55"/>
      <c r="D109" s="55"/>
      <c r="E109" s="97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230" t="s">
        <v>478</v>
      </c>
      <c r="AK109" s="231" t="s">
        <v>292</v>
      </c>
      <c r="AL109" s="232">
        <v>2647.0</v>
      </c>
      <c r="AM109" s="233">
        <v>0.0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</row>
    <row r="110">
      <c r="A110" s="55"/>
      <c r="B110" s="55"/>
      <c r="C110" s="55"/>
      <c r="D110" s="55"/>
      <c r="E110" s="97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89" t="s">
        <v>479</v>
      </c>
      <c r="AK110" s="90" t="s">
        <v>292</v>
      </c>
      <c r="AL110" s="91">
        <v>2520.0</v>
      </c>
      <c r="AM110" s="92">
        <v>0.0</v>
      </c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</row>
    <row r="111">
      <c r="A111" s="55"/>
      <c r="B111" s="55"/>
      <c r="C111" s="55"/>
      <c r="D111" s="55"/>
      <c r="E111" s="97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230" t="s">
        <v>480</v>
      </c>
      <c r="AK111" s="231" t="s">
        <v>275</v>
      </c>
      <c r="AL111" s="232">
        <v>235242.0</v>
      </c>
      <c r="AM111" s="233">
        <v>0.0</v>
      </c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</row>
    <row r="112">
      <c r="A112" s="55"/>
      <c r="B112" s="55"/>
      <c r="C112" s="55"/>
      <c r="D112" s="55"/>
      <c r="E112" s="97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89" t="s">
        <v>481</v>
      </c>
      <c r="AK112" s="90" t="s">
        <v>309</v>
      </c>
      <c r="AL112" s="91">
        <v>1974.0</v>
      </c>
      <c r="AM112" s="92">
        <v>0.0</v>
      </c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</row>
    <row r="113">
      <c r="A113" s="55"/>
      <c r="B113" s="55"/>
      <c r="C113" s="55"/>
      <c r="D113" s="55"/>
      <c r="E113" s="97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230" t="s">
        <v>482</v>
      </c>
      <c r="AK113" s="231" t="s">
        <v>309</v>
      </c>
      <c r="AL113" s="232">
        <v>2361.0</v>
      </c>
      <c r="AM113" s="233">
        <v>0.0</v>
      </c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</row>
    <row r="114">
      <c r="A114" s="55"/>
      <c r="B114" s="55"/>
      <c r="C114" s="55"/>
      <c r="D114" s="55"/>
      <c r="E114" s="97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89" t="s">
        <v>483</v>
      </c>
      <c r="AK114" s="90" t="s">
        <v>309</v>
      </c>
      <c r="AL114" s="91">
        <v>5088.0</v>
      </c>
      <c r="AM114" s="92">
        <v>0.0</v>
      </c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</row>
    <row r="115">
      <c r="A115" s="55"/>
      <c r="B115" s="55"/>
      <c r="C115" s="55"/>
      <c r="D115" s="55"/>
      <c r="E115" s="97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230" t="s">
        <v>484</v>
      </c>
      <c r="AK115" s="231" t="s">
        <v>309</v>
      </c>
      <c r="AL115" s="232">
        <v>5090.0</v>
      </c>
      <c r="AM115" s="233">
        <v>0.0</v>
      </c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</row>
    <row r="116">
      <c r="A116" s="55"/>
      <c r="B116" s="55"/>
      <c r="C116" s="55"/>
      <c r="D116" s="55"/>
      <c r="E116" s="97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89" t="s">
        <v>485</v>
      </c>
      <c r="AK116" s="90" t="s">
        <v>292</v>
      </c>
      <c r="AL116" s="91">
        <v>2319.0</v>
      </c>
      <c r="AM116" s="92">
        <v>0.0</v>
      </c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</row>
    <row r="117">
      <c r="A117" s="55"/>
      <c r="B117" s="55"/>
      <c r="C117" s="55"/>
      <c r="D117" s="55"/>
      <c r="E117" s="97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230" t="s">
        <v>486</v>
      </c>
      <c r="AK117" s="231" t="s">
        <v>292</v>
      </c>
      <c r="AL117" s="232">
        <v>2439.0</v>
      </c>
      <c r="AM117" s="233">
        <v>0.0</v>
      </c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</row>
    <row r="118">
      <c r="A118" s="55"/>
      <c r="B118" s="55"/>
      <c r="C118" s="55"/>
      <c r="D118" s="55"/>
      <c r="E118" s="97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89" t="s">
        <v>487</v>
      </c>
      <c r="AK118" s="90" t="s">
        <v>292</v>
      </c>
      <c r="AL118" s="91">
        <v>2801.0</v>
      </c>
      <c r="AM118" s="92">
        <v>0.0</v>
      </c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</row>
    <row r="119">
      <c r="A119" s="55"/>
      <c r="B119" s="55"/>
      <c r="C119" s="55"/>
      <c r="D119" s="55"/>
      <c r="E119" s="97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230" t="s">
        <v>488</v>
      </c>
      <c r="AK119" s="231" t="s">
        <v>292</v>
      </c>
      <c r="AL119" s="232">
        <v>5913.0</v>
      </c>
      <c r="AM119" s="233">
        <v>0.0</v>
      </c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</row>
    <row r="120">
      <c r="A120" s="55"/>
      <c r="B120" s="55"/>
      <c r="C120" s="55"/>
      <c r="D120" s="55"/>
      <c r="E120" s="97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89" t="s">
        <v>489</v>
      </c>
      <c r="AK120" s="90" t="s">
        <v>292</v>
      </c>
      <c r="AL120" s="91">
        <v>4414.0</v>
      </c>
      <c r="AM120" s="92">
        <v>0.0</v>
      </c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</row>
    <row r="121">
      <c r="A121" s="55"/>
      <c r="B121" s="55"/>
      <c r="C121" s="55"/>
      <c r="D121" s="55"/>
      <c r="E121" s="97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230" t="s">
        <v>490</v>
      </c>
      <c r="AK121" s="231" t="s">
        <v>292</v>
      </c>
      <c r="AL121" s="232">
        <v>2550.0</v>
      </c>
      <c r="AM121" s="233">
        <v>0.0</v>
      </c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</row>
    <row r="122">
      <c r="A122" s="55"/>
      <c r="B122" s="55"/>
      <c r="C122" s="55"/>
      <c r="D122" s="55"/>
      <c r="E122" s="97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89" t="s">
        <v>491</v>
      </c>
      <c r="AK122" s="90" t="s">
        <v>292</v>
      </c>
      <c r="AL122" s="91">
        <v>2221.0</v>
      </c>
      <c r="AM122" s="92">
        <v>2.4</v>
      </c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</row>
    <row r="123">
      <c r="A123" s="55"/>
      <c r="B123" s="55"/>
      <c r="C123" s="55"/>
      <c r="D123" s="55"/>
      <c r="E123" s="97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230" t="s">
        <v>492</v>
      </c>
      <c r="AK123" s="231" t="s">
        <v>292</v>
      </c>
      <c r="AL123" s="232">
        <v>2033.0</v>
      </c>
      <c r="AM123" s="233">
        <v>0.0</v>
      </c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</row>
    <row r="124">
      <c r="A124" s="55"/>
      <c r="B124" s="55"/>
      <c r="C124" s="55"/>
      <c r="D124" s="55"/>
      <c r="E124" s="97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89" t="s">
        <v>493</v>
      </c>
      <c r="AK124" s="90" t="s">
        <v>292</v>
      </c>
      <c r="AL124" s="91">
        <v>3436.0</v>
      </c>
      <c r="AM124" s="92">
        <v>0.0</v>
      </c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</row>
    <row r="125">
      <c r="A125" s="55"/>
      <c r="B125" s="55"/>
      <c r="C125" s="55"/>
      <c r="D125" s="55"/>
      <c r="E125" s="97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230" t="s">
        <v>494</v>
      </c>
      <c r="AK125" s="231" t="s">
        <v>292</v>
      </c>
      <c r="AL125" s="232">
        <v>2342.0</v>
      </c>
      <c r="AM125" s="233">
        <v>0.0</v>
      </c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</row>
    <row r="126">
      <c r="A126" s="55"/>
      <c r="B126" s="55"/>
      <c r="C126" s="55"/>
      <c r="D126" s="55"/>
      <c r="E126" s="97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89" t="s">
        <v>495</v>
      </c>
      <c r="AK126" s="90" t="s">
        <v>292</v>
      </c>
      <c r="AL126" s="91">
        <v>2515.0</v>
      </c>
      <c r="AM126" s="92">
        <v>0.0</v>
      </c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</row>
    <row r="127">
      <c r="A127" s="55"/>
      <c r="B127" s="55"/>
      <c r="C127" s="55"/>
      <c r="D127" s="55"/>
      <c r="E127" s="97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230" t="s">
        <v>496</v>
      </c>
      <c r="AK127" s="231" t="s">
        <v>292</v>
      </c>
      <c r="AL127" s="232">
        <v>2343.0</v>
      </c>
      <c r="AM127" s="233">
        <v>0.0</v>
      </c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</row>
    <row r="128">
      <c r="A128" s="55"/>
      <c r="B128" s="55"/>
      <c r="C128" s="55"/>
      <c r="D128" s="55"/>
      <c r="E128" s="97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89" t="s">
        <v>497</v>
      </c>
      <c r="AK128" s="90" t="s">
        <v>292</v>
      </c>
      <c r="AL128" s="91">
        <v>2484.0</v>
      </c>
      <c r="AM128" s="92">
        <v>0.0</v>
      </c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</row>
    <row r="129">
      <c r="A129" s="55"/>
      <c r="B129" s="55"/>
      <c r="C129" s="55"/>
      <c r="D129" s="55"/>
      <c r="E129" s="97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230" t="s">
        <v>498</v>
      </c>
      <c r="AK129" s="231" t="s">
        <v>292</v>
      </c>
      <c r="AL129" s="232">
        <v>2519.0</v>
      </c>
      <c r="AM129" s="233">
        <v>0.0</v>
      </c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</row>
    <row r="130">
      <c r="A130" s="55"/>
      <c r="B130" s="55"/>
      <c r="C130" s="55"/>
      <c r="D130" s="55"/>
      <c r="E130" s="97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89" t="s">
        <v>499</v>
      </c>
      <c r="AK130" s="90" t="s">
        <v>292</v>
      </c>
      <c r="AL130" s="91">
        <v>5329.0</v>
      </c>
      <c r="AM130" s="92">
        <v>0.0</v>
      </c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</row>
    <row r="131">
      <c r="A131" s="55"/>
      <c r="B131" s="55"/>
      <c r="C131" s="55"/>
      <c r="D131" s="55"/>
      <c r="E131" s="97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230" t="s">
        <v>500</v>
      </c>
      <c r="AK131" s="231" t="s">
        <v>292</v>
      </c>
      <c r="AL131" s="232">
        <v>5330.0</v>
      </c>
      <c r="AM131" s="233">
        <v>0.0</v>
      </c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</row>
    <row r="132">
      <c r="A132" s="55"/>
      <c r="B132" s="55"/>
      <c r="C132" s="55"/>
      <c r="D132" s="55"/>
      <c r="E132" s="97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89" t="s">
        <v>501</v>
      </c>
      <c r="AK132" s="90" t="s">
        <v>292</v>
      </c>
      <c r="AL132" s="91">
        <v>6473.0</v>
      </c>
      <c r="AM132" s="92">
        <v>34.35</v>
      </c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</row>
    <row r="133">
      <c r="A133" s="55"/>
      <c r="B133" s="55"/>
      <c r="C133" s="55"/>
      <c r="D133" s="55"/>
      <c r="E133" s="97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230" t="s">
        <v>502</v>
      </c>
      <c r="AK133" s="231" t="s">
        <v>292</v>
      </c>
      <c r="AL133" s="232">
        <v>2405.0</v>
      </c>
      <c r="AM133" s="233">
        <v>0.0</v>
      </c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</row>
    <row r="134">
      <c r="A134" s="55"/>
      <c r="B134" s="55"/>
      <c r="C134" s="55"/>
      <c r="D134" s="55"/>
      <c r="E134" s="97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89" t="s">
        <v>503</v>
      </c>
      <c r="AK134" s="90" t="s">
        <v>292</v>
      </c>
      <c r="AL134" s="91">
        <v>5943.0</v>
      </c>
      <c r="AM134" s="92">
        <v>0.0</v>
      </c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</row>
    <row r="135">
      <c r="A135" s="55"/>
      <c r="B135" s="55"/>
      <c r="C135" s="55"/>
      <c r="D135" s="55"/>
      <c r="E135" s="97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230" t="s">
        <v>504</v>
      </c>
      <c r="AK135" s="231" t="s">
        <v>292</v>
      </c>
      <c r="AL135" s="232">
        <v>2216.0</v>
      </c>
      <c r="AM135" s="233">
        <v>18.5</v>
      </c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</row>
    <row r="136">
      <c r="A136" s="55"/>
      <c r="B136" s="55"/>
      <c r="C136" s="55"/>
      <c r="D136" s="55"/>
      <c r="E136" s="97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89" t="s">
        <v>505</v>
      </c>
      <c r="AK136" s="90" t="s">
        <v>292</v>
      </c>
      <c r="AL136" s="91">
        <v>2412.0</v>
      </c>
      <c r="AM136" s="92">
        <v>0.0</v>
      </c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</row>
    <row r="137">
      <c r="A137" s="55"/>
      <c r="B137" s="55"/>
      <c r="C137" s="55"/>
      <c r="D137" s="55"/>
      <c r="E137" s="97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230" t="s">
        <v>506</v>
      </c>
      <c r="AK137" s="231" t="s">
        <v>292</v>
      </c>
      <c r="AL137" s="232">
        <v>6468.0</v>
      </c>
      <c r="AM137" s="233">
        <v>0.0</v>
      </c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</row>
    <row r="138">
      <c r="A138" s="55"/>
      <c r="B138" s="55"/>
      <c r="C138" s="55"/>
      <c r="D138" s="55"/>
      <c r="E138" s="97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89" t="s">
        <v>507</v>
      </c>
      <c r="AK138" s="90" t="s">
        <v>292</v>
      </c>
      <c r="AL138" s="91">
        <v>2419.0</v>
      </c>
      <c r="AM138" s="92">
        <v>0.0</v>
      </c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</row>
    <row r="139">
      <c r="A139" s="55"/>
      <c r="B139" s="55"/>
      <c r="C139" s="55"/>
      <c r="D139" s="55"/>
      <c r="E139" s="97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230" t="s">
        <v>508</v>
      </c>
      <c r="AK139" s="231" t="s">
        <v>292</v>
      </c>
      <c r="AL139" s="232">
        <v>2406.0</v>
      </c>
      <c r="AM139" s="233">
        <v>0.0</v>
      </c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</row>
    <row r="140">
      <c r="A140" s="55"/>
      <c r="B140" s="55"/>
      <c r="C140" s="55"/>
      <c r="D140" s="55"/>
      <c r="E140" s="97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89" t="s">
        <v>509</v>
      </c>
      <c r="AK140" s="90" t="s">
        <v>292</v>
      </c>
      <c r="AL140" s="91">
        <v>2407.0</v>
      </c>
      <c r="AM140" s="92">
        <v>0.0</v>
      </c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</row>
    <row r="141">
      <c r="A141" s="55"/>
      <c r="B141" s="55"/>
      <c r="C141" s="55"/>
      <c r="D141" s="55"/>
      <c r="E141" s="97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230" t="s">
        <v>510</v>
      </c>
      <c r="AK141" s="231" t="s">
        <v>292</v>
      </c>
      <c r="AL141" s="232">
        <v>2196.0</v>
      </c>
      <c r="AM141" s="233">
        <v>0.0</v>
      </c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</row>
    <row r="142">
      <c r="A142" s="55"/>
      <c r="B142" s="55"/>
      <c r="C142" s="55"/>
      <c r="D142" s="55"/>
      <c r="E142" s="97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89" t="s">
        <v>511</v>
      </c>
      <c r="AK142" s="90" t="s">
        <v>292</v>
      </c>
      <c r="AL142" s="91">
        <v>5269.0</v>
      </c>
      <c r="AM142" s="92">
        <v>0.0</v>
      </c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</row>
    <row r="143">
      <c r="A143" s="55"/>
      <c r="B143" s="55"/>
      <c r="C143" s="55"/>
      <c r="D143" s="55"/>
      <c r="E143" s="97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230" t="s">
        <v>512</v>
      </c>
      <c r="AK143" s="231" t="s">
        <v>292</v>
      </c>
      <c r="AL143" s="232">
        <v>2687.0</v>
      </c>
      <c r="AM143" s="233">
        <v>0.0</v>
      </c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</row>
    <row r="144">
      <c r="A144" s="55"/>
      <c r="B144" s="55"/>
      <c r="C144" s="55"/>
      <c r="D144" s="55"/>
      <c r="E144" s="97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89" t="s">
        <v>513</v>
      </c>
      <c r="AK144" s="90" t="s">
        <v>292</v>
      </c>
      <c r="AL144" s="91">
        <v>6780.0</v>
      </c>
      <c r="AM144" s="92">
        <v>0.0</v>
      </c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</row>
    <row r="145">
      <c r="A145" s="55"/>
      <c r="B145" s="55"/>
      <c r="C145" s="55"/>
      <c r="D145" s="55"/>
      <c r="E145" s="97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230" t="s">
        <v>514</v>
      </c>
      <c r="AK145" s="231" t="s">
        <v>292</v>
      </c>
      <c r="AL145" s="232">
        <v>3747.0</v>
      </c>
      <c r="AM145" s="233">
        <v>0.0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</row>
    <row r="146">
      <c r="A146" s="55"/>
      <c r="B146" s="55"/>
      <c r="C146" s="55"/>
      <c r="D146" s="55"/>
      <c r="E146" s="97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89" t="s">
        <v>515</v>
      </c>
      <c r="AK146" s="90" t="s">
        <v>292</v>
      </c>
      <c r="AL146" s="91">
        <v>5258.0</v>
      </c>
      <c r="AM146" s="92">
        <v>0.0</v>
      </c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</row>
    <row r="147">
      <c r="A147" s="55"/>
      <c r="B147" s="55"/>
      <c r="C147" s="55"/>
      <c r="D147" s="55"/>
      <c r="E147" s="97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230" t="s">
        <v>516</v>
      </c>
      <c r="AK147" s="231" t="s">
        <v>292</v>
      </c>
      <c r="AL147" s="232">
        <v>2300.0</v>
      </c>
      <c r="AM147" s="233">
        <v>0.0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</row>
    <row r="148">
      <c r="A148" s="55"/>
      <c r="B148" s="55"/>
      <c r="C148" s="55"/>
      <c r="D148" s="55"/>
      <c r="E148" s="97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89" t="s">
        <v>517</v>
      </c>
      <c r="AK148" s="90" t="s">
        <v>292</v>
      </c>
      <c r="AL148" s="91">
        <v>4576.0</v>
      </c>
      <c r="AM148" s="92">
        <v>0.0</v>
      </c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</row>
    <row r="149">
      <c r="A149" s="55"/>
      <c r="B149" s="55"/>
      <c r="C149" s="55"/>
      <c r="D149" s="55"/>
      <c r="E149" s="97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230" t="s">
        <v>518</v>
      </c>
      <c r="AK149" s="231" t="s">
        <v>292</v>
      </c>
      <c r="AL149" s="232">
        <v>3153.0</v>
      </c>
      <c r="AM149" s="233">
        <v>0.0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</row>
    <row r="150">
      <c r="A150" s="55"/>
      <c r="B150" s="55"/>
      <c r="C150" s="55"/>
      <c r="D150" s="55"/>
      <c r="E150" s="97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89" t="s">
        <v>519</v>
      </c>
      <c r="AK150" s="90" t="s">
        <v>292</v>
      </c>
      <c r="AL150" s="91">
        <v>3140.0</v>
      </c>
      <c r="AM150" s="92">
        <v>0.0</v>
      </c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</row>
    <row r="151">
      <c r="A151" s="55"/>
      <c r="B151" s="55"/>
      <c r="C151" s="55"/>
      <c r="D151" s="55"/>
      <c r="E151" s="97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230" t="s">
        <v>520</v>
      </c>
      <c r="AK151" s="231" t="s">
        <v>292</v>
      </c>
      <c r="AL151" s="232">
        <v>5265.0</v>
      </c>
      <c r="AM151" s="233">
        <v>0.0</v>
      </c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</row>
    <row r="152">
      <c r="A152" s="55"/>
      <c r="B152" s="55"/>
      <c r="C152" s="55"/>
      <c r="D152" s="55"/>
      <c r="E152" s="97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89" t="s">
        <v>521</v>
      </c>
      <c r="AK152" s="90" t="s">
        <v>292</v>
      </c>
      <c r="AL152" s="91">
        <v>2480.0</v>
      </c>
      <c r="AM152" s="92">
        <v>0.0</v>
      </c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</row>
    <row r="153">
      <c r="A153" s="55"/>
      <c r="B153" s="55"/>
      <c r="C153" s="55"/>
      <c r="D153" s="55"/>
      <c r="E153" s="97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230" t="s">
        <v>522</v>
      </c>
      <c r="AK153" s="231" t="s">
        <v>292</v>
      </c>
      <c r="AL153" s="232">
        <v>6081.0</v>
      </c>
      <c r="AM153" s="233">
        <v>0.0</v>
      </c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</row>
    <row r="154">
      <c r="A154" s="55"/>
      <c r="B154" s="55"/>
      <c r="C154" s="55"/>
      <c r="D154" s="55"/>
      <c r="E154" s="97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89" t="s">
        <v>523</v>
      </c>
      <c r="AK154" s="90" t="s">
        <v>292</v>
      </c>
      <c r="AL154" s="91">
        <v>6082.0</v>
      </c>
      <c r="AM154" s="92">
        <v>0.0</v>
      </c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</row>
    <row r="155">
      <c r="A155" s="55"/>
      <c r="B155" s="55"/>
      <c r="C155" s="55"/>
      <c r="D155" s="55"/>
      <c r="E155" s="97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230" t="s">
        <v>524</v>
      </c>
      <c r="AK155" s="231" t="s">
        <v>525</v>
      </c>
      <c r="AL155" s="232">
        <v>2017.0</v>
      </c>
      <c r="AM155" s="233">
        <v>0.0</v>
      </c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</row>
    <row r="156">
      <c r="A156" s="55"/>
      <c r="B156" s="55"/>
      <c r="C156" s="55"/>
      <c r="D156" s="55"/>
      <c r="E156" s="97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89" t="s">
        <v>526</v>
      </c>
      <c r="AK156" s="90" t="s">
        <v>292</v>
      </c>
      <c r="AL156" s="91">
        <v>3125.0</v>
      </c>
      <c r="AM156" s="92">
        <v>0.0</v>
      </c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</row>
    <row r="157">
      <c r="A157" s="55"/>
      <c r="B157" s="55"/>
      <c r="C157" s="55"/>
      <c r="D157" s="55"/>
      <c r="E157" s="97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230" t="s">
        <v>527</v>
      </c>
      <c r="AK157" s="231" t="s">
        <v>292</v>
      </c>
      <c r="AL157" s="232">
        <v>3130.0</v>
      </c>
      <c r="AM157" s="233">
        <v>0.0</v>
      </c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</row>
    <row r="158">
      <c r="A158" s="55"/>
      <c r="B158" s="55"/>
      <c r="C158" s="55"/>
      <c r="D158" s="55"/>
      <c r="E158" s="97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89" t="s">
        <v>528</v>
      </c>
      <c r="AK158" s="90" t="s">
        <v>292</v>
      </c>
      <c r="AL158" s="91">
        <v>2616.0</v>
      </c>
      <c r="AM158" s="92">
        <v>0.0</v>
      </c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</row>
    <row r="159">
      <c r="A159" s="55"/>
      <c r="B159" s="55"/>
      <c r="C159" s="55"/>
      <c r="D159" s="55"/>
      <c r="E159" s="97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230" t="s">
        <v>529</v>
      </c>
      <c r="AK159" s="231" t="s">
        <v>292</v>
      </c>
      <c r="AL159" s="232">
        <v>2222.0</v>
      </c>
      <c r="AM159" s="233">
        <v>3.72</v>
      </c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</row>
    <row r="160">
      <c r="A160" s="55"/>
      <c r="B160" s="55"/>
      <c r="C160" s="55"/>
      <c r="D160" s="55"/>
      <c r="E160" s="97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89" t="s">
        <v>530</v>
      </c>
      <c r="AK160" s="90" t="s">
        <v>292</v>
      </c>
      <c r="AL160" s="91">
        <v>5434.0</v>
      </c>
      <c r="AM160" s="92">
        <v>0.0</v>
      </c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</row>
    <row r="161">
      <c r="A161" s="55"/>
      <c r="B161" s="55"/>
      <c r="C161" s="55"/>
      <c r="D161" s="55"/>
      <c r="E161" s="97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230" t="s">
        <v>531</v>
      </c>
      <c r="AK161" s="231" t="s">
        <v>292</v>
      </c>
      <c r="AL161" s="232">
        <v>2601.0</v>
      </c>
      <c r="AM161" s="233">
        <v>0.0</v>
      </c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</row>
    <row r="162">
      <c r="A162" s="55"/>
      <c r="B162" s="55"/>
      <c r="C162" s="55"/>
      <c r="D162" s="55"/>
      <c r="E162" s="97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89" t="s">
        <v>532</v>
      </c>
      <c r="AK162" s="90" t="s">
        <v>292</v>
      </c>
      <c r="AL162" s="91">
        <v>2339.0</v>
      </c>
      <c r="AM162" s="92">
        <v>0.0</v>
      </c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</row>
    <row r="163">
      <c r="A163" s="55"/>
      <c r="B163" s="55"/>
      <c r="C163" s="55"/>
      <c r="D163" s="55"/>
      <c r="E163" s="97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230" t="s">
        <v>533</v>
      </c>
      <c r="AK163" s="231" t="s">
        <v>292</v>
      </c>
      <c r="AL163" s="232">
        <v>3143.0</v>
      </c>
      <c r="AM163" s="233">
        <v>0.0</v>
      </c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</row>
    <row r="164">
      <c r="A164" s="55"/>
      <c r="B164" s="55"/>
      <c r="C164" s="55"/>
      <c r="D164" s="55"/>
      <c r="E164" s="97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89" t="s">
        <v>534</v>
      </c>
      <c r="AK164" s="90" t="s">
        <v>292</v>
      </c>
      <c r="AL164" s="91">
        <v>3120.0</v>
      </c>
      <c r="AM164" s="92">
        <v>0.0</v>
      </c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</row>
    <row r="165">
      <c r="A165" s="55"/>
      <c r="B165" s="55"/>
      <c r="C165" s="55"/>
      <c r="D165" s="55"/>
      <c r="E165" s="97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230" t="s">
        <v>535</v>
      </c>
      <c r="AK165" s="231" t="s">
        <v>536</v>
      </c>
      <c r="AL165" s="232">
        <v>3404.0</v>
      </c>
      <c r="AM165" s="233">
        <v>0.0</v>
      </c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</row>
    <row r="166">
      <c r="A166" s="55"/>
      <c r="B166" s="55"/>
      <c r="C166" s="55"/>
      <c r="D166" s="55"/>
      <c r="E166" s="97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89" t="s">
        <v>537</v>
      </c>
      <c r="AK166" s="90" t="s">
        <v>292</v>
      </c>
      <c r="AL166" s="91">
        <v>2205.0</v>
      </c>
      <c r="AM166" s="92">
        <v>0.0</v>
      </c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</row>
    <row r="167">
      <c r="A167" s="55"/>
      <c r="B167" s="55"/>
      <c r="C167" s="55"/>
      <c r="D167" s="55"/>
      <c r="E167" s="97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230" t="s">
        <v>538</v>
      </c>
      <c r="AK167" s="231" t="s">
        <v>292</v>
      </c>
      <c r="AL167" s="232">
        <v>3654.0</v>
      </c>
      <c r="AM167" s="233">
        <v>0.0</v>
      </c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</row>
    <row r="168">
      <c r="A168" s="55"/>
      <c r="B168" s="55"/>
      <c r="C168" s="55"/>
      <c r="D168" s="55"/>
      <c r="E168" s="97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89" t="s">
        <v>539</v>
      </c>
      <c r="AK168" s="90" t="s">
        <v>292</v>
      </c>
      <c r="AL168" s="91">
        <v>5392.0</v>
      </c>
      <c r="AM168" s="92">
        <v>0.0</v>
      </c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</row>
    <row r="169">
      <c r="A169" s="55"/>
      <c r="B169" s="55"/>
      <c r="C169" s="55"/>
      <c r="D169" s="55"/>
      <c r="E169" s="97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230" t="s">
        <v>540</v>
      </c>
      <c r="AK169" s="231" t="s">
        <v>292</v>
      </c>
      <c r="AL169" s="232">
        <v>2580.0</v>
      </c>
      <c r="AM169" s="233">
        <v>0.0</v>
      </c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</row>
    <row r="170">
      <c r="A170" s="55"/>
      <c r="B170" s="55"/>
      <c r="C170" s="55"/>
      <c r="D170" s="55"/>
      <c r="E170" s="97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89" t="s">
        <v>541</v>
      </c>
      <c r="AK170" s="90" t="s">
        <v>292</v>
      </c>
      <c r="AL170" s="91">
        <v>5719.0</v>
      </c>
      <c r="AM170" s="92">
        <v>0.0</v>
      </c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</row>
    <row r="171">
      <c r="A171" s="55"/>
      <c r="B171" s="55"/>
      <c r="C171" s="55"/>
      <c r="D171" s="55"/>
      <c r="E171" s="97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230" t="s">
        <v>542</v>
      </c>
      <c r="AK171" s="231" t="s">
        <v>292</v>
      </c>
      <c r="AL171" s="232">
        <v>5408.0</v>
      </c>
      <c r="AM171" s="233">
        <v>0.0</v>
      </c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</row>
    <row r="172">
      <c r="A172" s="55"/>
      <c r="B172" s="55"/>
      <c r="C172" s="55"/>
      <c r="D172" s="55"/>
      <c r="E172" s="97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89" t="s">
        <v>543</v>
      </c>
      <c r="AK172" s="90" t="s">
        <v>292</v>
      </c>
      <c r="AL172" s="91">
        <v>3470.0</v>
      </c>
      <c r="AM172" s="92">
        <v>0.0</v>
      </c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</row>
    <row r="173">
      <c r="A173" s="55"/>
      <c r="B173" s="55"/>
      <c r="C173" s="55"/>
      <c r="D173" s="55"/>
      <c r="E173" s="97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230" t="s">
        <v>544</v>
      </c>
      <c r="AK173" s="231" t="s">
        <v>292</v>
      </c>
      <c r="AL173" s="232">
        <v>5011.0</v>
      </c>
      <c r="AM173" s="233">
        <v>0.0</v>
      </c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</row>
    <row r="174">
      <c r="A174" s="55"/>
      <c r="B174" s="55"/>
      <c r="C174" s="55"/>
      <c r="D174" s="55"/>
      <c r="E174" s="97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89" t="s">
        <v>545</v>
      </c>
      <c r="AK174" s="90" t="s">
        <v>292</v>
      </c>
      <c r="AL174" s="91">
        <v>6466.0</v>
      </c>
      <c r="AM174" s="92">
        <v>0.0</v>
      </c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</row>
    <row r="175">
      <c r="A175" s="55"/>
      <c r="B175" s="55"/>
      <c r="C175" s="55"/>
      <c r="D175" s="55"/>
      <c r="E175" s="97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230" t="s">
        <v>546</v>
      </c>
      <c r="AK175" s="231" t="s">
        <v>292</v>
      </c>
      <c r="AL175" s="232">
        <v>2195.0</v>
      </c>
      <c r="AM175" s="233">
        <v>0.0</v>
      </c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</row>
    <row r="176">
      <c r="A176" s="55"/>
      <c r="B176" s="55"/>
      <c r="C176" s="55"/>
      <c r="D176" s="55"/>
      <c r="E176" s="97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89" t="s">
        <v>547</v>
      </c>
      <c r="AK176" s="90" t="s">
        <v>292</v>
      </c>
      <c r="AL176" s="91">
        <v>2938.0</v>
      </c>
      <c r="AM176" s="92">
        <v>0.05</v>
      </c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</row>
    <row r="177">
      <c r="A177" s="55"/>
      <c r="B177" s="55"/>
      <c r="C177" s="55"/>
      <c r="D177" s="55"/>
      <c r="E177" s="97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230" t="s">
        <v>548</v>
      </c>
      <c r="AK177" s="231" t="s">
        <v>292</v>
      </c>
      <c r="AL177" s="232">
        <v>6465.0</v>
      </c>
      <c r="AM177" s="233">
        <v>15.29</v>
      </c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</row>
    <row r="178">
      <c r="A178" s="55"/>
      <c r="B178" s="55"/>
      <c r="C178" s="55"/>
      <c r="D178" s="55"/>
      <c r="E178" s="97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89" t="s">
        <v>549</v>
      </c>
      <c r="AK178" s="90" t="s">
        <v>292</v>
      </c>
      <c r="AL178" s="91">
        <v>2597.0</v>
      </c>
      <c r="AM178" s="92">
        <v>0.0</v>
      </c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</row>
    <row r="179">
      <c r="A179" s="55"/>
      <c r="B179" s="55"/>
      <c r="C179" s="55"/>
      <c r="D179" s="55"/>
      <c r="E179" s="97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230" t="s">
        <v>550</v>
      </c>
      <c r="AK179" s="231" t="s">
        <v>292</v>
      </c>
      <c r="AL179" s="232">
        <v>2465.0</v>
      </c>
      <c r="AM179" s="233">
        <v>0.0</v>
      </c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</row>
    <row r="180">
      <c r="A180" s="55"/>
      <c r="B180" s="55"/>
      <c r="C180" s="55"/>
      <c r="D180" s="55"/>
      <c r="E180" s="97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89" t="s">
        <v>551</v>
      </c>
      <c r="AK180" s="90" t="s">
        <v>536</v>
      </c>
      <c r="AL180" s="91">
        <v>2124.0</v>
      </c>
      <c r="AM180" s="92">
        <v>0.0</v>
      </c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</row>
    <row r="181">
      <c r="A181" s="55"/>
      <c r="B181" s="55"/>
      <c r="C181" s="55"/>
      <c r="D181" s="55"/>
      <c r="E181" s="97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230" t="s">
        <v>552</v>
      </c>
      <c r="AK181" s="231" t="s">
        <v>292</v>
      </c>
      <c r="AL181" s="232">
        <v>6244.0</v>
      </c>
      <c r="AM181" s="233">
        <v>0.0</v>
      </c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</row>
    <row r="182">
      <c r="A182" s="55"/>
      <c r="B182" s="55"/>
      <c r="C182" s="55"/>
      <c r="D182" s="55"/>
      <c r="E182" s="97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89" t="s">
        <v>553</v>
      </c>
      <c r="AK182" s="90" t="s">
        <v>292</v>
      </c>
      <c r="AL182" s="91">
        <v>6685.0</v>
      </c>
      <c r="AM182" s="92">
        <v>0.0</v>
      </c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</row>
    <row r="183">
      <c r="A183" s="55"/>
      <c r="B183" s="55"/>
      <c r="C183" s="55"/>
      <c r="D183" s="55"/>
      <c r="E183" s="97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230" t="s">
        <v>554</v>
      </c>
      <c r="AK183" s="231" t="s">
        <v>275</v>
      </c>
      <c r="AL183" s="232">
        <v>233712.0</v>
      </c>
      <c r="AM183" s="233">
        <v>0.0</v>
      </c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</row>
    <row r="184">
      <c r="A184" s="55"/>
      <c r="B184" s="55"/>
      <c r="C184" s="55"/>
      <c r="D184" s="55"/>
      <c r="E184" s="97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89" t="s">
        <v>555</v>
      </c>
      <c r="AK184" s="90" t="s">
        <v>292</v>
      </c>
      <c r="AL184" s="91">
        <v>2979.0</v>
      </c>
      <c r="AM184" s="92">
        <v>0.0</v>
      </c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</row>
    <row r="185">
      <c r="A185" s="55"/>
      <c r="B185" s="55"/>
      <c r="C185" s="55"/>
      <c r="D185" s="55"/>
      <c r="E185" s="97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230" t="s">
        <v>556</v>
      </c>
      <c r="AK185" s="231" t="s">
        <v>292</v>
      </c>
      <c r="AL185" s="232">
        <v>2125.0</v>
      </c>
      <c r="AM185" s="233">
        <v>0.0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</row>
    <row r="186">
      <c r="A186" s="55"/>
      <c r="B186" s="55"/>
      <c r="C186" s="55"/>
      <c r="D186" s="55"/>
      <c r="E186" s="97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89" t="s">
        <v>557</v>
      </c>
      <c r="AK186" s="90" t="s">
        <v>292</v>
      </c>
      <c r="AL186" s="91">
        <v>4289.0</v>
      </c>
      <c r="AM186" s="92">
        <v>0.0</v>
      </c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</row>
    <row r="187">
      <c r="A187" s="55"/>
      <c r="B187" s="55"/>
      <c r="C187" s="55"/>
      <c r="D187" s="55"/>
      <c r="E187" s="97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230" t="s">
        <v>558</v>
      </c>
      <c r="AK187" s="231" t="s">
        <v>292</v>
      </c>
      <c r="AL187" s="232">
        <v>3730.0</v>
      </c>
      <c r="AM187" s="233">
        <v>0.0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</row>
    <row r="188">
      <c r="A188" s="55"/>
      <c r="B188" s="55"/>
      <c r="C188" s="55"/>
      <c r="D188" s="55"/>
      <c r="E188" s="97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89" t="s">
        <v>559</v>
      </c>
      <c r="AK188" s="90" t="s">
        <v>292</v>
      </c>
      <c r="AL188" s="91">
        <v>2518.0</v>
      </c>
      <c r="AM188" s="92">
        <v>0.0</v>
      </c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</row>
    <row r="189">
      <c r="A189" s="55"/>
      <c r="B189" s="55"/>
      <c r="C189" s="55"/>
      <c r="D189" s="55"/>
      <c r="E189" s="97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230" t="s">
        <v>560</v>
      </c>
      <c r="AK189" s="231" t="s">
        <v>561</v>
      </c>
      <c r="AL189" s="232">
        <v>3578.0</v>
      </c>
      <c r="AM189" s="233">
        <v>0.0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</row>
    <row r="190">
      <c r="A190" s="55"/>
      <c r="B190" s="55"/>
      <c r="C190" s="55"/>
      <c r="D190" s="55"/>
      <c r="E190" s="97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89" t="s">
        <v>562</v>
      </c>
      <c r="AK190" s="90" t="s">
        <v>561</v>
      </c>
      <c r="AL190" s="91">
        <v>2098.0</v>
      </c>
      <c r="AM190" s="92">
        <v>0.0</v>
      </c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</row>
    <row r="191">
      <c r="A191" s="55"/>
      <c r="B191" s="55"/>
      <c r="C191" s="55"/>
      <c r="D191" s="55"/>
      <c r="E191" s="97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230" t="s">
        <v>563</v>
      </c>
      <c r="AK191" s="231" t="s">
        <v>292</v>
      </c>
      <c r="AL191" s="232">
        <v>2099.0</v>
      </c>
      <c r="AM191" s="233">
        <v>0.0</v>
      </c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</row>
    <row r="192">
      <c r="A192" s="55"/>
      <c r="B192" s="55"/>
      <c r="C192" s="55"/>
      <c r="D192" s="55"/>
      <c r="E192" s="97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89" t="s">
        <v>564</v>
      </c>
      <c r="AK192" s="90" t="s">
        <v>292</v>
      </c>
      <c r="AL192" s="91">
        <v>2564.0</v>
      </c>
      <c r="AM192" s="92">
        <v>0.0</v>
      </c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</row>
    <row r="193">
      <c r="A193" s="55"/>
      <c r="B193" s="55"/>
      <c r="C193" s="55"/>
      <c r="D193" s="55"/>
      <c r="E193" s="97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230" t="s">
        <v>565</v>
      </c>
      <c r="AK193" s="231" t="s">
        <v>292</v>
      </c>
      <c r="AL193" s="232">
        <v>2024.0</v>
      </c>
      <c r="AM193" s="233">
        <v>0.0</v>
      </c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</row>
    <row r="194">
      <c r="A194" s="55"/>
      <c r="B194" s="55"/>
      <c r="C194" s="55"/>
      <c r="D194" s="55"/>
      <c r="E194" s="97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89" t="s">
        <v>566</v>
      </c>
      <c r="AK194" s="90" t="s">
        <v>292</v>
      </c>
      <c r="AL194" s="91">
        <v>2020.0</v>
      </c>
      <c r="AM194" s="92">
        <v>0.0</v>
      </c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</row>
    <row r="195">
      <c r="A195" s="55"/>
      <c r="B195" s="55"/>
      <c r="C195" s="55"/>
      <c r="D195" s="55"/>
      <c r="E195" s="97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230" t="s">
        <v>567</v>
      </c>
      <c r="AK195" s="231" t="s">
        <v>561</v>
      </c>
      <c r="AL195" s="232">
        <v>4575.0</v>
      </c>
      <c r="AM195" s="233">
        <v>0.0</v>
      </c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</row>
    <row r="196">
      <c r="A196" s="55"/>
      <c r="B196" s="55"/>
      <c r="C196" s="55"/>
      <c r="D196" s="55"/>
      <c r="E196" s="97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89" t="s">
        <v>568</v>
      </c>
      <c r="AK196" s="90" t="s">
        <v>292</v>
      </c>
      <c r="AL196" s="91">
        <v>3145.0</v>
      </c>
      <c r="AM196" s="92">
        <v>0.0</v>
      </c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</row>
    <row r="197">
      <c r="A197" s="55"/>
      <c r="B197" s="55"/>
      <c r="C197" s="55"/>
      <c r="D197" s="55"/>
      <c r="E197" s="97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230" t="s">
        <v>569</v>
      </c>
      <c r="AK197" s="231" t="s">
        <v>292</v>
      </c>
      <c r="AL197" s="232">
        <v>2499.0</v>
      </c>
      <c r="AM197" s="233">
        <v>0.0</v>
      </c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</row>
    <row r="198">
      <c r="A198" s="55"/>
      <c r="B198" s="55"/>
      <c r="C198" s="55"/>
      <c r="D198" s="55"/>
      <c r="E198" s="97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89" t="s">
        <v>570</v>
      </c>
      <c r="AK198" s="90" t="s">
        <v>292</v>
      </c>
      <c r="AL198" s="91">
        <v>5328.0</v>
      </c>
      <c r="AM198" s="92">
        <v>0.0</v>
      </c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</row>
    <row r="199">
      <c r="A199" s="55"/>
      <c r="B199" s="55"/>
      <c r="C199" s="55"/>
      <c r="D199" s="55"/>
      <c r="E199" s="97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230" t="s">
        <v>571</v>
      </c>
      <c r="AK199" s="231" t="s">
        <v>292</v>
      </c>
      <c r="AL199" s="232">
        <v>2250.0</v>
      </c>
      <c r="AM199" s="233">
        <v>0.0</v>
      </c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</row>
    <row r="200">
      <c r="A200" s="55"/>
      <c r="B200" s="55"/>
      <c r="C200" s="55"/>
      <c r="D200" s="55"/>
      <c r="E200" s="97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89" t="s">
        <v>572</v>
      </c>
      <c r="AK200" s="90" t="s">
        <v>292</v>
      </c>
      <c r="AL200" s="91">
        <v>2420.0</v>
      </c>
      <c r="AM200" s="92">
        <v>0.0</v>
      </c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</row>
    <row r="201">
      <c r="A201" s="55"/>
      <c r="B201" s="55"/>
      <c r="C201" s="55"/>
      <c r="D201" s="55"/>
      <c r="E201" s="97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230" t="s">
        <v>573</v>
      </c>
      <c r="AK201" s="231" t="s">
        <v>292</v>
      </c>
      <c r="AL201" s="232">
        <v>1897.0</v>
      </c>
      <c r="AM201" s="233">
        <v>0.0</v>
      </c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</row>
    <row r="202">
      <c r="A202" s="55"/>
      <c r="B202" s="55"/>
      <c r="C202" s="55"/>
      <c r="D202" s="55"/>
      <c r="E202" s="97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89" t="s">
        <v>574</v>
      </c>
      <c r="AK202" s="90" t="s">
        <v>292</v>
      </c>
      <c r="AL202" s="91">
        <v>5054.0</v>
      </c>
      <c r="AM202" s="92">
        <v>0.0</v>
      </c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</row>
    <row r="203">
      <c r="A203" s="55"/>
      <c r="B203" s="55"/>
      <c r="C203" s="55"/>
      <c r="D203" s="55"/>
      <c r="E203" s="97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230" t="s">
        <v>575</v>
      </c>
      <c r="AK203" s="231" t="s">
        <v>292</v>
      </c>
      <c r="AL203" s="232">
        <v>4353.0</v>
      </c>
      <c r="AM203" s="233">
        <v>0.0</v>
      </c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</row>
    <row r="204">
      <c r="A204" s="55"/>
      <c r="B204" s="55"/>
      <c r="C204" s="55"/>
      <c r="D204" s="55"/>
      <c r="E204" s="97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89" t="s">
        <v>576</v>
      </c>
      <c r="AK204" s="90" t="s">
        <v>536</v>
      </c>
      <c r="AL204" s="91">
        <v>3138.0</v>
      </c>
      <c r="AM204" s="92">
        <v>0.0</v>
      </c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</row>
    <row r="205">
      <c r="A205" s="55"/>
      <c r="B205" s="55"/>
      <c r="C205" s="55"/>
      <c r="D205" s="55"/>
      <c r="E205" s="97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230" t="s">
        <v>577</v>
      </c>
      <c r="AK205" s="231" t="s">
        <v>525</v>
      </c>
      <c r="AL205" s="232">
        <v>2301.0</v>
      </c>
      <c r="AM205" s="233">
        <v>0.0</v>
      </c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</row>
    <row r="206">
      <c r="A206" s="55"/>
      <c r="B206" s="55"/>
      <c r="C206" s="55"/>
      <c r="D206" s="55"/>
      <c r="E206" s="97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89" t="s">
        <v>578</v>
      </c>
      <c r="AK206" s="90" t="s">
        <v>292</v>
      </c>
      <c r="AL206" s="91">
        <v>5888.0</v>
      </c>
      <c r="AM206" s="92">
        <v>0.0</v>
      </c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</row>
    <row r="207">
      <c r="A207" s="55"/>
      <c r="B207" s="55"/>
      <c r="C207" s="55"/>
      <c r="D207" s="55"/>
      <c r="E207" s="97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230" t="s">
        <v>579</v>
      </c>
      <c r="AK207" s="231" t="s">
        <v>292</v>
      </c>
      <c r="AL207" s="232">
        <v>2614.0</v>
      </c>
      <c r="AM207" s="233">
        <v>0.0</v>
      </c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</row>
    <row r="208">
      <c r="A208" s="55"/>
      <c r="B208" s="55"/>
      <c r="C208" s="55"/>
      <c r="D208" s="55"/>
      <c r="E208" s="97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89" t="s">
        <v>580</v>
      </c>
      <c r="AK208" s="90" t="s">
        <v>292</v>
      </c>
      <c r="AL208" s="91">
        <v>6034.0</v>
      </c>
      <c r="AM208" s="92">
        <v>0.0</v>
      </c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</row>
    <row r="209">
      <c r="A209" s="55"/>
      <c r="B209" s="55"/>
      <c r="C209" s="55"/>
      <c r="D209" s="55"/>
      <c r="E209" s="97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230" t="s">
        <v>581</v>
      </c>
      <c r="AK209" s="231" t="s">
        <v>292</v>
      </c>
      <c r="AL209" s="232">
        <v>2505.0</v>
      </c>
      <c r="AM209" s="233">
        <v>0.0</v>
      </c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</row>
    <row r="210">
      <c r="A210" s="55"/>
      <c r="B210" s="55"/>
      <c r="C210" s="55"/>
      <c r="D210" s="55"/>
      <c r="E210" s="97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89" t="s">
        <v>582</v>
      </c>
      <c r="AK210" s="90" t="s">
        <v>292</v>
      </c>
      <c r="AL210" s="91">
        <v>5209.0</v>
      </c>
      <c r="AM210" s="92">
        <v>0.0</v>
      </c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</row>
    <row r="211">
      <c r="A211" s="55"/>
      <c r="B211" s="55"/>
      <c r="C211" s="55"/>
      <c r="D211" s="55"/>
      <c r="E211" s="97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230" t="s">
        <v>583</v>
      </c>
      <c r="AK211" s="231" t="s">
        <v>292</v>
      </c>
      <c r="AL211" s="232">
        <v>2493.0</v>
      </c>
      <c r="AM211" s="233">
        <v>0.0</v>
      </c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</row>
    <row r="212">
      <c r="A212" s="55"/>
      <c r="B212" s="55"/>
      <c r="C212" s="55"/>
      <c r="D212" s="55"/>
      <c r="E212" s="97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89" t="s">
        <v>584</v>
      </c>
      <c r="AK212" s="90" t="s">
        <v>292</v>
      </c>
      <c r="AL212" s="91">
        <v>3331.0</v>
      </c>
      <c r="AM212" s="92">
        <v>0.0</v>
      </c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</row>
    <row r="213">
      <c r="A213" s="55"/>
      <c r="B213" s="55"/>
      <c r="C213" s="55"/>
      <c r="D213" s="55"/>
      <c r="E213" s="97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230" t="s">
        <v>585</v>
      </c>
      <c r="AK213" s="231" t="s">
        <v>586</v>
      </c>
      <c r="AL213" s="232">
        <v>2565.0</v>
      </c>
      <c r="AM213" s="233">
        <v>0.0</v>
      </c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</row>
    <row r="214">
      <c r="A214" s="55"/>
      <c r="B214" s="55"/>
      <c r="C214" s="55"/>
      <c r="D214" s="55"/>
      <c r="E214" s="97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89" t="s">
        <v>587</v>
      </c>
      <c r="AK214" s="90" t="s">
        <v>292</v>
      </c>
      <c r="AL214" s="91">
        <v>2136.0</v>
      </c>
      <c r="AM214" s="92">
        <v>0.0</v>
      </c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</row>
    <row r="215">
      <c r="A215" s="55"/>
      <c r="B215" s="55"/>
      <c r="C215" s="55"/>
      <c r="D215" s="55"/>
      <c r="E215" s="97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230" t="s">
        <v>588</v>
      </c>
      <c r="AK215" s="231" t="s">
        <v>292</v>
      </c>
      <c r="AL215" s="232">
        <v>5393.0</v>
      </c>
      <c r="AM215" s="233">
        <v>0.0</v>
      </c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</row>
    <row r="216">
      <c r="A216" s="55"/>
      <c r="B216" s="55"/>
      <c r="C216" s="55"/>
      <c r="D216" s="55"/>
      <c r="E216" s="97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89" t="s">
        <v>589</v>
      </c>
      <c r="AK216" s="90" t="s">
        <v>292</v>
      </c>
      <c r="AL216" s="91">
        <v>3265.0</v>
      </c>
      <c r="AM216" s="92">
        <v>0.0</v>
      </c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</row>
    <row r="217">
      <c r="A217" s="55"/>
      <c r="B217" s="55"/>
      <c r="C217" s="55"/>
      <c r="D217" s="55"/>
      <c r="E217" s="97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230" t="s">
        <v>590</v>
      </c>
      <c r="AK217" s="231" t="s">
        <v>292</v>
      </c>
      <c r="AL217" s="232">
        <v>2454.0</v>
      </c>
      <c r="AM217" s="233">
        <v>0.0</v>
      </c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</row>
    <row r="218">
      <c r="A218" s="55"/>
      <c r="B218" s="55"/>
      <c r="C218" s="55"/>
      <c r="D218" s="55"/>
      <c r="E218" s="97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89" t="s">
        <v>591</v>
      </c>
      <c r="AK218" s="90" t="s">
        <v>292</v>
      </c>
      <c r="AL218" s="91">
        <v>2019.0</v>
      </c>
      <c r="AM218" s="92">
        <v>0.0</v>
      </c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</row>
    <row r="219">
      <c r="A219" s="55"/>
      <c r="B219" s="55"/>
      <c r="C219" s="55"/>
      <c r="D219" s="55"/>
      <c r="E219" s="97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230" t="s">
        <v>592</v>
      </c>
      <c r="AK219" s="231" t="s">
        <v>292</v>
      </c>
      <c r="AL219" s="232">
        <v>6431.0</v>
      </c>
      <c r="AM219" s="233">
        <v>0.0</v>
      </c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</row>
    <row r="220">
      <c r="A220" s="55"/>
      <c r="B220" s="55"/>
      <c r="C220" s="55"/>
      <c r="D220" s="55"/>
      <c r="E220" s="97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89" t="s">
        <v>593</v>
      </c>
      <c r="AK220" s="90" t="s">
        <v>292</v>
      </c>
      <c r="AL220" s="91">
        <v>5230.0</v>
      </c>
      <c r="AM220" s="92">
        <v>0.0</v>
      </c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</row>
    <row r="221">
      <c r="A221" s="55"/>
      <c r="B221" s="55"/>
      <c r="C221" s="55"/>
      <c r="D221" s="55"/>
      <c r="E221" s="97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230" t="s">
        <v>594</v>
      </c>
      <c r="AK221" s="231" t="s">
        <v>292</v>
      </c>
      <c r="AL221" s="232">
        <v>2018.0</v>
      </c>
      <c r="AM221" s="233">
        <v>0.0</v>
      </c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</row>
    <row r="222">
      <c r="A222" s="55"/>
      <c r="B222" s="55"/>
      <c r="C222" s="55"/>
      <c r="D222" s="55"/>
      <c r="E222" s="97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89" t="s">
        <v>595</v>
      </c>
      <c r="AK222" s="90" t="s">
        <v>292</v>
      </c>
      <c r="AL222" s="91">
        <v>3162.0</v>
      </c>
      <c r="AM222" s="92">
        <v>0.0</v>
      </c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</row>
    <row r="223">
      <c r="A223" s="55"/>
      <c r="B223" s="55"/>
      <c r="C223" s="55"/>
      <c r="D223" s="55"/>
      <c r="E223" s="97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230" t="s">
        <v>596</v>
      </c>
      <c r="AK223" s="231" t="s">
        <v>292</v>
      </c>
      <c r="AL223" s="232">
        <v>2021.0</v>
      </c>
      <c r="AM223" s="233">
        <v>0.0</v>
      </c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</row>
    <row r="224">
      <c r="A224" s="55"/>
      <c r="B224" s="55"/>
      <c r="C224" s="55"/>
      <c r="D224" s="55"/>
      <c r="E224" s="97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89" t="s">
        <v>597</v>
      </c>
      <c r="AK224" s="90" t="s">
        <v>292</v>
      </c>
      <c r="AL224" s="91">
        <v>2533.0</v>
      </c>
      <c r="AM224" s="92">
        <v>0.0</v>
      </c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</row>
    <row r="225">
      <c r="A225" s="55"/>
      <c r="B225" s="55"/>
      <c r="C225" s="55"/>
      <c r="D225" s="55"/>
      <c r="E225" s="97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230" t="s">
        <v>598</v>
      </c>
      <c r="AK225" s="231" t="s">
        <v>292</v>
      </c>
      <c r="AL225" s="232">
        <v>3853.0</v>
      </c>
      <c r="AM225" s="233">
        <v>0.0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</row>
    <row r="226">
      <c r="A226" s="55"/>
      <c r="B226" s="55"/>
      <c r="C226" s="55"/>
      <c r="D226" s="55"/>
      <c r="E226" s="97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89" t="s">
        <v>599</v>
      </c>
      <c r="AK226" s="90" t="s">
        <v>471</v>
      </c>
      <c r="AL226" s="91">
        <v>2817.0</v>
      </c>
      <c r="AM226" s="92">
        <v>0.0</v>
      </c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</row>
    <row r="227">
      <c r="A227" s="55"/>
      <c r="B227" s="55"/>
      <c r="C227" s="55"/>
      <c r="D227" s="55"/>
      <c r="E227" s="97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230" t="s">
        <v>600</v>
      </c>
      <c r="AK227" s="231" t="s">
        <v>292</v>
      </c>
      <c r="AL227" s="232">
        <v>2901.0</v>
      </c>
      <c r="AM227" s="233">
        <v>0.0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</row>
    <row r="228">
      <c r="A228" s="55"/>
      <c r="B228" s="55"/>
      <c r="C228" s="55"/>
      <c r="D228" s="55"/>
      <c r="E228" s="97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89" t="s">
        <v>601</v>
      </c>
      <c r="AK228" s="90" t="s">
        <v>292</v>
      </c>
      <c r="AL228" s="91">
        <v>2316.0</v>
      </c>
      <c r="AM228" s="92">
        <v>0.0</v>
      </c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</row>
    <row r="229">
      <c r="A229" s="55"/>
      <c r="B229" s="55"/>
      <c r="C229" s="55"/>
      <c r="D229" s="55"/>
      <c r="E229" s="97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230" t="s">
        <v>602</v>
      </c>
      <c r="AK229" s="231" t="s">
        <v>292</v>
      </c>
      <c r="AL229" s="232">
        <v>2095.0</v>
      </c>
      <c r="AM229" s="233">
        <v>0.0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</row>
    <row r="230">
      <c r="A230" s="55"/>
      <c r="B230" s="55"/>
      <c r="C230" s="55"/>
      <c r="D230" s="55"/>
      <c r="E230" s="97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89" t="s">
        <v>603</v>
      </c>
      <c r="AK230" s="90" t="s">
        <v>292</v>
      </c>
      <c r="AL230" s="91">
        <v>3746.0</v>
      </c>
      <c r="AM230" s="92">
        <v>0.0</v>
      </c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</row>
    <row r="231">
      <c r="A231" s="55"/>
      <c r="B231" s="55"/>
      <c r="C231" s="55"/>
      <c r="D231" s="55"/>
      <c r="E231" s="97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230" t="s">
        <v>604</v>
      </c>
      <c r="AK231" s="231" t="s">
        <v>292</v>
      </c>
      <c r="AL231" s="232">
        <v>2094.0</v>
      </c>
      <c r="AM231" s="233">
        <v>0.0</v>
      </c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</row>
    <row r="232">
      <c r="A232" s="55"/>
      <c r="B232" s="55"/>
      <c r="C232" s="55"/>
      <c r="D232" s="55"/>
      <c r="E232" s="97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89" t="s">
        <v>605</v>
      </c>
      <c r="AK232" s="90" t="s">
        <v>292</v>
      </c>
      <c r="AL232" s="91">
        <v>5843.0</v>
      </c>
      <c r="AM232" s="92">
        <v>0.0</v>
      </c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</row>
    <row r="233">
      <c r="A233" s="55"/>
      <c r="B233" s="55"/>
      <c r="C233" s="55"/>
      <c r="D233" s="55"/>
      <c r="E233" s="97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230" t="s">
        <v>606</v>
      </c>
      <c r="AK233" s="231" t="s">
        <v>292</v>
      </c>
      <c r="AL233" s="232">
        <v>2127.0</v>
      </c>
      <c r="AM233" s="233">
        <v>0.0</v>
      </c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</row>
    <row r="234">
      <c r="A234" s="55"/>
      <c r="B234" s="55"/>
      <c r="C234" s="55"/>
      <c r="D234" s="55"/>
      <c r="E234" s="97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89" t="s">
        <v>607</v>
      </c>
      <c r="AK234" s="90" t="s">
        <v>292</v>
      </c>
      <c r="AL234" s="91">
        <v>6809.0</v>
      </c>
      <c r="AM234" s="92">
        <v>0.0</v>
      </c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</row>
    <row r="235">
      <c r="A235" s="55"/>
      <c r="B235" s="55"/>
      <c r="C235" s="55"/>
      <c r="D235" s="55"/>
      <c r="E235" s="97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230" t="s">
        <v>608</v>
      </c>
      <c r="AK235" s="231" t="s">
        <v>609</v>
      </c>
      <c r="AL235" s="232">
        <v>2695.0</v>
      </c>
      <c r="AM235" s="233">
        <v>0.0</v>
      </c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</row>
    <row r="236">
      <c r="A236" s="55"/>
      <c r="B236" s="55"/>
      <c r="C236" s="55"/>
      <c r="D236" s="55"/>
      <c r="E236" s="97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89" t="s">
        <v>610</v>
      </c>
      <c r="AK236" s="90" t="s">
        <v>292</v>
      </c>
      <c r="AL236" s="91">
        <v>2317.0</v>
      </c>
      <c r="AM236" s="92">
        <v>0.0</v>
      </c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</row>
    <row r="237">
      <c r="A237" s="55"/>
      <c r="B237" s="55"/>
      <c r="C237" s="55"/>
      <c r="D237" s="55"/>
      <c r="E237" s="97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230" t="s">
        <v>611</v>
      </c>
      <c r="AK237" s="231" t="s">
        <v>292</v>
      </c>
      <c r="AL237" s="232">
        <v>3054.0</v>
      </c>
      <c r="AM237" s="233">
        <v>0.0</v>
      </c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</row>
    <row r="238">
      <c r="A238" s="55"/>
      <c r="B238" s="55"/>
      <c r="C238" s="55"/>
      <c r="D238" s="55"/>
      <c r="E238" s="97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89" t="s">
        <v>612</v>
      </c>
      <c r="AK238" s="90" t="s">
        <v>609</v>
      </c>
      <c r="AL238" s="91">
        <v>2128.0</v>
      </c>
      <c r="AM238" s="92">
        <v>0.0</v>
      </c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</row>
    <row r="239">
      <c r="A239" s="55"/>
      <c r="B239" s="55"/>
      <c r="C239" s="55"/>
      <c r="D239" s="55"/>
      <c r="E239" s="97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230" t="s">
        <v>613</v>
      </c>
      <c r="AK239" s="231" t="s">
        <v>292</v>
      </c>
      <c r="AL239" s="232">
        <v>2129.0</v>
      </c>
      <c r="AM239" s="233">
        <v>0.0</v>
      </c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</row>
    <row r="240">
      <c r="A240" s="55"/>
      <c r="B240" s="55"/>
      <c r="C240" s="55"/>
      <c r="D240" s="55"/>
      <c r="E240" s="97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89" t="s">
        <v>614</v>
      </c>
      <c r="AK240" s="90" t="s">
        <v>292</v>
      </c>
      <c r="AL240" s="91">
        <v>2673.0</v>
      </c>
      <c r="AM240" s="92">
        <v>0.0</v>
      </c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</row>
    <row r="241">
      <c r="A241" s="55"/>
      <c r="B241" s="55"/>
      <c r="C241" s="55"/>
      <c r="D241" s="55"/>
      <c r="E241" s="97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230" t="s">
        <v>615</v>
      </c>
      <c r="AK241" s="231" t="s">
        <v>292</v>
      </c>
      <c r="AL241" s="232">
        <v>3339.0</v>
      </c>
      <c r="AM241" s="233">
        <v>0.0</v>
      </c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</row>
    <row r="242">
      <c r="A242" s="55"/>
      <c r="B242" s="55"/>
      <c r="C242" s="55"/>
      <c r="D242" s="55"/>
      <c r="E242" s="97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89" t="s">
        <v>616</v>
      </c>
      <c r="AK242" s="90" t="s">
        <v>292</v>
      </c>
      <c r="AL242" s="91">
        <v>2076.0</v>
      </c>
      <c r="AM242" s="92">
        <v>19.9</v>
      </c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</row>
    <row r="243">
      <c r="A243" s="55"/>
      <c r="B243" s="55"/>
      <c r="C243" s="55"/>
      <c r="D243" s="55"/>
      <c r="E243" s="97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230" t="s">
        <v>617</v>
      </c>
      <c r="AK243" s="231" t="s">
        <v>292</v>
      </c>
      <c r="AL243" s="232">
        <v>2507.0</v>
      </c>
      <c r="AM243" s="233">
        <v>0.0</v>
      </c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</row>
    <row r="244">
      <c r="A244" s="55"/>
      <c r="B244" s="55"/>
      <c r="C244" s="55"/>
      <c r="D244" s="55"/>
      <c r="E244" s="97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89" t="s">
        <v>618</v>
      </c>
      <c r="AK244" s="90" t="s">
        <v>619</v>
      </c>
      <c r="AL244" s="91">
        <v>2122.0</v>
      </c>
      <c r="AM244" s="92">
        <v>0.0</v>
      </c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</row>
    <row r="245">
      <c r="A245" s="55"/>
      <c r="B245" s="55"/>
      <c r="C245" s="55"/>
      <c r="D245" s="55"/>
      <c r="E245" s="97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230" t="s">
        <v>620</v>
      </c>
      <c r="AK245" s="231" t="s">
        <v>292</v>
      </c>
      <c r="AL245" s="232">
        <v>2344.0</v>
      </c>
      <c r="AM245" s="233">
        <v>0.0</v>
      </c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</row>
    <row r="246">
      <c r="A246" s="55"/>
      <c r="B246" s="55"/>
      <c r="C246" s="55"/>
      <c r="D246" s="55"/>
      <c r="E246" s="97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89" t="s">
        <v>621</v>
      </c>
      <c r="AK246" s="90" t="s">
        <v>292</v>
      </c>
      <c r="AL246" s="91">
        <v>2568.0</v>
      </c>
      <c r="AM246" s="92">
        <v>0.0</v>
      </c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</row>
    <row r="247">
      <c r="A247" s="55"/>
      <c r="B247" s="55"/>
      <c r="C247" s="55"/>
      <c r="D247" s="55"/>
      <c r="E247" s="97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230" t="s">
        <v>622</v>
      </c>
      <c r="AK247" s="231" t="s">
        <v>292</v>
      </c>
      <c r="AL247" s="232">
        <v>2627.0</v>
      </c>
      <c r="AM247" s="233">
        <v>0.0</v>
      </c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</row>
    <row r="248">
      <c r="A248" s="55"/>
      <c r="B248" s="55"/>
      <c r="C248" s="55"/>
      <c r="D248" s="55"/>
      <c r="E248" s="97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89" t="s">
        <v>623</v>
      </c>
      <c r="AK248" s="90" t="s">
        <v>309</v>
      </c>
      <c r="AL248" s="91">
        <v>2123.0</v>
      </c>
      <c r="AM248" s="92">
        <v>5.99</v>
      </c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</row>
    <row r="249">
      <c r="A249" s="55"/>
      <c r="B249" s="55"/>
      <c r="C249" s="55"/>
      <c r="D249" s="55"/>
      <c r="E249" s="97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230" t="s">
        <v>624</v>
      </c>
      <c r="AK249" s="231" t="s">
        <v>292</v>
      </c>
      <c r="AL249" s="232">
        <v>6488.0</v>
      </c>
      <c r="AM249" s="233">
        <v>39.9</v>
      </c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</row>
    <row r="250">
      <c r="A250" s="55"/>
      <c r="B250" s="55"/>
      <c r="C250" s="55"/>
      <c r="D250" s="55"/>
      <c r="E250" s="97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89" t="s">
        <v>625</v>
      </c>
      <c r="AK250" s="90" t="s">
        <v>275</v>
      </c>
      <c r="AL250" s="91">
        <v>335553.0</v>
      </c>
      <c r="AM250" s="92">
        <v>1.99</v>
      </c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</row>
    <row r="251">
      <c r="A251" s="55"/>
      <c r="B251" s="55"/>
      <c r="C251" s="55"/>
      <c r="D251" s="55"/>
      <c r="E251" s="97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230" t="s">
        <v>626</v>
      </c>
      <c r="AK251" s="231" t="s">
        <v>627</v>
      </c>
      <c r="AL251" s="232">
        <v>2163.0</v>
      </c>
      <c r="AM251" s="233">
        <v>0.0</v>
      </c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</row>
    <row r="252">
      <c r="A252" s="55"/>
      <c r="B252" s="55"/>
      <c r="C252" s="55"/>
      <c r="D252" s="55"/>
      <c r="E252" s="97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89" t="s">
        <v>628</v>
      </c>
      <c r="AK252" s="90" t="s">
        <v>292</v>
      </c>
      <c r="AL252" s="91">
        <v>2023.0</v>
      </c>
      <c r="AM252" s="92">
        <v>0.0</v>
      </c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</row>
    <row r="253">
      <c r="A253" s="55"/>
      <c r="B253" s="55"/>
      <c r="C253" s="55"/>
      <c r="D253" s="55"/>
      <c r="E253" s="97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230" t="s">
        <v>629</v>
      </c>
      <c r="AK253" s="231" t="s">
        <v>275</v>
      </c>
      <c r="AL253" s="232">
        <v>218467.0</v>
      </c>
      <c r="AM253" s="233">
        <v>0.0</v>
      </c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</row>
    <row r="254">
      <c r="A254" s="55"/>
      <c r="B254" s="55"/>
      <c r="C254" s="55"/>
      <c r="D254" s="55"/>
      <c r="E254" s="97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89" t="s">
        <v>630</v>
      </c>
      <c r="AK254" s="90" t="s">
        <v>309</v>
      </c>
      <c r="AL254" s="91">
        <v>2699.0</v>
      </c>
      <c r="AM254" s="92">
        <v>0.0</v>
      </c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</row>
    <row r="255">
      <c r="A255" s="55"/>
      <c r="B255" s="55"/>
      <c r="C255" s="55"/>
      <c r="D255" s="55"/>
      <c r="E255" s="97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230" t="s">
        <v>631</v>
      </c>
      <c r="AK255" s="231" t="s">
        <v>292</v>
      </c>
      <c r="AL255" s="232">
        <v>6456.0</v>
      </c>
      <c r="AM255" s="233">
        <v>39.9</v>
      </c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</row>
    <row r="256">
      <c r="A256" s="55"/>
      <c r="B256" s="55"/>
      <c r="C256" s="55"/>
      <c r="D256" s="55"/>
      <c r="E256" s="97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89" t="s">
        <v>632</v>
      </c>
      <c r="AK256" s="90" t="s">
        <v>292</v>
      </c>
      <c r="AL256" s="91">
        <v>2506.0</v>
      </c>
      <c r="AM256" s="92">
        <v>0.0</v>
      </c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</row>
    <row r="257">
      <c r="A257" s="55"/>
      <c r="B257" s="55"/>
      <c r="C257" s="55"/>
      <c r="D257" s="55"/>
      <c r="E257" s="97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230" t="s">
        <v>633</v>
      </c>
      <c r="AK257" s="231" t="s">
        <v>292</v>
      </c>
      <c r="AL257" s="232">
        <v>6457.0</v>
      </c>
      <c r="AM257" s="233">
        <v>29.9</v>
      </c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</row>
    <row r="258">
      <c r="A258" s="55"/>
      <c r="B258" s="55"/>
      <c r="C258" s="55"/>
      <c r="D258" s="55"/>
      <c r="E258" s="97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89" t="s">
        <v>634</v>
      </c>
      <c r="AK258" s="90" t="s">
        <v>292</v>
      </c>
      <c r="AL258" s="91">
        <v>6521.0</v>
      </c>
      <c r="AM258" s="92">
        <v>29.9</v>
      </c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</row>
    <row r="259">
      <c r="A259" s="55"/>
      <c r="B259" s="55"/>
      <c r="C259" s="55"/>
      <c r="D259" s="55"/>
      <c r="E259" s="97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230" t="s">
        <v>635</v>
      </c>
      <c r="AK259" s="231" t="s">
        <v>292</v>
      </c>
      <c r="AL259" s="232">
        <v>2482.0</v>
      </c>
      <c r="AM259" s="233">
        <v>0.0</v>
      </c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</row>
    <row r="260">
      <c r="A260" s="55"/>
      <c r="B260" s="55"/>
      <c r="C260" s="55"/>
      <c r="D260" s="55"/>
      <c r="E260" s="97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89" t="s">
        <v>636</v>
      </c>
      <c r="AK260" s="90" t="s">
        <v>292</v>
      </c>
      <c r="AL260" s="91">
        <v>6177.0</v>
      </c>
      <c r="AM260" s="92">
        <v>39.9</v>
      </c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</row>
    <row r="261">
      <c r="A261" s="55"/>
      <c r="B261" s="55"/>
      <c r="C261" s="55"/>
      <c r="D261" s="55"/>
      <c r="E261" s="97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230" t="s">
        <v>637</v>
      </c>
      <c r="AK261" s="231" t="s">
        <v>292</v>
      </c>
      <c r="AL261" s="232">
        <v>5962.0</v>
      </c>
      <c r="AM261" s="233">
        <v>0.0</v>
      </c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</row>
    <row r="262">
      <c r="A262" s="55"/>
      <c r="B262" s="55"/>
      <c r="C262" s="55"/>
      <c r="D262" s="55"/>
      <c r="E262" s="97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89" t="s">
        <v>638</v>
      </c>
      <c r="AK262" s="90" t="s">
        <v>292</v>
      </c>
      <c r="AL262" s="91">
        <v>5527.0</v>
      </c>
      <c r="AM262" s="92">
        <v>29.9</v>
      </c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</row>
    <row r="263">
      <c r="A263" s="55"/>
      <c r="B263" s="55"/>
      <c r="C263" s="55"/>
      <c r="D263" s="55"/>
      <c r="E263" s="97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230" t="s">
        <v>639</v>
      </c>
      <c r="AK263" s="231" t="s">
        <v>292</v>
      </c>
      <c r="AL263" s="232">
        <v>2096.0</v>
      </c>
      <c r="AM263" s="233">
        <v>0.0</v>
      </c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</row>
    <row r="264">
      <c r="A264" s="55"/>
      <c r="B264" s="55"/>
      <c r="C264" s="55"/>
      <c r="D264" s="55"/>
      <c r="E264" s="97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89" t="s">
        <v>640</v>
      </c>
      <c r="AK264" s="90" t="s">
        <v>292</v>
      </c>
      <c r="AL264" s="91">
        <v>2137.0</v>
      </c>
      <c r="AM264" s="92">
        <v>0.0</v>
      </c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</row>
    <row r="265">
      <c r="A265" s="55"/>
      <c r="B265" s="55"/>
      <c r="C265" s="55"/>
      <c r="D265" s="55"/>
      <c r="E265" s="97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230" t="s">
        <v>641</v>
      </c>
      <c r="AK265" s="231" t="s">
        <v>292</v>
      </c>
      <c r="AL265" s="232">
        <v>6447.0</v>
      </c>
      <c r="AM265" s="233">
        <v>19.9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</row>
    <row r="266">
      <c r="A266" s="55"/>
      <c r="B266" s="55"/>
      <c r="C266" s="55"/>
      <c r="D266" s="55"/>
      <c r="E266" s="97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89" t="s">
        <v>642</v>
      </c>
      <c r="AK266" s="90" t="s">
        <v>292</v>
      </c>
      <c r="AL266" s="234">
        <v>7.89113E12</v>
      </c>
      <c r="AM266" s="92">
        <v>0.0</v>
      </c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</row>
    <row r="267">
      <c r="A267" s="55"/>
      <c r="B267" s="55"/>
      <c r="C267" s="55"/>
      <c r="D267" s="55"/>
      <c r="E267" s="97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230" t="s">
        <v>643</v>
      </c>
      <c r="AK267" s="231" t="s">
        <v>292</v>
      </c>
      <c r="AL267" s="232">
        <v>6463.0</v>
      </c>
      <c r="AM267" s="233">
        <v>39.9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</row>
    <row r="268">
      <c r="A268" s="55"/>
      <c r="B268" s="55"/>
      <c r="C268" s="55"/>
      <c r="D268" s="55"/>
      <c r="E268" s="97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89" t="s">
        <v>644</v>
      </c>
      <c r="AK268" s="90" t="s">
        <v>292</v>
      </c>
      <c r="AL268" s="91">
        <v>5987.0</v>
      </c>
      <c r="AM268" s="92">
        <v>0.0</v>
      </c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</row>
    <row r="269">
      <c r="A269" s="55"/>
      <c r="B269" s="55"/>
      <c r="C269" s="55"/>
      <c r="D269" s="55"/>
      <c r="E269" s="97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230" t="s">
        <v>645</v>
      </c>
      <c r="AK269" s="231" t="s">
        <v>292</v>
      </c>
      <c r="AL269" s="232">
        <v>2238.0</v>
      </c>
      <c r="AM269" s="233">
        <v>10.08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</row>
    <row r="270">
      <c r="A270" s="55"/>
      <c r="B270" s="55"/>
      <c r="C270" s="55"/>
      <c r="D270" s="55"/>
      <c r="E270" s="97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89" t="s">
        <v>646</v>
      </c>
      <c r="AK270" s="90" t="s">
        <v>292</v>
      </c>
      <c r="AL270" s="91">
        <v>2126.0</v>
      </c>
      <c r="AM270" s="92">
        <v>0.0</v>
      </c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</row>
    <row r="271">
      <c r="A271" s="55"/>
      <c r="B271" s="55"/>
      <c r="C271" s="55"/>
      <c r="D271" s="55"/>
      <c r="E271" s="97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230" t="s">
        <v>647</v>
      </c>
      <c r="AK271" s="231" t="s">
        <v>292</v>
      </c>
      <c r="AL271" s="232">
        <v>2349.0</v>
      </c>
      <c r="AM271" s="233">
        <v>0.0</v>
      </c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</row>
    <row r="272">
      <c r="A272" s="55"/>
      <c r="B272" s="55"/>
      <c r="C272" s="55"/>
      <c r="D272" s="55"/>
      <c r="E272" s="97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89" t="s">
        <v>648</v>
      </c>
      <c r="AK272" s="90" t="s">
        <v>292</v>
      </c>
      <c r="AL272" s="91">
        <v>2083.0</v>
      </c>
      <c r="AM272" s="92">
        <v>0.0</v>
      </c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</row>
    <row r="273">
      <c r="A273" s="55"/>
      <c r="B273" s="55"/>
      <c r="C273" s="55"/>
      <c r="D273" s="55"/>
      <c r="E273" s="97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230" t="s">
        <v>649</v>
      </c>
      <c r="AK273" s="231" t="s">
        <v>292</v>
      </c>
      <c r="AL273" s="232">
        <v>3084.0</v>
      </c>
      <c r="AM273" s="233">
        <v>0.0</v>
      </c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</row>
    <row r="274">
      <c r="A274" s="55"/>
      <c r="B274" s="55"/>
      <c r="C274" s="55"/>
      <c r="D274" s="55"/>
      <c r="E274" s="97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89" t="s">
        <v>650</v>
      </c>
      <c r="AK274" s="90" t="s">
        <v>292</v>
      </c>
      <c r="AL274" s="91">
        <v>2803.0</v>
      </c>
      <c r="AM274" s="92">
        <v>0.0</v>
      </c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</row>
    <row r="275">
      <c r="A275" s="55"/>
      <c r="B275" s="55"/>
      <c r="C275" s="55"/>
      <c r="D275" s="55"/>
      <c r="E275" s="97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230" t="s">
        <v>651</v>
      </c>
      <c r="AK275" s="231" t="s">
        <v>292</v>
      </c>
      <c r="AL275" s="232">
        <v>7524.0</v>
      </c>
      <c r="AM275" s="233">
        <v>145.0</v>
      </c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</row>
    <row r="276">
      <c r="A276" s="55"/>
      <c r="B276" s="55"/>
      <c r="C276" s="55"/>
      <c r="D276" s="55"/>
      <c r="E276" s="97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89" t="s">
        <v>652</v>
      </c>
      <c r="AK276" s="90" t="s">
        <v>292</v>
      </c>
      <c r="AL276" s="91">
        <v>2566.0</v>
      </c>
      <c r="AM276" s="92">
        <v>0.0</v>
      </c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</row>
    <row r="277">
      <c r="A277" s="55"/>
      <c r="B277" s="55"/>
      <c r="C277" s="55"/>
      <c r="D277" s="55"/>
      <c r="E277" s="97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235" t="s">
        <v>653</v>
      </c>
      <c r="AK277" s="236" t="s">
        <v>275</v>
      </c>
      <c r="AL277" s="237">
        <v>297851.0</v>
      </c>
      <c r="AM277" s="238">
        <v>0.0</v>
      </c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</row>
    <row r="278">
      <c r="A278" s="55"/>
      <c r="B278" s="55"/>
      <c r="C278" s="55"/>
      <c r="D278" s="55"/>
      <c r="E278" s="97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89" t="s">
        <v>654</v>
      </c>
      <c r="AK278" s="90" t="s">
        <v>292</v>
      </c>
      <c r="AL278" s="91">
        <v>2223.0</v>
      </c>
      <c r="AM278" s="92">
        <v>6.0</v>
      </c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</row>
    <row r="279">
      <c r="A279" s="55"/>
      <c r="B279" s="55"/>
      <c r="C279" s="55"/>
      <c r="D279" s="55"/>
      <c r="E279" s="97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230" t="s">
        <v>655</v>
      </c>
      <c r="AK279" s="231" t="s">
        <v>275</v>
      </c>
      <c r="AL279" s="232">
        <v>214803.0</v>
      </c>
      <c r="AM279" s="233">
        <v>0.0</v>
      </c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</row>
    <row r="280">
      <c r="A280" s="55"/>
      <c r="B280" s="55"/>
      <c r="C280" s="55"/>
      <c r="D280" s="55"/>
      <c r="E280" s="97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89" t="s">
        <v>656</v>
      </c>
      <c r="AK280" s="90" t="s">
        <v>292</v>
      </c>
      <c r="AL280" s="91">
        <v>6474.0</v>
      </c>
      <c r="AM280" s="92">
        <v>25.39</v>
      </c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</row>
    <row r="281">
      <c r="A281" s="55"/>
      <c r="B281" s="55"/>
      <c r="C281" s="55"/>
      <c r="D281" s="55"/>
      <c r="E281" s="97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230" t="s">
        <v>657</v>
      </c>
      <c r="AK281" s="231" t="s">
        <v>658</v>
      </c>
      <c r="AL281" s="232">
        <v>2224.0</v>
      </c>
      <c r="AM281" s="233">
        <v>0.0</v>
      </c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</row>
    <row r="282">
      <c r="A282" s="55"/>
      <c r="B282" s="55"/>
      <c r="C282" s="55"/>
      <c r="D282" s="55"/>
      <c r="E282" s="97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89" t="s">
        <v>659</v>
      </c>
      <c r="AK282" s="90" t="s">
        <v>292</v>
      </c>
      <c r="AL282" s="91">
        <v>2366.0</v>
      </c>
      <c r="AM282" s="92">
        <v>0.0</v>
      </c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</row>
    <row r="283">
      <c r="A283" s="55"/>
      <c r="B283" s="55"/>
      <c r="C283" s="55"/>
      <c r="D283" s="55"/>
      <c r="E283" s="97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230" t="s">
        <v>660</v>
      </c>
      <c r="AK283" s="231" t="s">
        <v>292</v>
      </c>
      <c r="AL283" s="232">
        <v>5980.0</v>
      </c>
      <c r="AM283" s="233">
        <v>0.0</v>
      </c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</row>
    <row r="284">
      <c r="A284" s="55"/>
      <c r="B284" s="55"/>
      <c r="C284" s="55"/>
      <c r="D284" s="55"/>
      <c r="E284" s="97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89" t="s">
        <v>661</v>
      </c>
      <c r="AK284" s="90" t="s">
        <v>292</v>
      </c>
      <c r="AL284" s="91">
        <v>2225.0</v>
      </c>
      <c r="AM284" s="92">
        <v>29.9</v>
      </c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</row>
    <row r="285">
      <c r="A285" s="55"/>
      <c r="B285" s="55"/>
      <c r="C285" s="55"/>
      <c r="D285" s="55"/>
      <c r="E285" s="97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230" t="s">
        <v>662</v>
      </c>
      <c r="AK285" s="231" t="s">
        <v>292</v>
      </c>
      <c r="AL285" s="232">
        <v>2436.0</v>
      </c>
      <c r="AM285" s="233">
        <v>0.0</v>
      </c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</row>
    <row r="286">
      <c r="A286" s="55"/>
      <c r="B286" s="55"/>
      <c r="C286" s="55"/>
      <c r="D286" s="55"/>
      <c r="E286" s="97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89" t="s">
        <v>663</v>
      </c>
      <c r="AK286" s="90" t="s">
        <v>292</v>
      </c>
      <c r="AL286" s="91">
        <v>2437.0</v>
      </c>
      <c r="AM286" s="92">
        <v>0.0</v>
      </c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</row>
    <row r="287">
      <c r="A287" s="55"/>
      <c r="B287" s="55"/>
      <c r="C287" s="55"/>
      <c r="D287" s="55"/>
      <c r="E287" s="97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230" t="s">
        <v>664</v>
      </c>
      <c r="AK287" s="231" t="s">
        <v>292</v>
      </c>
      <c r="AL287" s="232">
        <v>4785.0</v>
      </c>
      <c r="AM287" s="233">
        <v>0.0</v>
      </c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</row>
    <row r="288">
      <c r="A288" s="55"/>
      <c r="B288" s="55"/>
      <c r="C288" s="55"/>
      <c r="D288" s="55"/>
      <c r="E288" s="97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89" t="s">
        <v>665</v>
      </c>
      <c r="AK288" s="90" t="s">
        <v>292</v>
      </c>
      <c r="AL288" s="91">
        <v>5847.0</v>
      </c>
      <c r="AM288" s="92">
        <v>23.2</v>
      </c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</row>
    <row r="289">
      <c r="A289" s="55"/>
      <c r="B289" s="55"/>
      <c r="C289" s="55"/>
      <c r="D289" s="55"/>
      <c r="E289" s="97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230" t="s">
        <v>666</v>
      </c>
      <c r="AK289" s="231" t="s">
        <v>292</v>
      </c>
      <c r="AL289" s="232">
        <v>4025.0</v>
      </c>
      <c r="AM289" s="233">
        <v>0.0</v>
      </c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</row>
    <row r="290">
      <c r="A290" s="55"/>
      <c r="B290" s="55"/>
      <c r="C290" s="55"/>
      <c r="D290" s="55"/>
      <c r="E290" s="97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89" t="s">
        <v>667</v>
      </c>
      <c r="AK290" s="90" t="s">
        <v>292</v>
      </c>
      <c r="AL290" s="91">
        <v>2735.0</v>
      </c>
      <c r="AM290" s="92">
        <v>0.0</v>
      </c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</row>
    <row r="291">
      <c r="A291" s="55"/>
      <c r="B291" s="55"/>
      <c r="C291" s="55"/>
      <c r="D291" s="55"/>
      <c r="E291" s="97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230" t="s">
        <v>668</v>
      </c>
      <c r="AK291" s="231" t="s">
        <v>292</v>
      </c>
      <c r="AL291" s="232">
        <v>2457.0</v>
      </c>
      <c r="AM291" s="233">
        <v>0.0</v>
      </c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</row>
    <row r="292">
      <c r="A292" s="55"/>
      <c r="B292" s="55"/>
      <c r="C292" s="55"/>
      <c r="D292" s="55"/>
      <c r="E292" s="97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89" t="s">
        <v>669</v>
      </c>
      <c r="AK292" s="90" t="s">
        <v>292</v>
      </c>
      <c r="AL292" s="91">
        <v>3146.0</v>
      </c>
      <c r="AM292" s="92">
        <v>0.0</v>
      </c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</row>
    <row r="293">
      <c r="A293" s="55"/>
      <c r="B293" s="55"/>
      <c r="C293" s="55"/>
      <c r="D293" s="55"/>
      <c r="E293" s="97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230" t="s">
        <v>670</v>
      </c>
      <c r="AK293" s="231" t="s">
        <v>292</v>
      </c>
      <c r="AL293" s="239">
        <v>7.8986E12</v>
      </c>
      <c r="AM293" s="233">
        <v>51.9</v>
      </c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</row>
    <row r="294">
      <c r="A294" s="55"/>
      <c r="B294" s="55"/>
      <c r="C294" s="55"/>
      <c r="D294" s="55"/>
      <c r="E294" s="97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89" t="s">
        <v>671</v>
      </c>
      <c r="AK294" s="90" t="s">
        <v>292</v>
      </c>
      <c r="AL294" s="91">
        <v>2097.0</v>
      </c>
      <c r="AM294" s="92">
        <v>0.0</v>
      </c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</row>
    <row r="295">
      <c r="A295" s="55"/>
      <c r="B295" s="55"/>
      <c r="C295" s="55"/>
      <c r="D295" s="55"/>
      <c r="E295" s="97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230" t="s">
        <v>672</v>
      </c>
      <c r="AK295" s="231" t="s">
        <v>292</v>
      </c>
      <c r="AL295" s="232">
        <v>2691.0</v>
      </c>
      <c r="AM295" s="233">
        <v>0.0</v>
      </c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</row>
    <row r="296">
      <c r="A296" s="55"/>
      <c r="B296" s="55"/>
      <c r="C296" s="55"/>
      <c r="D296" s="55"/>
      <c r="E296" s="97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89" t="s">
        <v>673</v>
      </c>
      <c r="AK296" s="90" t="s">
        <v>292</v>
      </c>
      <c r="AL296" s="91">
        <v>2084.0</v>
      </c>
      <c r="AM296" s="92">
        <v>0.0</v>
      </c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</row>
    <row r="297">
      <c r="A297" s="55"/>
      <c r="B297" s="55"/>
      <c r="C297" s="55"/>
      <c r="D297" s="55"/>
      <c r="E297" s="97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230" t="s">
        <v>674</v>
      </c>
      <c r="AK297" s="231" t="s">
        <v>292</v>
      </c>
      <c r="AL297" s="232">
        <v>2226.0</v>
      </c>
      <c r="AM297" s="233">
        <v>8.5</v>
      </c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</row>
    <row r="298">
      <c r="A298" s="55"/>
      <c r="B298" s="55"/>
      <c r="C298" s="55"/>
      <c r="D298" s="55"/>
      <c r="E298" s="97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89" t="s">
        <v>675</v>
      </c>
      <c r="AK298" s="90" t="s">
        <v>292</v>
      </c>
      <c r="AL298" s="91">
        <v>4881.0</v>
      </c>
      <c r="AM298" s="92">
        <v>0.0</v>
      </c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</row>
    <row r="299">
      <c r="A299" s="55"/>
      <c r="B299" s="55"/>
      <c r="C299" s="55"/>
      <c r="D299" s="55"/>
      <c r="E299" s="97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230" t="s">
        <v>676</v>
      </c>
      <c r="AK299" s="231" t="s">
        <v>292</v>
      </c>
      <c r="AL299" s="232">
        <v>2516.0</v>
      </c>
      <c r="AM299" s="233">
        <v>0.0</v>
      </c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</row>
    <row r="300">
      <c r="A300" s="55"/>
      <c r="B300" s="55"/>
      <c r="C300" s="55"/>
      <c r="D300" s="55"/>
      <c r="E300" s="97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89" t="s">
        <v>677</v>
      </c>
      <c r="AK300" s="90" t="s">
        <v>292</v>
      </c>
      <c r="AL300" s="91">
        <v>2227.0</v>
      </c>
      <c r="AM300" s="92">
        <v>10.93</v>
      </c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</row>
    <row r="301">
      <c r="A301" s="55"/>
      <c r="B301" s="55"/>
      <c r="C301" s="55"/>
      <c r="D301" s="55"/>
      <c r="E301" s="97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230" t="s">
        <v>678</v>
      </c>
      <c r="AK301" s="231" t="s">
        <v>292</v>
      </c>
      <c r="AL301" s="232">
        <v>2085.0</v>
      </c>
      <c r="AM301" s="233">
        <v>0.0</v>
      </c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</row>
    <row r="302">
      <c r="A302" s="55"/>
      <c r="B302" s="55"/>
      <c r="C302" s="55"/>
      <c r="D302" s="55"/>
      <c r="E302" s="97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89" t="s">
        <v>679</v>
      </c>
      <c r="AK302" s="90" t="s">
        <v>292</v>
      </c>
      <c r="AL302" s="91">
        <v>2914.0</v>
      </c>
      <c r="AM302" s="92">
        <v>0.0</v>
      </c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</row>
    <row r="303">
      <c r="A303" s="55"/>
      <c r="B303" s="55"/>
      <c r="C303" s="55"/>
      <c r="D303" s="55"/>
      <c r="E303" s="97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230" t="s">
        <v>680</v>
      </c>
      <c r="AK303" s="231" t="s">
        <v>292</v>
      </c>
      <c r="AL303" s="232">
        <v>6391.0</v>
      </c>
      <c r="AM303" s="233">
        <v>10.99</v>
      </c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</row>
    <row r="304">
      <c r="A304" s="55"/>
      <c r="B304" s="55"/>
      <c r="C304" s="55"/>
      <c r="D304" s="55"/>
      <c r="E304" s="97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89" t="s">
        <v>681</v>
      </c>
      <c r="AK304" s="90" t="s">
        <v>292</v>
      </c>
      <c r="AL304" s="91">
        <v>2363.0</v>
      </c>
      <c r="AM304" s="92">
        <v>0.0</v>
      </c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</row>
    <row r="305">
      <c r="A305" s="55"/>
      <c r="B305" s="55"/>
      <c r="C305" s="55"/>
      <c r="D305" s="55"/>
      <c r="E305" s="97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230" t="s">
        <v>682</v>
      </c>
      <c r="AK305" s="231" t="s">
        <v>292</v>
      </c>
      <c r="AL305" s="232">
        <v>2535.0</v>
      </c>
      <c r="AM305" s="233">
        <v>0.0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</row>
    <row r="306">
      <c r="A306" s="55"/>
      <c r="B306" s="55"/>
      <c r="C306" s="55"/>
      <c r="D306" s="55"/>
      <c r="E306" s="97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89" t="s">
        <v>683</v>
      </c>
      <c r="AK306" s="90" t="s">
        <v>292</v>
      </c>
      <c r="AL306" s="91">
        <v>2251.0</v>
      </c>
      <c r="AM306" s="92">
        <v>0.0</v>
      </c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</row>
    <row r="307">
      <c r="A307" s="55"/>
      <c r="B307" s="55"/>
      <c r="C307" s="55"/>
      <c r="D307" s="55"/>
      <c r="E307" s="97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230" t="s">
        <v>684</v>
      </c>
      <c r="AK307" s="231" t="s">
        <v>292</v>
      </c>
      <c r="AL307" s="232">
        <v>3074.0</v>
      </c>
      <c r="AM307" s="233">
        <v>0.0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</row>
    <row r="308">
      <c r="A308" s="55"/>
      <c r="B308" s="55"/>
      <c r="C308" s="55"/>
      <c r="D308" s="55"/>
      <c r="E308" s="97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89" t="s">
        <v>685</v>
      </c>
      <c r="AK308" s="90" t="s">
        <v>292</v>
      </c>
      <c r="AL308" s="91">
        <v>2951.0</v>
      </c>
      <c r="AM308" s="92">
        <v>0.0</v>
      </c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</row>
    <row r="309">
      <c r="A309" s="55"/>
      <c r="B309" s="55"/>
      <c r="C309" s="55"/>
      <c r="D309" s="55"/>
      <c r="E309" s="97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230" t="s">
        <v>686</v>
      </c>
      <c r="AK309" s="231" t="s">
        <v>292</v>
      </c>
      <c r="AL309" s="232">
        <v>2888.0</v>
      </c>
      <c r="AM309" s="233">
        <v>0.0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</row>
    <row r="310">
      <c r="A310" s="55"/>
      <c r="B310" s="55"/>
      <c r="C310" s="55"/>
      <c r="D310" s="55"/>
      <c r="E310" s="97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89" t="s">
        <v>687</v>
      </c>
      <c r="AK310" s="90" t="s">
        <v>292</v>
      </c>
      <c r="AL310" s="91">
        <v>2926.0</v>
      </c>
      <c r="AM310" s="92">
        <v>0.0</v>
      </c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</row>
    <row r="311">
      <c r="A311" s="55"/>
      <c r="B311" s="55"/>
      <c r="C311" s="55"/>
      <c r="D311" s="55"/>
      <c r="E311" s="97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230" t="s">
        <v>688</v>
      </c>
      <c r="AK311" s="231" t="s">
        <v>292</v>
      </c>
      <c r="AL311" s="232">
        <v>2318.0</v>
      </c>
      <c r="AM311" s="233">
        <v>0.0</v>
      </c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</row>
    <row r="312">
      <c r="A312" s="55"/>
      <c r="B312" s="55"/>
      <c r="C312" s="55"/>
      <c r="D312" s="55"/>
      <c r="E312" s="97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89" t="s">
        <v>689</v>
      </c>
      <c r="AK312" s="90" t="s">
        <v>292</v>
      </c>
      <c r="AL312" s="91">
        <v>2345.0</v>
      </c>
      <c r="AM312" s="92">
        <v>0.0</v>
      </c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</row>
    <row r="313">
      <c r="A313" s="55"/>
      <c r="B313" s="55"/>
      <c r="C313" s="55"/>
      <c r="D313" s="55"/>
      <c r="E313" s="97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230" t="s">
        <v>690</v>
      </c>
      <c r="AK313" s="231" t="s">
        <v>292</v>
      </c>
      <c r="AL313" s="232">
        <v>2675.0</v>
      </c>
      <c r="AM313" s="233">
        <v>0.0</v>
      </c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</row>
    <row r="314">
      <c r="A314" s="55"/>
      <c r="B314" s="55"/>
      <c r="C314" s="55"/>
      <c r="D314" s="55"/>
      <c r="E314" s="97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89" t="s">
        <v>691</v>
      </c>
      <c r="AK314" s="90" t="s">
        <v>292</v>
      </c>
      <c r="AL314" s="91">
        <v>3840.0</v>
      </c>
      <c r="AM314" s="92">
        <v>0.0</v>
      </c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</row>
    <row r="315">
      <c r="A315" s="55"/>
      <c r="B315" s="55"/>
      <c r="C315" s="55"/>
      <c r="D315" s="55"/>
      <c r="E315" s="97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230" t="s">
        <v>692</v>
      </c>
      <c r="AK315" s="231" t="s">
        <v>292</v>
      </c>
      <c r="AL315" s="232">
        <v>4345.0</v>
      </c>
      <c r="AM315" s="233">
        <v>0.0</v>
      </c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</row>
    <row r="316">
      <c r="A316" s="55"/>
      <c r="B316" s="55"/>
      <c r="C316" s="55"/>
      <c r="D316" s="55"/>
      <c r="E316" s="97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89" t="s">
        <v>693</v>
      </c>
      <c r="AK316" s="90" t="s">
        <v>292</v>
      </c>
      <c r="AL316" s="91">
        <v>2341.0</v>
      </c>
      <c r="AM316" s="92">
        <v>0.0</v>
      </c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</row>
    <row r="317">
      <c r="A317" s="55"/>
      <c r="B317" s="55"/>
      <c r="C317" s="55"/>
      <c r="D317" s="55"/>
      <c r="E317" s="97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230" t="s">
        <v>694</v>
      </c>
      <c r="AK317" s="231" t="s">
        <v>292</v>
      </c>
      <c r="AL317" s="232">
        <v>6445.0</v>
      </c>
      <c r="AM317" s="233">
        <v>0.0</v>
      </c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</row>
    <row r="318">
      <c r="A318" s="55"/>
      <c r="B318" s="55"/>
      <c r="C318" s="55"/>
      <c r="D318" s="55"/>
      <c r="E318" s="97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89" t="s">
        <v>695</v>
      </c>
      <c r="AK318" s="90" t="s">
        <v>292</v>
      </c>
      <c r="AL318" s="91">
        <v>2561.0</v>
      </c>
      <c r="AM318" s="92">
        <v>0.0</v>
      </c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</row>
    <row r="319">
      <c r="A319" s="55"/>
      <c r="B319" s="55"/>
      <c r="C319" s="55"/>
      <c r="D319" s="55"/>
      <c r="E319" s="97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230" t="s">
        <v>696</v>
      </c>
      <c r="AK319" s="231" t="s">
        <v>292</v>
      </c>
      <c r="AL319" s="232">
        <v>2491.0</v>
      </c>
      <c r="AM319" s="233">
        <v>0.0</v>
      </c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</row>
    <row r="320">
      <c r="A320" s="55"/>
      <c r="B320" s="55"/>
      <c r="C320" s="55"/>
      <c r="D320" s="55"/>
      <c r="E320" s="97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89" t="s">
        <v>697</v>
      </c>
      <c r="AK320" s="90" t="s">
        <v>292</v>
      </c>
      <c r="AL320" s="91">
        <v>2121.0</v>
      </c>
      <c r="AM320" s="92">
        <v>0.0</v>
      </c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</row>
    <row r="321">
      <c r="A321" s="55"/>
      <c r="B321" s="55"/>
      <c r="C321" s="55"/>
      <c r="D321" s="55"/>
      <c r="E321" s="97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230" t="s">
        <v>698</v>
      </c>
      <c r="AK321" s="231" t="s">
        <v>292</v>
      </c>
      <c r="AL321" s="232">
        <v>3148.0</v>
      </c>
      <c r="AM321" s="233">
        <v>0.0</v>
      </c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</row>
    <row r="322">
      <c r="A322" s="55"/>
      <c r="B322" s="55"/>
      <c r="C322" s="55"/>
      <c r="D322" s="55"/>
      <c r="E322" s="97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89" t="s">
        <v>699</v>
      </c>
      <c r="AK322" s="90" t="s">
        <v>292</v>
      </c>
      <c r="AL322" s="91">
        <v>5025.0</v>
      </c>
      <c r="AM322" s="92">
        <v>0.0</v>
      </c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</row>
    <row r="323">
      <c r="A323" s="55"/>
      <c r="B323" s="55"/>
      <c r="C323" s="55"/>
      <c r="D323" s="55"/>
      <c r="E323" s="97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230" t="s">
        <v>700</v>
      </c>
      <c r="AK323" s="231" t="s">
        <v>292</v>
      </c>
      <c r="AL323" s="232">
        <v>2138.0</v>
      </c>
      <c r="AM323" s="233">
        <v>0.0</v>
      </c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</row>
    <row r="324">
      <c r="A324" s="55"/>
      <c r="B324" s="55"/>
      <c r="C324" s="55"/>
      <c r="D324" s="55"/>
      <c r="E324" s="97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89" t="s">
        <v>701</v>
      </c>
      <c r="AK324" s="90" t="s">
        <v>292</v>
      </c>
      <c r="AL324" s="91">
        <v>2456.0</v>
      </c>
      <c r="AM324" s="92">
        <v>0.0</v>
      </c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</row>
    <row r="325">
      <c r="A325" s="55"/>
      <c r="B325" s="55"/>
      <c r="C325" s="55"/>
      <c r="D325" s="55"/>
      <c r="E325" s="97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230" t="s">
        <v>702</v>
      </c>
      <c r="AK325" s="231" t="s">
        <v>292</v>
      </c>
      <c r="AL325" s="232">
        <v>2022.0</v>
      </c>
      <c r="AM325" s="233">
        <v>0.0</v>
      </c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</row>
    <row r="326">
      <c r="A326" s="55"/>
      <c r="B326" s="55"/>
      <c r="C326" s="55"/>
      <c r="D326" s="55"/>
      <c r="E326" s="97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89" t="s">
        <v>703</v>
      </c>
      <c r="AK326" s="90" t="s">
        <v>292</v>
      </c>
      <c r="AL326" s="91">
        <v>1898.0</v>
      </c>
      <c r="AM326" s="92">
        <v>0.0</v>
      </c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</row>
    <row r="327">
      <c r="A327" s="55"/>
      <c r="B327" s="55"/>
      <c r="C327" s="55"/>
      <c r="D327" s="55"/>
      <c r="E327" s="97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230" t="s">
        <v>704</v>
      </c>
      <c r="AK327" s="231" t="s">
        <v>292</v>
      </c>
      <c r="AL327" s="232">
        <v>2466.0</v>
      </c>
      <c r="AM327" s="233">
        <v>0.0</v>
      </c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</row>
    <row r="328">
      <c r="A328" s="55"/>
      <c r="B328" s="55"/>
      <c r="C328" s="55"/>
      <c r="D328" s="55"/>
      <c r="E328" s="97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89" t="s">
        <v>705</v>
      </c>
      <c r="AK328" s="90" t="s">
        <v>292</v>
      </c>
      <c r="AL328" s="91">
        <v>4603.0</v>
      </c>
      <c r="AM328" s="92">
        <v>0.0</v>
      </c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</row>
    <row r="329">
      <c r="A329" s="55"/>
      <c r="B329" s="55"/>
      <c r="C329" s="55"/>
      <c r="D329" s="55"/>
      <c r="E329" s="97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230" t="s">
        <v>706</v>
      </c>
      <c r="AK329" s="231" t="s">
        <v>292</v>
      </c>
      <c r="AL329" s="232">
        <v>5203.0</v>
      </c>
      <c r="AM329" s="233">
        <v>0.0</v>
      </c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</row>
    <row r="330">
      <c r="A330" s="55"/>
      <c r="B330" s="55"/>
      <c r="C330" s="55"/>
      <c r="D330" s="55"/>
      <c r="E330" s="97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89" t="s">
        <v>707</v>
      </c>
      <c r="AK330" s="90" t="s">
        <v>292</v>
      </c>
      <c r="AL330" s="91">
        <v>2562.0</v>
      </c>
      <c r="AM330" s="92">
        <v>0.0</v>
      </c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</row>
    <row r="331">
      <c r="A331" s="55"/>
      <c r="B331" s="55"/>
      <c r="C331" s="55"/>
      <c r="D331" s="55"/>
      <c r="E331" s="97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230" t="s">
        <v>708</v>
      </c>
      <c r="AK331" s="231" t="s">
        <v>292</v>
      </c>
      <c r="AL331" s="232">
        <v>2782.0</v>
      </c>
      <c r="AM331" s="233">
        <v>0.0</v>
      </c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</row>
    <row r="332">
      <c r="A332" s="55"/>
      <c r="B332" s="55"/>
      <c r="C332" s="55"/>
      <c r="D332" s="55"/>
      <c r="E332" s="97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89" t="s">
        <v>709</v>
      </c>
      <c r="AK332" s="90" t="s">
        <v>292</v>
      </c>
      <c r="AL332" s="91">
        <v>2045.0</v>
      </c>
      <c r="AM332" s="92">
        <v>0.0</v>
      </c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</row>
    <row r="333">
      <c r="A333" s="55"/>
      <c r="B333" s="55"/>
      <c r="C333" s="55"/>
      <c r="D333" s="55"/>
      <c r="E333" s="97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230" t="s">
        <v>710</v>
      </c>
      <c r="AK333" s="231" t="s">
        <v>292</v>
      </c>
      <c r="AL333" s="232">
        <v>6246.0</v>
      </c>
      <c r="AM333" s="233">
        <v>49.9</v>
      </c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</row>
    <row r="334">
      <c r="A334" s="55"/>
      <c r="B334" s="55"/>
      <c r="C334" s="55"/>
      <c r="D334" s="55"/>
      <c r="E334" s="97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89" t="s">
        <v>711</v>
      </c>
      <c r="AK334" s="90" t="s">
        <v>292</v>
      </c>
      <c r="AL334" s="91">
        <v>3261.0</v>
      </c>
      <c r="AM334" s="92">
        <v>0.0</v>
      </c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</row>
    <row r="335">
      <c r="A335" s="55"/>
      <c r="B335" s="55"/>
      <c r="C335" s="55"/>
      <c r="D335" s="55"/>
      <c r="E335" s="97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230" t="s">
        <v>712</v>
      </c>
      <c r="AK335" s="231" t="s">
        <v>292</v>
      </c>
      <c r="AL335" s="232">
        <v>4140.0</v>
      </c>
      <c r="AM335" s="233">
        <v>1.0</v>
      </c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</row>
    <row r="336">
      <c r="A336" s="55"/>
      <c r="B336" s="55"/>
      <c r="C336" s="55"/>
      <c r="D336" s="55"/>
      <c r="E336" s="97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89" t="s">
        <v>713</v>
      </c>
      <c r="AK336" s="90" t="s">
        <v>586</v>
      </c>
      <c r="AL336" s="91">
        <v>2483.0</v>
      </c>
      <c r="AM336" s="92">
        <v>0.0</v>
      </c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</row>
    <row r="337">
      <c r="A337" s="55"/>
      <c r="B337" s="55"/>
      <c r="C337" s="55"/>
      <c r="D337" s="55"/>
      <c r="E337" s="97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230" t="s">
        <v>714</v>
      </c>
      <c r="AK337" s="231" t="s">
        <v>292</v>
      </c>
      <c r="AL337" s="232">
        <v>3507.0</v>
      </c>
      <c r="AM337" s="233">
        <v>10.9</v>
      </c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</row>
    <row r="338">
      <c r="A338" s="55"/>
      <c r="B338" s="55"/>
      <c r="C338" s="55"/>
      <c r="D338" s="55"/>
      <c r="E338" s="97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89" t="s">
        <v>715</v>
      </c>
      <c r="AK338" s="90" t="s">
        <v>292</v>
      </c>
      <c r="AL338" s="91">
        <v>6533.0</v>
      </c>
      <c r="AM338" s="92">
        <v>0.0</v>
      </c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</row>
    <row r="339">
      <c r="A339" s="55"/>
      <c r="B339" s="55"/>
      <c r="C339" s="55"/>
      <c r="D339" s="55"/>
      <c r="E339" s="97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230" t="s">
        <v>716</v>
      </c>
      <c r="AK339" s="231" t="s">
        <v>292</v>
      </c>
      <c r="AL339" s="232">
        <v>2240.0</v>
      </c>
      <c r="AM339" s="233">
        <v>14.9</v>
      </c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</row>
    <row r="340">
      <c r="A340" s="55"/>
      <c r="B340" s="55"/>
      <c r="C340" s="55"/>
      <c r="D340" s="55"/>
      <c r="E340" s="97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89" t="s">
        <v>717</v>
      </c>
      <c r="AK340" s="90" t="s">
        <v>292</v>
      </c>
      <c r="AL340" s="91">
        <v>6469.0</v>
      </c>
      <c r="AM340" s="92">
        <v>59.9</v>
      </c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</row>
    <row r="341">
      <c r="A341" s="55"/>
      <c r="B341" s="55"/>
      <c r="C341" s="55"/>
      <c r="D341" s="55"/>
      <c r="E341" s="97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230" t="s">
        <v>718</v>
      </c>
      <c r="AK341" s="231" t="s">
        <v>292</v>
      </c>
      <c r="AL341" s="232">
        <v>2556.0</v>
      </c>
      <c r="AM341" s="233">
        <v>0.0</v>
      </c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</row>
    <row r="342">
      <c r="A342" s="55"/>
      <c r="B342" s="55"/>
      <c r="C342" s="55"/>
      <c r="D342" s="55"/>
      <c r="E342" s="97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89" t="s">
        <v>719</v>
      </c>
      <c r="AK342" s="90" t="s">
        <v>292</v>
      </c>
      <c r="AL342" s="91">
        <v>3161.0</v>
      </c>
      <c r="AM342" s="92">
        <v>0.0</v>
      </c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</row>
    <row r="343">
      <c r="A343" s="55"/>
      <c r="B343" s="55"/>
      <c r="C343" s="55"/>
      <c r="D343" s="55"/>
      <c r="E343" s="97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230" t="s">
        <v>720</v>
      </c>
      <c r="AK343" s="231" t="s">
        <v>292</v>
      </c>
      <c r="AL343" s="232">
        <v>2418.0</v>
      </c>
      <c r="AM343" s="233">
        <v>59.9</v>
      </c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</row>
    <row r="344">
      <c r="A344" s="55"/>
      <c r="B344" s="55"/>
      <c r="C344" s="55"/>
      <c r="D344" s="55"/>
      <c r="E344" s="97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89" t="s">
        <v>721</v>
      </c>
      <c r="AK344" s="90" t="s">
        <v>292</v>
      </c>
      <c r="AL344" s="91">
        <v>2242.0</v>
      </c>
      <c r="AM344" s="92">
        <v>70.74</v>
      </c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</row>
    <row r="345">
      <c r="A345" s="55"/>
      <c r="B345" s="55"/>
      <c r="C345" s="55"/>
      <c r="D345" s="55"/>
      <c r="E345" s="97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230" t="s">
        <v>722</v>
      </c>
      <c r="AK345" s="231" t="s">
        <v>292</v>
      </c>
      <c r="AL345" s="232">
        <v>2485.0</v>
      </c>
      <c r="AM345" s="233">
        <v>0.0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</row>
    <row r="346">
      <c r="A346" s="55"/>
      <c r="B346" s="55"/>
      <c r="C346" s="55"/>
      <c r="D346" s="55"/>
      <c r="E346" s="97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89" t="s">
        <v>723</v>
      </c>
      <c r="AK346" s="90" t="s">
        <v>292</v>
      </c>
      <c r="AL346" s="91">
        <v>2722.0</v>
      </c>
      <c r="AM346" s="92">
        <v>0.0</v>
      </c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</row>
    <row r="347">
      <c r="A347" s="55"/>
      <c r="B347" s="55"/>
      <c r="C347" s="55"/>
      <c r="D347" s="55"/>
      <c r="E347" s="97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230" t="s">
        <v>724</v>
      </c>
      <c r="AK347" s="231" t="s">
        <v>292</v>
      </c>
      <c r="AL347" s="232">
        <v>3101.0</v>
      </c>
      <c r="AM347" s="233">
        <v>0.0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</row>
    <row r="348">
      <c r="A348" s="55"/>
      <c r="B348" s="55"/>
      <c r="C348" s="55"/>
      <c r="D348" s="55"/>
      <c r="E348" s="97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89" t="s">
        <v>725</v>
      </c>
      <c r="AK348" s="90" t="s">
        <v>292</v>
      </c>
      <c r="AL348" s="91">
        <v>4466.0</v>
      </c>
      <c r="AM348" s="92">
        <v>0.0</v>
      </c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</row>
    <row r="349">
      <c r="A349" s="55"/>
      <c r="B349" s="55"/>
      <c r="C349" s="55"/>
      <c r="D349" s="55"/>
      <c r="E349" s="97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230" t="s">
        <v>726</v>
      </c>
      <c r="AK349" s="231" t="s">
        <v>292</v>
      </c>
      <c r="AL349" s="232">
        <v>2557.0</v>
      </c>
      <c r="AM349" s="233">
        <v>0.0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</row>
    <row r="350">
      <c r="A350" s="55"/>
      <c r="B350" s="55"/>
      <c r="C350" s="55"/>
      <c r="D350" s="55"/>
      <c r="E350" s="97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89" t="s">
        <v>727</v>
      </c>
      <c r="AK350" s="90" t="s">
        <v>292</v>
      </c>
      <c r="AL350" s="91">
        <v>3137.0</v>
      </c>
      <c r="AM350" s="92">
        <v>0.0</v>
      </c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</row>
    <row r="351">
      <c r="A351" s="55"/>
      <c r="B351" s="55"/>
      <c r="C351" s="55"/>
      <c r="D351" s="55"/>
      <c r="E351" s="97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230" t="s">
        <v>728</v>
      </c>
      <c r="AK351" s="231" t="s">
        <v>292</v>
      </c>
      <c r="AL351" s="232">
        <v>4061.0</v>
      </c>
      <c r="AM351" s="233">
        <v>0.0</v>
      </c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</row>
    <row r="352">
      <c r="A352" s="55"/>
      <c r="B352" s="55"/>
      <c r="C352" s="55"/>
      <c r="D352" s="55"/>
      <c r="E352" s="97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89" t="s">
        <v>729</v>
      </c>
      <c r="AK352" s="90" t="s">
        <v>292</v>
      </c>
      <c r="AL352" s="91">
        <v>4290.0</v>
      </c>
      <c r="AM352" s="92">
        <v>0.0</v>
      </c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</row>
    <row r="353">
      <c r="A353" s="55"/>
      <c r="B353" s="55"/>
      <c r="C353" s="55"/>
      <c r="D353" s="55"/>
      <c r="E353" s="97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230" t="s">
        <v>730</v>
      </c>
      <c r="AK353" s="231" t="s">
        <v>292</v>
      </c>
      <c r="AL353" s="232">
        <v>6472.0</v>
      </c>
      <c r="AM353" s="233">
        <v>39.9</v>
      </c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</row>
    <row r="354">
      <c r="A354" s="55"/>
      <c r="B354" s="55"/>
      <c r="C354" s="55"/>
      <c r="D354" s="55"/>
      <c r="E354" s="97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89" t="s">
        <v>731</v>
      </c>
      <c r="AK354" s="90" t="s">
        <v>292</v>
      </c>
      <c r="AL354" s="91">
        <v>6782.0</v>
      </c>
      <c r="AM354" s="92">
        <v>0.0</v>
      </c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</row>
    <row r="355">
      <c r="A355" s="55"/>
      <c r="B355" s="55"/>
      <c r="C355" s="55"/>
      <c r="D355" s="55"/>
      <c r="E355" s="97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230" t="s">
        <v>732</v>
      </c>
      <c r="AK355" s="231" t="s">
        <v>292</v>
      </c>
      <c r="AL355" s="232">
        <v>4354.0</v>
      </c>
      <c r="AM355" s="233">
        <v>0.0</v>
      </c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</row>
    <row r="356">
      <c r="A356" s="55"/>
      <c r="B356" s="55"/>
      <c r="C356" s="55"/>
      <c r="D356" s="55"/>
      <c r="E356" s="97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89" t="s">
        <v>733</v>
      </c>
      <c r="AK356" s="90" t="s">
        <v>292</v>
      </c>
      <c r="AL356" s="91">
        <v>3344.0</v>
      </c>
      <c r="AM356" s="92">
        <v>0.0</v>
      </c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</row>
    <row r="357">
      <c r="A357" s="55"/>
      <c r="B357" s="55"/>
      <c r="C357" s="55"/>
      <c r="D357" s="55"/>
      <c r="E357" s="97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230" t="s">
        <v>734</v>
      </c>
      <c r="AK357" s="231" t="s">
        <v>292</v>
      </c>
      <c r="AL357" s="232">
        <v>4168.0</v>
      </c>
      <c r="AM357" s="233">
        <v>0.0</v>
      </c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</row>
    <row r="358">
      <c r="A358" s="55"/>
      <c r="B358" s="55"/>
      <c r="C358" s="55"/>
      <c r="D358" s="55"/>
      <c r="E358" s="97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89" t="s">
        <v>735</v>
      </c>
      <c r="AK358" s="90" t="s">
        <v>292</v>
      </c>
      <c r="AL358" s="91">
        <v>5420.0</v>
      </c>
      <c r="AM358" s="92">
        <v>0.0</v>
      </c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</row>
    <row r="359">
      <c r="A359" s="55"/>
      <c r="B359" s="55"/>
      <c r="C359" s="55"/>
      <c r="D359" s="55"/>
      <c r="E359" s="97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230" t="s">
        <v>736</v>
      </c>
      <c r="AK359" s="231" t="s">
        <v>292</v>
      </c>
      <c r="AL359" s="232">
        <v>6207.0</v>
      </c>
      <c r="AM359" s="233">
        <v>12.62</v>
      </c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</row>
    <row r="360">
      <c r="A360" s="55"/>
      <c r="B360" s="55"/>
      <c r="C360" s="55"/>
      <c r="D360" s="55"/>
      <c r="E360" s="97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89" t="s">
        <v>737</v>
      </c>
      <c r="AK360" s="90" t="s">
        <v>292</v>
      </c>
      <c r="AL360" s="91">
        <v>2455.0</v>
      </c>
      <c r="AM360" s="92">
        <v>0.0</v>
      </c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</row>
    <row r="361">
      <c r="A361" s="55"/>
      <c r="B361" s="55"/>
      <c r="C361" s="55"/>
      <c r="D361" s="55"/>
      <c r="E361" s="97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230" t="s">
        <v>738</v>
      </c>
      <c r="AK361" s="231" t="s">
        <v>292</v>
      </c>
      <c r="AL361" s="232">
        <v>2239.0</v>
      </c>
      <c r="AM361" s="233">
        <v>6.75</v>
      </c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</row>
    <row r="362">
      <c r="A362" s="55"/>
      <c r="B362" s="55"/>
      <c r="C362" s="55"/>
      <c r="D362" s="55"/>
      <c r="E362" s="97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89" t="s">
        <v>739</v>
      </c>
      <c r="AK362" s="90" t="s">
        <v>561</v>
      </c>
      <c r="AL362" s="91">
        <v>3190.0</v>
      </c>
      <c r="AM362" s="92">
        <v>0.0</v>
      </c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</row>
    <row r="363">
      <c r="A363" s="55"/>
      <c r="B363" s="55"/>
      <c r="C363" s="55"/>
      <c r="D363" s="55"/>
      <c r="E363" s="97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240" t="s">
        <v>740</v>
      </c>
      <c r="AK363" s="240" t="s">
        <v>292</v>
      </c>
      <c r="AL363" s="241">
        <v>3160.0</v>
      </c>
      <c r="AM363" s="241">
        <v>0.0</v>
      </c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</row>
    <row r="364">
      <c r="A364" s="55"/>
      <c r="B364" s="55"/>
      <c r="C364" s="55"/>
      <c r="D364" s="55"/>
      <c r="E364" s="97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242" t="s">
        <v>741</v>
      </c>
      <c r="AK364" s="242" t="s">
        <v>292</v>
      </c>
      <c r="AL364" s="243">
        <v>2365.0</v>
      </c>
      <c r="AM364" s="243">
        <v>0.0</v>
      </c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</row>
    <row r="365">
      <c r="A365" s="55"/>
      <c r="B365" s="55"/>
      <c r="C365" s="55"/>
      <c r="D365" s="55"/>
      <c r="E365" s="97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240" t="s">
        <v>742</v>
      </c>
      <c r="AK365" s="240" t="s">
        <v>292</v>
      </c>
      <c r="AL365" s="241">
        <v>2364.0</v>
      </c>
      <c r="AM365" s="241">
        <v>0.0</v>
      </c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</row>
    <row r="366">
      <c r="A366" s="55"/>
      <c r="B366" s="55"/>
      <c r="C366" s="55"/>
      <c r="D366" s="55"/>
      <c r="E366" s="97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242" t="s">
        <v>743</v>
      </c>
      <c r="AK366" s="242" t="s">
        <v>292</v>
      </c>
      <c r="AL366" s="243">
        <v>2340.0</v>
      </c>
      <c r="AM366" s="243">
        <v>0.0</v>
      </c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</row>
    <row r="367">
      <c r="A367" s="55"/>
      <c r="B367" s="55"/>
      <c r="C367" s="55"/>
      <c r="D367" s="55"/>
      <c r="E367" s="97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240" t="s">
        <v>744</v>
      </c>
      <c r="AK367" s="240" t="s">
        <v>292</v>
      </c>
      <c r="AL367" s="241">
        <v>2293.0</v>
      </c>
      <c r="AM367" s="241">
        <v>0.0</v>
      </c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</row>
    <row r="368">
      <c r="A368" s="55"/>
      <c r="B368" s="55"/>
      <c r="C368" s="55"/>
      <c r="D368" s="55"/>
      <c r="E368" s="97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242" t="s">
        <v>745</v>
      </c>
      <c r="AK368" s="242" t="s">
        <v>309</v>
      </c>
      <c r="AL368" s="243">
        <v>2101.0</v>
      </c>
      <c r="AM368" s="243">
        <v>0.0</v>
      </c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</row>
    <row r="369">
      <c r="A369" s="55"/>
      <c r="B369" s="55"/>
      <c r="C369" s="55"/>
      <c r="D369" s="55"/>
      <c r="E369" s="97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240" t="s">
        <v>746</v>
      </c>
      <c r="AK369" s="240" t="s">
        <v>309</v>
      </c>
      <c r="AL369" s="241">
        <v>2130.0</v>
      </c>
      <c r="AM369" s="241">
        <v>0.0</v>
      </c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</row>
    <row r="370">
      <c r="A370" s="55"/>
      <c r="B370" s="55"/>
      <c r="C370" s="55"/>
      <c r="D370" s="55"/>
      <c r="E370" s="97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242" t="s">
        <v>747</v>
      </c>
      <c r="AK370" s="242" t="s">
        <v>292</v>
      </c>
      <c r="AL370" s="243">
        <v>2324.0</v>
      </c>
      <c r="AM370" s="243">
        <v>0.0</v>
      </c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</row>
    <row r="371">
      <c r="A371" s="55"/>
      <c r="B371" s="55"/>
      <c r="C371" s="55"/>
      <c r="D371" s="55"/>
      <c r="E371" s="97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240" t="s">
        <v>748</v>
      </c>
      <c r="AK371" s="240" t="s">
        <v>292</v>
      </c>
      <c r="AL371" s="241">
        <v>7960.0</v>
      </c>
      <c r="AM371" s="241">
        <v>43.9</v>
      </c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</row>
    <row r="372">
      <c r="A372" s="55"/>
      <c r="B372" s="55"/>
      <c r="C372" s="55"/>
      <c r="D372" s="55"/>
      <c r="E372" s="97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242" t="s">
        <v>294</v>
      </c>
      <c r="AK372" s="242" t="s">
        <v>275</v>
      </c>
      <c r="AL372" s="243">
        <v>8321.0</v>
      </c>
      <c r="AM372" s="243">
        <v>25.9</v>
      </c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</row>
    <row r="373">
      <c r="A373" s="55"/>
      <c r="B373" s="55"/>
      <c r="C373" s="55"/>
      <c r="D373" s="55"/>
      <c r="E373" s="97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240" t="s">
        <v>346</v>
      </c>
      <c r="AK373" s="240" t="s">
        <v>292</v>
      </c>
      <c r="AL373" s="241">
        <v>8945.0</v>
      </c>
      <c r="AM373" s="241">
        <v>64.9</v>
      </c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</row>
    <row r="374">
      <c r="A374" s="55"/>
      <c r="B374" s="55"/>
      <c r="C374" s="55"/>
      <c r="D374" s="55"/>
      <c r="E374" s="97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242" t="s">
        <v>749</v>
      </c>
      <c r="AK374" s="242" t="s">
        <v>292</v>
      </c>
      <c r="AL374" s="243">
        <v>7990.0</v>
      </c>
      <c r="AM374" s="243">
        <v>39.9</v>
      </c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</row>
    <row r="375">
      <c r="A375" s="55"/>
      <c r="B375" s="55"/>
      <c r="C375" s="55"/>
      <c r="D375" s="55"/>
      <c r="E375" s="97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240" t="s">
        <v>750</v>
      </c>
      <c r="AK375" s="240" t="s">
        <v>292</v>
      </c>
      <c r="AL375" s="241">
        <v>8000.0</v>
      </c>
      <c r="AM375" s="241">
        <v>24.9</v>
      </c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</row>
    <row r="376">
      <c r="A376" s="55"/>
      <c r="B376" s="55"/>
      <c r="C376" s="55"/>
      <c r="D376" s="55"/>
      <c r="E376" s="97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242" t="s">
        <v>349</v>
      </c>
      <c r="AK376" s="242" t="s">
        <v>292</v>
      </c>
      <c r="AL376" s="243">
        <v>8006.0</v>
      </c>
      <c r="AM376" s="243">
        <v>42.9</v>
      </c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</row>
    <row r="377">
      <c r="A377" s="55"/>
      <c r="B377" s="55"/>
      <c r="C377" s="55"/>
      <c r="D377" s="55"/>
      <c r="E377" s="97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240" t="s">
        <v>751</v>
      </c>
      <c r="AK377" s="240" t="s">
        <v>292</v>
      </c>
      <c r="AL377" s="241">
        <v>8015.0</v>
      </c>
      <c r="AM377" s="241">
        <v>39.9</v>
      </c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</row>
    <row r="378">
      <c r="A378" s="55"/>
      <c r="B378" s="55"/>
      <c r="C378" s="55"/>
      <c r="D378" s="55"/>
      <c r="E378" s="97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242" t="s">
        <v>752</v>
      </c>
      <c r="AK378" s="242" t="s">
        <v>292</v>
      </c>
      <c r="AL378" s="243">
        <v>8019.0</v>
      </c>
      <c r="AM378" s="243">
        <v>44.9</v>
      </c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</row>
    <row r="379">
      <c r="A379" s="55"/>
      <c r="B379" s="55"/>
      <c r="C379" s="55"/>
      <c r="D379" s="55"/>
      <c r="E379" s="97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240" t="s">
        <v>307</v>
      </c>
      <c r="AK379" s="240" t="s">
        <v>292</v>
      </c>
      <c r="AL379" s="241">
        <v>8023.0</v>
      </c>
      <c r="AM379" s="241">
        <v>39.9</v>
      </c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</row>
    <row r="380">
      <c r="A380" s="55"/>
      <c r="B380" s="55"/>
      <c r="C380" s="55"/>
      <c r="D380" s="55"/>
      <c r="E380" s="97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242" t="s">
        <v>310</v>
      </c>
      <c r="AK380" s="242" t="s">
        <v>292</v>
      </c>
      <c r="AL380" s="243">
        <v>8028.0</v>
      </c>
      <c r="AM380" s="243">
        <v>28.9</v>
      </c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</row>
    <row r="381">
      <c r="A381" s="55"/>
      <c r="B381" s="55"/>
      <c r="C381" s="55"/>
      <c r="D381" s="55"/>
      <c r="E381" s="97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240" t="s">
        <v>305</v>
      </c>
      <c r="AK381" s="240" t="s">
        <v>292</v>
      </c>
      <c r="AL381" s="241">
        <v>8037.0</v>
      </c>
      <c r="AM381" s="241">
        <v>54.9</v>
      </c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</row>
    <row r="382">
      <c r="A382" s="55"/>
      <c r="B382" s="55"/>
      <c r="C382" s="55"/>
      <c r="D382" s="55"/>
      <c r="E382" s="97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242" t="s">
        <v>753</v>
      </c>
      <c r="AK382" s="242" t="s">
        <v>292</v>
      </c>
      <c r="AL382" s="243">
        <v>8039.0</v>
      </c>
      <c r="AM382" s="243">
        <v>39.9</v>
      </c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</row>
    <row r="383">
      <c r="A383" s="55"/>
      <c r="B383" s="55"/>
      <c r="C383" s="55"/>
      <c r="D383" s="55"/>
      <c r="E383" s="97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240" t="s">
        <v>754</v>
      </c>
      <c r="AK383" s="240" t="s">
        <v>292</v>
      </c>
      <c r="AL383" s="241">
        <v>8040.0</v>
      </c>
      <c r="AM383" s="241">
        <v>39.9</v>
      </c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</row>
    <row r="384">
      <c r="A384" s="55"/>
      <c r="B384" s="55"/>
      <c r="C384" s="55"/>
      <c r="D384" s="55"/>
      <c r="E384" s="97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242" t="s">
        <v>755</v>
      </c>
      <c r="AK384" s="242" t="s">
        <v>292</v>
      </c>
      <c r="AL384" s="243">
        <v>8046.0</v>
      </c>
      <c r="AM384" s="243">
        <v>39.9</v>
      </c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</row>
    <row r="385">
      <c r="A385" s="55"/>
      <c r="B385" s="55"/>
      <c r="C385" s="55"/>
      <c r="D385" s="55"/>
      <c r="E385" s="97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240" t="s">
        <v>756</v>
      </c>
      <c r="AK385" s="240" t="s">
        <v>292</v>
      </c>
      <c r="AL385" s="241">
        <v>8047.0</v>
      </c>
      <c r="AM385" s="241">
        <v>39.9</v>
      </c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</row>
    <row r="386">
      <c r="A386" s="55"/>
      <c r="B386" s="55"/>
      <c r="C386" s="55"/>
      <c r="D386" s="55"/>
      <c r="E386" s="97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242" t="s">
        <v>757</v>
      </c>
      <c r="AK386" s="242" t="s">
        <v>292</v>
      </c>
      <c r="AL386" s="243">
        <v>8048.0</v>
      </c>
      <c r="AM386" s="243">
        <v>39.9</v>
      </c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</row>
    <row r="387">
      <c r="A387" s="55"/>
      <c r="B387" s="55"/>
      <c r="C387" s="55"/>
      <c r="D387" s="55"/>
      <c r="E387" s="97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240" t="s">
        <v>758</v>
      </c>
      <c r="AK387" s="240" t="s">
        <v>292</v>
      </c>
      <c r="AL387" s="241">
        <v>93908.0</v>
      </c>
      <c r="AM387" s="241">
        <v>39.9</v>
      </c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</row>
    <row r="388">
      <c r="A388" s="55"/>
      <c r="B388" s="55"/>
      <c r="C388" s="55"/>
      <c r="D388" s="55"/>
      <c r="E388" s="97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242" t="s">
        <v>759</v>
      </c>
      <c r="AK388" s="242" t="s">
        <v>292</v>
      </c>
      <c r="AL388" s="243">
        <v>8051.0</v>
      </c>
      <c r="AM388" s="243">
        <v>29.9</v>
      </c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</row>
    <row r="389">
      <c r="A389" s="55"/>
      <c r="B389" s="55"/>
      <c r="C389" s="55"/>
      <c r="D389" s="55"/>
      <c r="E389" s="97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240" t="s">
        <v>760</v>
      </c>
      <c r="AK389" s="240" t="s">
        <v>292</v>
      </c>
      <c r="AL389" s="241">
        <v>8064.0</v>
      </c>
      <c r="AM389" s="241">
        <v>99.9</v>
      </c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</row>
    <row r="390">
      <c r="A390" s="55"/>
      <c r="B390" s="55"/>
      <c r="C390" s="55"/>
      <c r="D390" s="55"/>
      <c r="E390" s="97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242" t="s">
        <v>325</v>
      </c>
      <c r="AK390" s="242" t="s">
        <v>292</v>
      </c>
      <c r="AL390" s="243">
        <v>8080.0</v>
      </c>
      <c r="AM390" s="243">
        <v>31.9</v>
      </c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</row>
    <row r="391">
      <c r="A391" s="55"/>
      <c r="B391" s="55"/>
      <c r="C391" s="55"/>
      <c r="D391" s="55"/>
      <c r="E391" s="97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240" t="s">
        <v>324</v>
      </c>
      <c r="AK391" s="240" t="s">
        <v>292</v>
      </c>
      <c r="AL391" s="241">
        <v>8089.0</v>
      </c>
      <c r="AM391" s="241">
        <v>49.9</v>
      </c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</row>
    <row r="392">
      <c r="A392" s="55"/>
      <c r="B392" s="55"/>
      <c r="C392" s="55"/>
      <c r="D392" s="55"/>
      <c r="E392" s="97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242" t="s">
        <v>761</v>
      </c>
      <c r="AK392" s="242" t="s">
        <v>292</v>
      </c>
      <c r="AL392" s="243">
        <v>8090.0</v>
      </c>
      <c r="AM392" s="243">
        <v>34.9</v>
      </c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</row>
    <row r="393">
      <c r="A393" s="55"/>
      <c r="B393" s="55"/>
      <c r="C393" s="55"/>
      <c r="D393" s="55"/>
      <c r="E393" s="97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240" t="s">
        <v>762</v>
      </c>
      <c r="AK393" s="240" t="s">
        <v>292</v>
      </c>
      <c r="AL393" s="241">
        <v>8093.0</v>
      </c>
      <c r="AM393" s="241">
        <v>37.9</v>
      </c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</row>
    <row r="394">
      <c r="A394" s="55"/>
      <c r="B394" s="55"/>
      <c r="C394" s="55"/>
      <c r="D394" s="55"/>
      <c r="E394" s="97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242" t="s">
        <v>763</v>
      </c>
      <c r="AK394" s="242" t="s">
        <v>292</v>
      </c>
      <c r="AL394" s="243">
        <v>8098.0</v>
      </c>
      <c r="AM394" s="243">
        <v>33.9</v>
      </c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</row>
    <row r="395">
      <c r="A395" s="55"/>
      <c r="B395" s="55"/>
      <c r="C395" s="55"/>
      <c r="D395" s="55"/>
      <c r="E395" s="97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240" t="s">
        <v>764</v>
      </c>
      <c r="AK395" s="240" t="s">
        <v>292</v>
      </c>
      <c r="AL395" s="241">
        <v>8104.0</v>
      </c>
      <c r="AM395" s="241">
        <v>29.9</v>
      </c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</row>
    <row r="396">
      <c r="A396" s="55"/>
      <c r="B396" s="55"/>
      <c r="C396" s="55"/>
      <c r="D396" s="55"/>
      <c r="E396" s="97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242" t="s">
        <v>408</v>
      </c>
      <c r="AK396" s="242" t="s">
        <v>292</v>
      </c>
      <c r="AL396" s="243">
        <v>8333.0</v>
      </c>
      <c r="AM396" s="243">
        <v>49.9</v>
      </c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</row>
    <row r="397">
      <c r="A397" s="55"/>
      <c r="B397" s="55"/>
      <c r="C397" s="55"/>
      <c r="D397" s="55"/>
      <c r="E397" s="97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240" t="s">
        <v>412</v>
      </c>
      <c r="AK397" s="240" t="s">
        <v>292</v>
      </c>
      <c r="AL397" s="241">
        <v>8332.0</v>
      </c>
      <c r="AM397" s="241">
        <v>49.9</v>
      </c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</row>
    <row r="398">
      <c r="A398" s="55"/>
      <c r="B398" s="55"/>
      <c r="C398" s="55"/>
      <c r="D398" s="55"/>
      <c r="E398" s="97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242" t="s">
        <v>765</v>
      </c>
      <c r="AK398" s="242" t="s">
        <v>292</v>
      </c>
      <c r="AL398" s="243">
        <v>8111.0</v>
      </c>
      <c r="AM398" s="243">
        <v>49.9</v>
      </c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</row>
    <row r="399">
      <c r="A399" s="55"/>
      <c r="B399" s="55"/>
      <c r="C399" s="55"/>
      <c r="D399" s="55"/>
      <c r="E399" s="97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240" t="s">
        <v>766</v>
      </c>
      <c r="AK399" s="240" t="s">
        <v>292</v>
      </c>
      <c r="AL399" s="241">
        <v>8133.0</v>
      </c>
      <c r="AM399" s="241">
        <v>46.9</v>
      </c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</row>
    <row r="400">
      <c r="A400" s="55"/>
      <c r="B400" s="55"/>
      <c r="C400" s="55"/>
      <c r="D400" s="55"/>
      <c r="E400" s="97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242" t="s">
        <v>767</v>
      </c>
      <c r="AK400" s="242" t="s">
        <v>292</v>
      </c>
      <c r="AL400" s="243">
        <v>8148.0</v>
      </c>
      <c r="AM400" s="243">
        <v>59.9</v>
      </c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</row>
    <row r="401">
      <c r="A401" s="55"/>
      <c r="B401" s="55"/>
      <c r="C401" s="55"/>
      <c r="D401" s="55"/>
      <c r="E401" s="97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240" t="s">
        <v>768</v>
      </c>
      <c r="AK401" s="240" t="s">
        <v>292</v>
      </c>
      <c r="AL401" s="241">
        <v>8149.0</v>
      </c>
      <c r="AM401" s="241">
        <v>49.9</v>
      </c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</row>
    <row r="402">
      <c r="A402" s="55"/>
      <c r="B402" s="55"/>
      <c r="C402" s="55"/>
      <c r="D402" s="55"/>
      <c r="E402" s="97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242" t="s">
        <v>769</v>
      </c>
      <c r="AK402" s="242" t="s">
        <v>292</v>
      </c>
      <c r="AL402" s="243">
        <v>8151.0</v>
      </c>
      <c r="AM402" s="243">
        <v>39.9</v>
      </c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</row>
    <row r="403">
      <c r="A403" s="55"/>
      <c r="B403" s="55"/>
      <c r="C403" s="55"/>
      <c r="D403" s="55"/>
      <c r="E403" s="97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240" t="s">
        <v>334</v>
      </c>
      <c r="AK403" s="240" t="s">
        <v>292</v>
      </c>
      <c r="AL403" s="241">
        <v>8153.0</v>
      </c>
      <c r="AM403" s="241">
        <v>42.9</v>
      </c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</row>
    <row r="404">
      <c r="A404" s="55"/>
      <c r="B404" s="55"/>
      <c r="C404" s="55"/>
      <c r="D404" s="55"/>
      <c r="E404" s="97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242" t="s">
        <v>770</v>
      </c>
      <c r="AK404" s="242" t="s">
        <v>292</v>
      </c>
      <c r="AL404" s="243">
        <v>8154.0</v>
      </c>
      <c r="AM404" s="243">
        <v>39.9</v>
      </c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</row>
    <row r="405">
      <c r="A405" s="55"/>
      <c r="B405" s="55"/>
      <c r="C405" s="55"/>
      <c r="D405" s="55"/>
      <c r="E405" s="97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240" t="s">
        <v>771</v>
      </c>
      <c r="AK405" s="240" t="s">
        <v>292</v>
      </c>
      <c r="AL405" s="241">
        <v>8155.0</v>
      </c>
      <c r="AM405" s="241">
        <v>93.9</v>
      </c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</row>
    <row r="406">
      <c r="A406" s="55"/>
      <c r="B406" s="55"/>
      <c r="C406" s="55"/>
      <c r="D406" s="55"/>
      <c r="E406" s="97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242" t="s">
        <v>772</v>
      </c>
      <c r="AK406" s="242" t="s">
        <v>292</v>
      </c>
      <c r="AL406" s="243">
        <v>8156.0</v>
      </c>
      <c r="AM406" s="243">
        <v>89.9</v>
      </c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</row>
    <row r="407">
      <c r="A407" s="55"/>
      <c r="B407" s="55"/>
      <c r="C407" s="55"/>
      <c r="D407" s="55"/>
      <c r="E407" s="97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240" t="s">
        <v>773</v>
      </c>
      <c r="AK407" s="240" t="s">
        <v>292</v>
      </c>
      <c r="AL407" s="241">
        <v>8157.0</v>
      </c>
      <c r="AM407" s="241">
        <v>79.9</v>
      </c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</row>
    <row r="408">
      <c r="A408" s="55"/>
      <c r="B408" s="55"/>
      <c r="C408" s="55"/>
      <c r="D408" s="55"/>
      <c r="E408" s="97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242" t="s">
        <v>348</v>
      </c>
      <c r="AK408" s="242" t="s">
        <v>292</v>
      </c>
      <c r="AL408" s="243">
        <v>8158.0</v>
      </c>
      <c r="AM408" s="243">
        <v>79.9</v>
      </c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</row>
    <row r="409">
      <c r="A409" s="55"/>
      <c r="B409" s="55"/>
      <c r="C409" s="55"/>
      <c r="D409" s="55"/>
      <c r="E409" s="97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240" t="s">
        <v>774</v>
      </c>
      <c r="AK409" s="240" t="s">
        <v>292</v>
      </c>
      <c r="AL409" s="241">
        <v>8159.0</v>
      </c>
      <c r="AM409" s="241">
        <v>54.9</v>
      </c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</row>
    <row r="410">
      <c r="A410" s="55"/>
      <c r="B410" s="55"/>
      <c r="C410" s="55"/>
      <c r="D410" s="55"/>
      <c r="E410" s="97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242" t="s">
        <v>775</v>
      </c>
      <c r="AK410" s="242" t="s">
        <v>292</v>
      </c>
      <c r="AL410" s="243">
        <v>8160.0</v>
      </c>
      <c r="AM410" s="243">
        <v>49.9</v>
      </c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</row>
    <row r="411">
      <c r="A411" s="55"/>
      <c r="B411" s="55"/>
      <c r="C411" s="55"/>
      <c r="D411" s="55"/>
      <c r="E411" s="97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240" t="s">
        <v>776</v>
      </c>
      <c r="AK411" s="240" t="s">
        <v>292</v>
      </c>
      <c r="AL411" s="241">
        <v>8161.0</v>
      </c>
      <c r="AM411" s="241">
        <v>49.9</v>
      </c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</row>
    <row r="412">
      <c r="A412" s="55"/>
      <c r="B412" s="55"/>
      <c r="C412" s="55"/>
      <c r="D412" s="55"/>
      <c r="E412" s="97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242" t="s">
        <v>777</v>
      </c>
      <c r="AK412" s="242" t="s">
        <v>292</v>
      </c>
      <c r="AL412" s="243">
        <v>8162.0</v>
      </c>
      <c r="AM412" s="243">
        <v>69.9</v>
      </c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</row>
    <row r="413">
      <c r="A413" s="55"/>
      <c r="B413" s="55"/>
      <c r="C413" s="55"/>
      <c r="D413" s="55"/>
      <c r="E413" s="97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240" t="s">
        <v>778</v>
      </c>
      <c r="AK413" s="240" t="s">
        <v>292</v>
      </c>
      <c r="AL413" s="241">
        <v>8163.0</v>
      </c>
      <c r="AM413" s="241">
        <v>79.9</v>
      </c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</row>
    <row r="414">
      <c r="A414" s="55"/>
      <c r="B414" s="55"/>
      <c r="C414" s="55"/>
      <c r="D414" s="55"/>
      <c r="E414" s="97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242" t="s">
        <v>779</v>
      </c>
      <c r="AK414" s="242" t="s">
        <v>292</v>
      </c>
      <c r="AL414" s="243">
        <v>8164.0</v>
      </c>
      <c r="AM414" s="243">
        <v>79.9</v>
      </c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</row>
    <row r="415">
      <c r="A415" s="55"/>
      <c r="B415" s="55"/>
      <c r="C415" s="55"/>
      <c r="D415" s="55"/>
      <c r="E415" s="97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240" t="s">
        <v>780</v>
      </c>
      <c r="AK415" s="240" t="s">
        <v>292</v>
      </c>
      <c r="AL415" s="241">
        <v>9016.0</v>
      </c>
      <c r="AM415" s="241">
        <v>59.9</v>
      </c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</row>
    <row r="416">
      <c r="A416" s="55"/>
      <c r="B416" s="55"/>
      <c r="C416" s="55"/>
      <c r="D416" s="55"/>
      <c r="E416" s="97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242" t="s">
        <v>781</v>
      </c>
      <c r="AK416" s="242" t="s">
        <v>292</v>
      </c>
      <c r="AL416" s="243">
        <v>8165.0</v>
      </c>
      <c r="AM416" s="243">
        <v>49.9</v>
      </c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</row>
    <row r="417">
      <c r="A417" s="55"/>
      <c r="B417" s="55"/>
      <c r="C417" s="55"/>
      <c r="D417" s="55"/>
      <c r="E417" s="97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240" t="s">
        <v>782</v>
      </c>
      <c r="AK417" s="240" t="s">
        <v>292</v>
      </c>
      <c r="AL417" s="241">
        <v>8166.0</v>
      </c>
      <c r="AM417" s="241">
        <v>44.9</v>
      </c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</row>
    <row r="418">
      <c r="A418" s="55"/>
      <c r="B418" s="55"/>
      <c r="C418" s="55"/>
      <c r="D418" s="55"/>
      <c r="E418" s="97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242" t="s">
        <v>783</v>
      </c>
      <c r="AK418" s="242" t="s">
        <v>292</v>
      </c>
      <c r="AL418" s="243">
        <v>8167.0</v>
      </c>
      <c r="AM418" s="243">
        <v>99.9</v>
      </c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</row>
    <row r="419">
      <c r="A419" s="55"/>
      <c r="B419" s="55"/>
      <c r="C419" s="55"/>
      <c r="D419" s="55"/>
      <c r="E419" s="97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240" t="s">
        <v>784</v>
      </c>
      <c r="AK419" s="240" t="s">
        <v>292</v>
      </c>
      <c r="AL419" s="241">
        <v>8168.0</v>
      </c>
      <c r="AM419" s="241">
        <v>49.9</v>
      </c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</row>
    <row r="420">
      <c r="A420" s="55"/>
      <c r="B420" s="55"/>
      <c r="C420" s="55"/>
      <c r="D420" s="55"/>
      <c r="E420" s="97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242" t="s">
        <v>785</v>
      </c>
      <c r="AK420" s="242" t="s">
        <v>292</v>
      </c>
      <c r="AL420" s="243">
        <v>8169.0</v>
      </c>
      <c r="AM420" s="243">
        <v>59.9</v>
      </c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</row>
    <row r="421">
      <c r="A421" s="55"/>
      <c r="B421" s="55"/>
      <c r="C421" s="55"/>
      <c r="D421" s="55"/>
      <c r="E421" s="97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240" t="s">
        <v>786</v>
      </c>
      <c r="AK421" s="240" t="s">
        <v>292</v>
      </c>
      <c r="AL421" s="241">
        <v>8170.0</v>
      </c>
      <c r="AM421" s="241">
        <v>149.9</v>
      </c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</row>
    <row r="422">
      <c r="A422" s="55"/>
      <c r="B422" s="55"/>
      <c r="C422" s="55"/>
      <c r="D422" s="55"/>
      <c r="E422" s="97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242" t="s">
        <v>787</v>
      </c>
      <c r="AK422" s="242" t="s">
        <v>292</v>
      </c>
      <c r="AL422" s="243">
        <v>8171.0</v>
      </c>
      <c r="AM422" s="243">
        <v>39.9</v>
      </c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</row>
    <row r="423">
      <c r="A423" s="55"/>
      <c r="B423" s="55"/>
      <c r="C423" s="55"/>
      <c r="D423" s="55"/>
      <c r="E423" s="97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240" t="s">
        <v>788</v>
      </c>
      <c r="AK423" s="240" t="s">
        <v>292</v>
      </c>
      <c r="AL423" s="241">
        <v>8172.0</v>
      </c>
      <c r="AM423" s="241">
        <v>39.9</v>
      </c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</row>
    <row r="424">
      <c r="A424" s="55"/>
      <c r="B424" s="55"/>
      <c r="C424" s="55"/>
      <c r="D424" s="55"/>
      <c r="E424" s="97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242" t="s">
        <v>789</v>
      </c>
      <c r="AK424" s="242" t="s">
        <v>292</v>
      </c>
      <c r="AL424" s="243">
        <v>8174.0</v>
      </c>
      <c r="AM424" s="243">
        <v>39.9</v>
      </c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</row>
    <row r="425">
      <c r="A425" s="55"/>
      <c r="B425" s="55"/>
      <c r="C425" s="55"/>
      <c r="D425" s="55"/>
      <c r="E425" s="97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240" t="s">
        <v>790</v>
      </c>
      <c r="AK425" s="240" t="s">
        <v>292</v>
      </c>
      <c r="AL425" s="241">
        <v>8173.0</v>
      </c>
      <c r="AM425" s="241">
        <v>48.9</v>
      </c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</row>
    <row r="426">
      <c r="A426" s="55"/>
      <c r="B426" s="55"/>
      <c r="C426" s="55"/>
      <c r="D426" s="55"/>
      <c r="E426" s="97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242" t="s">
        <v>791</v>
      </c>
      <c r="AK426" s="242" t="s">
        <v>292</v>
      </c>
      <c r="AL426" s="243">
        <v>8176.0</v>
      </c>
      <c r="AM426" s="243">
        <v>34.9</v>
      </c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</row>
    <row r="427">
      <c r="A427" s="55"/>
      <c r="B427" s="55"/>
      <c r="C427" s="55"/>
      <c r="D427" s="55"/>
      <c r="E427" s="97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240" t="s">
        <v>792</v>
      </c>
      <c r="AK427" s="240" t="s">
        <v>292</v>
      </c>
      <c r="AL427" s="241">
        <v>8175.0</v>
      </c>
      <c r="AM427" s="241">
        <v>46.9</v>
      </c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</row>
    <row r="428">
      <c r="A428" s="55"/>
      <c r="B428" s="55"/>
      <c r="C428" s="55"/>
      <c r="D428" s="55"/>
      <c r="E428" s="97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242" t="s">
        <v>793</v>
      </c>
      <c r="AK428" s="242" t="s">
        <v>292</v>
      </c>
      <c r="AL428" s="243">
        <v>8178.0</v>
      </c>
      <c r="AM428" s="243">
        <v>34.9</v>
      </c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</row>
    <row r="429">
      <c r="A429" s="55"/>
      <c r="B429" s="55"/>
      <c r="C429" s="55"/>
      <c r="D429" s="55"/>
      <c r="E429" s="97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240" t="s">
        <v>794</v>
      </c>
      <c r="AK429" s="240" t="s">
        <v>292</v>
      </c>
      <c r="AL429" s="241">
        <v>8177.0</v>
      </c>
      <c r="AM429" s="241">
        <v>9.9</v>
      </c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</row>
    <row r="430">
      <c r="A430" s="55"/>
      <c r="B430" s="55"/>
      <c r="C430" s="55"/>
      <c r="D430" s="55"/>
      <c r="E430" s="97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242" t="s">
        <v>795</v>
      </c>
      <c r="AK430" s="242" t="s">
        <v>292</v>
      </c>
      <c r="AL430" s="243">
        <v>8179.0</v>
      </c>
      <c r="AM430" s="243">
        <v>43.9</v>
      </c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</row>
    <row r="431">
      <c r="A431" s="55"/>
      <c r="B431" s="55"/>
      <c r="C431" s="55"/>
      <c r="D431" s="55"/>
      <c r="E431" s="97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240" t="s">
        <v>796</v>
      </c>
      <c r="AK431" s="240" t="s">
        <v>292</v>
      </c>
      <c r="AL431" s="241">
        <v>8197.0</v>
      </c>
      <c r="AM431" s="241">
        <v>43.9</v>
      </c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</row>
    <row r="432">
      <c r="A432" s="55"/>
      <c r="B432" s="55"/>
      <c r="C432" s="55"/>
      <c r="D432" s="55"/>
      <c r="E432" s="97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242" t="s">
        <v>388</v>
      </c>
      <c r="AK432" s="242" t="s">
        <v>275</v>
      </c>
      <c r="AL432" s="243">
        <v>9119.0</v>
      </c>
      <c r="AM432" s="243">
        <v>19.9</v>
      </c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</row>
    <row r="433">
      <c r="A433" s="55"/>
      <c r="B433" s="55"/>
      <c r="C433" s="55"/>
      <c r="D433" s="55"/>
      <c r="E433" s="97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240" t="s">
        <v>797</v>
      </c>
      <c r="AK433" s="240" t="s">
        <v>292</v>
      </c>
      <c r="AL433" s="241">
        <v>8201.0</v>
      </c>
      <c r="AM433" s="241">
        <v>69.9</v>
      </c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</row>
    <row r="434">
      <c r="A434" s="55"/>
      <c r="B434" s="55"/>
      <c r="C434" s="55"/>
      <c r="D434" s="55"/>
      <c r="E434" s="97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242" t="s">
        <v>798</v>
      </c>
      <c r="AK434" s="242" t="s">
        <v>292</v>
      </c>
      <c r="AL434" s="243">
        <v>8204.0</v>
      </c>
      <c r="AM434" s="243">
        <v>69.9</v>
      </c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</row>
    <row r="435">
      <c r="A435" s="55"/>
      <c r="B435" s="55"/>
      <c r="C435" s="55"/>
      <c r="D435" s="55"/>
      <c r="E435" s="97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240" t="s">
        <v>799</v>
      </c>
      <c r="AK435" s="240" t="s">
        <v>292</v>
      </c>
      <c r="AL435" s="241">
        <v>8206.0</v>
      </c>
      <c r="AM435" s="241">
        <v>69.9</v>
      </c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</row>
    <row r="436">
      <c r="A436" s="55"/>
      <c r="B436" s="55"/>
      <c r="C436" s="55"/>
      <c r="D436" s="55"/>
      <c r="E436" s="97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242" t="s">
        <v>361</v>
      </c>
      <c r="AK436" s="242" t="s">
        <v>292</v>
      </c>
      <c r="AL436" s="243">
        <v>8221.0</v>
      </c>
      <c r="AM436" s="243">
        <v>39.9</v>
      </c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</row>
    <row r="437">
      <c r="A437" s="55"/>
      <c r="B437" s="55"/>
      <c r="C437" s="55"/>
      <c r="D437" s="55"/>
      <c r="E437" s="97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240" t="s">
        <v>800</v>
      </c>
      <c r="AK437" s="240" t="s">
        <v>292</v>
      </c>
      <c r="AL437" s="241">
        <v>8222.0</v>
      </c>
      <c r="AM437" s="241">
        <v>49.9</v>
      </c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</row>
    <row r="438">
      <c r="A438" s="55"/>
      <c r="B438" s="55"/>
      <c r="C438" s="55"/>
      <c r="D438" s="55"/>
      <c r="E438" s="97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242" t="s">
        <v>801</v>
      </c>
      <c r="AK438" s="242" t="s">
        <v>292</v>
      </c>
      <c r="AL438" s="243">
        <v>8223.0</v>
      </c>
      <c r="AM438" s="243">
        <v>57.9</v>
      </c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</row>
    <row r="439">
      <c r="A439" s="55"/>
      <c r="B439" s="55"/>
      <c r="C439" s="55"/>
      <c r="D439" s="55"/>
      <c r="E439" s="97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240" t="s">
        <v>802</v>
      </c>
      <c r="AK439" s="240" t="s">
        <v>292</v>
      </c>
      <c r="AL439" s="241">
        <v>8224.0</v>
      </c>
      <c r="AM439" s="241">
        <v>54.9</v>
      </c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</row>
    <row r="440">
      <c r="A440" s="55"/>
      <c r="B440" s="55"/>
      <c r="C440" s="55"/>
      <c r="D440" s="55"/>
      <c r="E440" s="97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242" t="s">
        <v>803</v>
      </c>
      <c r="AK440" s="242" t="s">
        <v>292</v>
      </c>
      <c r="AL440" s="243">
        <v>8226.0</v>
      </c>
      <c r="AM440" s="243">
        <v>49.9</v>
      </c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</row>
    <row r="441">
      <c r="A441" s="55"/>
      <c r="B441" s="55"/>
      <c r="C441" s="55"/>
      <c r="D441" s="55"/>
      <c r="E441" s="97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240" t="s">
        <v>804</v>
      </c>
      <c r="AK441" s="240" t="s">
        <v>292</v>
      </c>
      <c r="AL441" s="241">
        <v>8228.0</v>
      </c>
      <c r="AM441" s="241">
        <v>49.9</v>
      </c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</row>
    <row r="442">
      <c r="A442" s="55"/>
      <c r="B442" s="55"/>
      <c r="C442" s="55"/>
      <c r="D442" s="55"/>
      <c r="E442" s="97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242" t="s">
        <v>805</v>
      </c>
      <c r="AK442" s="242" t="s">
        <v>292</v>
      </c>
      <c r="AL442" s="243">
        <v>8229.0</v>
      </c>
      <c r="AM442" s="243">
        <v>39.9</v>
      </c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</row>
    <row r="443">
      <c r="A443" s="55"/>
      <c r="B443" s="55"/>
      <c r="C443" s="55"/>
      <c r="D443" s="55"/>
      <c r="E443" s="97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240" t="s">
        <v>352</v>
      </c>
      <c r="AK443" s="240" t="s">
        <v>292</v>
      </c>
      <c r="AL443" s="241">
        <v>8231.0</v>
      </c>
      <c r="AM443" s="241">
        <v>59.9</v>
      </c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</row>
    <row r="444">
      <c r="A444" s="55"/>
      <c r="B444" s="55"/>
      <c r="C444" s="55"/>
      <c r="D444" s="55"/>
      <c r="E444" s="97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242" t="s">
        <v>806</v>
      </c>
      <c r="AK444" s="242" t="s">
        <v>275</v>
      </c>
      <c r="AL444" s="243">
        <v>8232.0</v>
      </c>
      <c r="AM444" s="243">
        <v>19.99</v>
      </c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</row>
    <row r="445">
      <c r="A445" s="55"/>
      <c r="B445" s="55"/>
      <c r="C445" s="55"/>
      <c r="D445" s="55"/>
      <c r="E445" s="97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240" t="s">
        <v>807</v>
      </c>
      <c r="AK445" s="240" t="s">
        <v>292</v>
      </c>
      <c r="AL445" s="241">
        <v>8235.0</v>
      </c>
      <c r="AM445" s="241">
        <v>69.9</v>
      </c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</row>
    <row r="446">
      <c r="A446" s="55"/>
      <c r="B446" s="55"/>
      <c r="C446" s="55"/>
      <c r="D446" s="55"/>
      <c r="E446" s="97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242" t="s">
        <v>808</v>
      </c>
      <c r="AK446" s="242" t="s">
        <v>292</v>
      </c>
      <c r="AL446" s="243">
        <v>8237.0</v>
      </c>
      <c r="AM446" s="243">
        <v>79.9</v>
      </c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</row>
    <row r="447">
      <c r="A447" s="55"/>
      <c r="B447" s="55"/>
      <c r="C447" s="55"/>
      <c r="D447" s="55"/>
      <c r="E447" s="97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240" t="s">
        <v>809</v>
      </c>
      <c r="AK447" s="240" t="s">
        <v>292</v>
      </c>
      <c r="AL447" s="241">
        <v>8239.0</v>
      </c>
      <c r="AM447" s="241">
        <v>69.9</v>
      </c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</row>
    <row r="448">
      <c r="A448" s="55"/>
      <c r="B448" s="55"/>
      <c r="C448" s="55"/>
      <c r="D448" s="55"/>
      <c r="E448" s="97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242" t="s">
        <v>810</v>
      </c>
      <c r="AK448" s="242" t="s">
        <v>292</v>
      </c>
      <c r="AL448" s="243">
        <v>8240.0</v>
      </c>
      <c r="AM448" s="243">
        <v>69.9</v>
      </c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</row>
    <row r="449">
      <c r="A449" s="55"/>
      <c r="B449" s="55"/>
      <c r="C449" s="55"/>
      <c r="D449" s="55"/>
      <c r="E449" s="97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240" t="s">
        <v>811</v>
      </c>
      <c r="AK449" s="240" t="s">
        <v>292</v>
      </c>
      <c r="AL449" s="241">
        <v>8247.0</v>
      </c>
      <c r="AM449" s="241">
        <v>59.9</v>
      </c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</row>
    <row r="450">
      <c r="A450" s="55"/>
      <c r="B450" s="55"/>
      <c r="C450" s="55"/>
      <c r="D450" s="55"/>
      <c r="E450" s="97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242" t="s">
        <v>812</v>
      </c>
      <c r="AK450" s="242" t="s">
        <v>275</v>
      </c>
      <c r="AL450" s="243">
        <v>8259.0</v>
      </c>
      <c r="AM450" s="243">
        <v>49.9</v>
      </c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</row>
    <row r="451">
      <c r="A451" s="55"/>
      <c r="B451" s="55"/>
      <c r="C451" s="55"/>
      <c r="D451" s="55"/>
      <c r="E451" s="97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240" t="s">
        <v>813</v>
      </c>
      <c r="AK451" s="240" t="s">
        <v>275</v>
      </c>
      <c r="AL451" s="241">
        <v>360258.0</v>
      </c>
      <c r="AM451" s="241">
        <v>49.9</v>
      </c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</row>
    <row r="452">
      <c r="A452" s="55"/>
      <c r="B452" s="55"/>
      <c r="C452" s="55"/>
      <c r="D452" s="55"/>
      <c r="E452" s="97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242" t="s">
        <v>814</v>
      </c>
      <c r="AK452" s="242" t="s">
        <v>292</v>
      </c>
      <c r="AL452" s="243">
        <v>8251.0</v>
      </c>
      <c r="AM452" s="243">
        <v>59.9</v>
      </c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</row>
    <row r="453">
      <c r="A453" s="55"/>
      <c r="B453" s="55"/>
      <c r="C453" s="55"/>
      <c r="D453" s="55"/>
      <c r="E453" s="97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240" t="s">
        <v>815</v>
      </c>
      <c r="AK453" s="240" t="s">
        <v>292</v>
      </c>
      <c r="AL453" s="241">
        <v>8267.0</v>
      </c>
      <c r="AM453" s="241">
        <v>54.9</v>
      </c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</row>
    <row r="454">
      <c r="A454" s="55"/>
      <c r="B454" s="55"/>
      <c r="C454" s="55"/>
      <c r="D454" s="55"/>
      <c r="E454" s="97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242" t="s">
        <v>816</v>
      </c>
      <c r="AK454" s="242" t="s">
        <v>292</v>
      </c>
      <c r="AL454" s="243">
        <v>93693.0</v>
      </c>
      <c r="AM454" s="243">
        <v>79.9</v>
      </c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</row>
    <row r="455">
      <c r="A455" s="55"/>
      <c r="B455" s="55"/>
      <c r="C455" s="55"/>
      <c r="D455" s="55"/>
      <c r="E455" s="97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240" t="s">
        <v>817</v>
      </c>
      <c r="AK455" s="240" t="s">
        <v>292</v>
      </c>
      <c r="AL455" s="241">
        <v>8273.0</v>
      </c>
      <c r="AM455" s="241">
        <v>79.9</v>
      </c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</row>
    <row r="456">
      <c r="A456" s="55"/>
      <c r="B456" s="55"/>
      <c r="C456" s="55"/>
      <c r="D456" s="55"/>
      <c r="E456" s="97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242" t="s">
        <v>371</v>
      </c>
      <c r="AK456" s="242" t="s">
        <v>292</v>
      </c>
      <c r="AL456" s="243">
        <v>8274.0</v>
      </c>
      <c r="AM456" s="243">
        <v>84.9</v>
      </c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</row>
    <row r="457">
      <c r="A457" s="55"/>
      <c r="B457" s="55"/>
      <c r="C457" s="55"/>
      <c r="D457" s="55"/>
      <c r="E457" s="97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240" t="s">
        <v>818</v>
      </c>
      <c r="AK457" s="240" t="s">
        <v>292</v>
      </c>
      <c r="AL457" s="241">
        <v>8276.0</v>
      </c>
      <c r="AM457" s="241">
        <v>29.9</v>
      </c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</row>
    <row r="458">
      <c r="A458" s="55"/>
      <c r="B458" s="55"/>
      <c r="C458" s="55"/>
      <c r="D458" s="55"/>
      <c r="E458" s="97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242" t="s">
        <v>328</v>
      </c>
      <c r="AK458" s="242" t="s">
        <v>292</v>
      </c>
      <c r="AL458" s="243">
        <v>8279.0</v>
      </c>
      <c r="AM458" s="243">
        <v>34.9</v>
      </c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</row>
    <row r="459">
      <c r="A459" s="55"/>
      <c r="B459" s="55"/>
      <c r="C459" s="55"/>
      <c r="D459" s="55"/>
      <c r="E459" s="97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240" t="s">
        <v>819</v>
      </c>
      <c r="AK459" s="240" t="s">
        <v>292</v>
      </c>
      <c r="AL459" s="241">
        <v>8281.0</v>
      </c>
      <c r="AM459" s="241">
        <v>49.9</v>
      </c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</row>
    <row r="460">
      <c r="A460" s="55"/>
      <c r="B460" s="55"/>
      <c r="C460" s="55"/>
      <c r="D460" s="55"/>
      <c r="E460" s="97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242" t="s">
        <v>820</v>
      </c>
      <c r="AK460" s="242" t="s">
        <v>292</v>
      </c>
      <c r="AL460" s="243">
        <v>8282.0</v>
      </c>
      <c r="AM460" s="243">
        <v>49.9</v>
      </c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</row>
    <row r="461">
      <c r="A461" s="55"/>
      <c r="B461" s="55"/>
      <c r="C461" s="55"/>
      <c r="D461" s="55"/>
      <c r="E461" s="97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240" t="s">
        <v>354</v>
      </c>
      <c r="AK461" s="240" t="s">
        <v>292</v>
      </c>
      <c r="AL461" s="241">
        <v>8284.0</v>
      </c>
      <c r="AM461" s="241">
        <v>61.9</v>
      </c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</row>
    <row r="462">
      <c r="A462" s="55"/>
      <c r="B462" s="55"/>
      <c r="C462" s="55"/>
      <c r="D462" s="55"/>
      <c r="E462" s="97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242" t="s">
        <v>821</v>
      </c>
      <c r="AK462" s="242" t="s">
        <v>292</v>
      </c>
      <c r="AL462" s="243">
        <v>8287.0</v>
      </c>
      <c r="AM462" s="243">
        <v>58.9</v>
      </c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</row>
    <row r="463">
      <c r="A463" s="55"/>
      <c r="B463" s="55"/>
      <c r="C463" s="55"/>
      <c r="D463" s="55"/>
      <c r="E463" s="97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240" t="s">
        <v>822</v>
      </c>
      <c r="AK463" s="240" t="s">
        <v>292</v>
      </c>
      <c r="AL463" s="241">
        <v>8290.0</v>
      </c>
      <c r="AM463" s="241">
        <v>54.9</v>
      </c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</row>
    <row r="464">
      <c r="A464" s="55"/>
      <c r="B464" s="55"/>
      <c r="C464" s="55"/>
      <c r="D464" s="55"/>
      <c r="E464" s="97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242" t="s">
        <v>355</v>
      </c>
      <c r="AK464" s="242" t="s">
        <v>292</v>
      </c>
      <c r="AL464" s="243">
        <v>8519.0</v>
      </c>
      <c r="AM464" s="243">
        <v>54.9</v>
      </c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</row>
    <row r="465">
      <c r="A465" s="55"/>
      <c r="B465" s="55"/>
      <c r="C465" s="55"/>
      <c r="D465" s="55"/>
      <c r="E465" s="97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240" t="s">
        <v>823</v>
      </c>
      <c r="AK465" s="240" t="s">
        <v>292</v>
      </c>
      <c r="AL465" s="241">
        <v>8291.0</v>
      </c>
      <c r="AM465" s="241">
        <v>39.9</v>
      </c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</row>
    <row r="466">
      <c r="A466" s="55"/>
      <c r="B466" s="55"/>
      <c r="C466" s="55"/>
      <c r="D466" s="55"/>
      <c r="E466" s="97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242" t="s">
        <v>326</v>
      </c>
      <c r="AK466" s="242" t="s">
        <v>292</v>
      </c>
      <c r="AL466" s="243">
        <v>8292.0</v>
      </c>
      <c r="AM466" s="243">
        <v>41.9</v>
      </c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</row>
    <row r="467">
      <c r="A467" s="55"/>
      <c r="B467" s="55"/>
      <c r="C467" s="55"/>
      <c r="D467" s="55"/>
      <c r="E467" s="97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240" t="s">
        <v>824</v>
      </c>
      <c r="AK467" s="240" t="s">
        <v>292</v>
      </c>
      <c r="AL467" s="241">
        <v>1717.0</v>
      </c>
      <c r="AM467" s="241">
        <v>44.9</v>
      </c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</row>
    <row r="468">
      <c r="A468" s="55"/>
      <c r="B468" s="55"/>
      <c r="C468" s="55"/>
      <c r="D468" s="55"/>
      <c r="E468" s="97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242" t="s">
        <v>825</v>
      </c>
      <c r="AK468" s="242" t="s">
        <v>292</v>
      </c>
      <c r="AL468" s="243">
        <v>93966.0</v>
      </c>
      <c r="AM468" s="243">
        <v>34.9</v>
      </c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</row>
    <row r="469">
      <c r="A469" s="55"/>
      <c r="B469" s="55"/>
      <c r="C469" s="55"/>
      <c r="D469" s="55"/>
      <c r="E469" s="97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240" t="s">
        <v>826</v>
      </c>
      <c r="AK469" s="240" t="s">
        <v>292</v>
      </c>
      <c r="AL469" s="241">
        <v>8296.0</v>
      </c>
      <c r="AM469" s="241">
        <v>99.9</v>
      </c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</row>
    <row r="470">
      <c r="A470" s="55"/>
      <c r="B470" s="55"/>
      <c r="C470" s="55"/>
      <c r="D470" s="55"/>
      <c r="E470" s="97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242" t="s">
        <v>359</v>
      </c>
      <c r="AK470" s="242" t="s">
        <v>292</v>
      </c>
      <c r="AL470" s="243">
        <v>93964.0</v>
      </c>
      <c r="AM470" s="243">
        <v>99.9</v>
      </c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</row>
    <row r="471">
      <c r="A471" s="55"/>
      <c r="B471" s="55"/>
      <c r="C471" s="55"/>
      <c r="D471" s="55"/>
      <c r="E471" s="97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240" t="s">
        <v>356</v>
      </c>
      <c r="AK471" s="240" t="s">
        <v>292</v>
      </c>
      <c r="AL471" s="241">
        <v>8298.0</v>
      </c>
      <c r="AM471" s="241">
        <v>39.9</v>
      </c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</row>
    <row r="472">
      <c r="A472" s="55"/>
      <c r="B472" s="55"/>
      <c r="C472" s="55"/>
      <c r="D472" s="55"/>
      <c r="E472" s="97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242" t="s">
        <v>827</v>
      </c>
      <c r="AK472" s="242" t="s">
        <v>292</v>
      </c>
      <c r="AL472" s="243">
        <v>8302.0</v>
      </c>
      <c r="AM472" s="243">
        <v>49.9</v>
      </c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</row>
    <row r="473">
      <c r="A473" s="55"/>
      <c r="B473" s="55"/>
      <c r="C473" s="55"/>
      <c r="D473" s="55"/>
      <c r="E473" s="97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240" t="s">
        <v>828</v>
      </c>
      <c r="AK473" s="240" t="s">
        <v>292</v>
      </c>
      <c r="AL473" s="241">
        <v>8306.0</v>
      </c>
      <c r="AM473" s="241">
        <v>49.9</v>
      </c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</row>
    <row r="474">
      <c r="A474" s="55"/>
      <c r="B474" s="55"/>
      <c r="C474" s="55"/>
      <c r="D474" s="55"/>
      <c r="E474" s="97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242" t="s">
        <v>400</v>
      </c>
      <c r="AK474" s="242" t="s">
        <v>292</v>
      </c>
      <c r="AL474" s="243">
        <v>8307.0</v>
      </c>
      <c r="AM474" s="243">
        <v>57.9</v>
      </c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</row>
    <row r="475">
      <c r="A475" s="55"/>
      <c r="B475" s="55"/>
      <c r="C475" s="55"/>
      <c r="D475" s="55"/>
      <c r="E475" s="97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240" t="s">
        <v>829</v>
      </c>
      <c r="AK475" s="240" t="s">
        <v>292</v>
      </c>
      <c r="AL475" s="241">
        <v>8309.0</v>
      </c>
      <c r="AM475" s="241">
        <v>54.9</v>
      </c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</row>
    <row r="476">
      <c r="A476" s="55"/>
      <c r="B476" s="55"/>
      <c r="C476" s="55"/>
      <c r="D476" s="55"/>
      <c r="E476" s="97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242" t="s">
        <v>404</v>
      </c>
      <c r="AK476" s="242" t="s">
        <v>292</v>
      </c>
      <c r="AL476" s="243">
        <v>8316.0</v>
      </c>
      <c r="AM476" s="243">
        <v>57.9</v>
      </c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</row>
    <row r="477">
      <c r="A477" s="55"/>
      <c r="B477" s="55"/>
      <c r="C477" s="55"/>
      <c r="D477" s="55"/>
      <c r="E477" s="97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240" t="s">
        <v>830</v>
      </c>
      <c r="AK477" s="240" t="s">
        <v>292</v>
      </c>
      <c r="AL477" s="241">
        <v>8308.0</v>
      </c>
      <c r="AM477" s="241">
        <v>49.9</v>
      </c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</row>
    <row r="478">
      <c r="A478" s="55"/>
      <c r="B478" s="55"/>
      <c r="C478" s="55"/>
      <c r="D478" s="55"/>
      <c r="E478" s="97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242" t="s">
        <v>831</v>
      </c>
      <c r="AK478" s="242" t="s">
        <v>292</v>
      </c>
      <c r="AL478" s="243">
        <v>8312.0</v>
      </c>
      <c r="AM478" s="243">
        <v>49.9</v>
      </c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</row>
    <row r="479">
      <c r="A479" s="55"/>
      <c r="B479" s="55"/>
      <c r="C479" s="55"/>
      <c r="D479" s="55"/>
      <c r="E479" s="97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240" t="s">
        <v>832</v>
      </c>
      <c r="AK479" s="240" t="s">
        <v>292</v>
      </c>
      <c r="AL479" s="241">
        <v>8317.0</v>
      </c>
      <c r="AM479" s="241">
        <v>39.9</v>
      </c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</row>
    <row r="480">
      <c r="A480" s="55"/>
      <c r="B480" s="55"/>
      <c r="C480" s="55"/>
      <c r="D480" s="55"/>
      <c r="E480" s="97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242" t="s">
        <v>833</v>
      </c>
      <c r="AK480" s="242" t="s">
        <v>275</v>
      </c>
      <c r="AL480" s="243">
        <v>6903.0</v>
      </c>
      <c r="AM480" s="243">
        <v>24.9</v>
      </c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</row>
    <row r="481">
      <c r="A481" s="55"/>
      <c r="B481" s="55"/>
      <c r="C481" s="55"/>
      <c r="D481" s="55"/>
      <c r="E481" s="97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240" t="s">
        <v>335</v>
      </c>
      <c r="AK481" s="240" t="s">
        <v>292</v>
      </c>
      <c r="AL481" s="241">
        <v>8323.0</v>
      </c>
      <c r="AM481" s="241">
        <v>54.9</v>
      </c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</row>
    <row r="482">
      <c r="A482" s="55"/>
      <c r="B482" s="55"/>
      <c r="C482" s="55"/>
      <c r="D482" s="55"/>
      <c r="E482" s="97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242" t="s">
        <v>317</v>
      </c>
      <c r="AK482" s="242" t="s">
        <v>292</v>
      </c>
      <c r="AL482" s="243">
        <v>8328.0</v>
      </c>
      <c r="AM482" s="243">
        <v>34.9</v>
      </c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</row>
    <row r="483">
      <c r="A483" s="55"/>
      <c r="B483" s="55"/>
      <c r="C483" s="55"/>
      <c r="D483" s="55"/>
      <c r="E483" s="97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240" t="s">
        <v>834</v>
      </c>
      <c r="AK483" s="240" t="s">
        <v>292</v>
      </c>
      <c r="AL483" s="241">
        <v>8324.0</v>
      </c>
      <c r="AM483" s="241">
        <v>39.9</v>
      </c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</row>
    <row r="484">
      <c r="A484" s="55"/>
      <c r="B484" s="55"/>
      <c r="C484" s="55"/>
      <c r="D484" s="55"/>
      <c r="E484" s="97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242" t="s">
        <v>835</v>
      </c>
      <c r="AK484" s="242" t="s">
        <v>292</v>
      </c>
      <c r="AL484" s="243">
        <v>8331.0</v>
      </c>
      <c r="AM484" s="243">
        <v>34.9</v>
      </c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</row>
    <row r="485">
      <c r="A485" s="55"/>
      <c r="B485" s="55"/>
      <c r="C485" s="55"/>
      <c r="D485" s="55"/>
      <c r="E485" s="97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240" t="s">
        <v>836</v>
      </c>
      <c r="AK485" s="240" t="s">
        <v>292</v>
      </c>
      <c r="AL485" s="241">
        <v>8330.0</v>
      </c>
      <c r="AM485" s="241">
        <v>34.9</v>
      </c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</row>
    <row r="486">
      <c r="A486" s="55"/>
      <c r="B486" s="55"/>
      <c r="C486" s="55"/>
      <c r="D486" s="55"/>
      <c r="E486" s="97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242" t="s">
        <v>837</v>
      </c>
      <c r="AK486" s="242" t="s">
        <v>292</v>
      </c>
      <c r="AL486" s="243">
        <v>8334.0</v>
      </c>
      <c r="AM486" s="243">
        <v>34.9</v>
      </c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</row>
    <row r="487">
      <c r="A487" s="55"/>
      <c r="B487" s="55"/>
      <c r="C487" s="55"/>
      <c r="D487" s="55"/>
      <c r="E487" s="97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240" t="s">
        <v>320</v>
      </c>
      <c r="AK487" s="240" t="s">
        <v>292</v>
      </c>
      <c r="AL487" s="241">
        <v>8336.0</v>
      </c>
      <c r="AM487" s="241">
        <v>46.9</v>
      </c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</row>
    <row r="488">
      <c r="A488" s="55"/>
      <c r="B488" s="55"/>
      <c r="C488" s="55"/>
      <c r="D488" s="55"/>
      <c r="E488" s="97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242" t="s">
        <v>838</v>
      </c>
      <c r="AK488" s="242" t="s">
        <v>292</v>
      </c>
      <c r="AL488" s="243">
        <v>8337.0</v>
      </c>
      <c r="AM488" s="243">
        <v>69.9</v>
      </c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</row>
    <row r="489">
      <c r="A489" s="55"/>
      <c r="B489" s="55"/>
      <c r="C489" s="55"/>
      <c r="D489" s="55"/>
      <c r="E489" s="97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240" t="s">
        <v>839</v>
      </c>
      <c r="AK489" s="240" t="s">
        <v>292</v>
      </c>
      <c r="AL489" s="241">
        <v>8341.0</v>
      </c>
      <c r="AM489" s="241">
        <v>69.9</v>
      </c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</row>
    <row r="490">
      <c r="A490" s="55"/>
      <c r="B490" s="55"/>
      <c r="C490" s="55"/>
      <c r="D490" s="55"/>
      <c r="E490" s="97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242" t="s">
        <v>840</v>
      </c>
      <c r="AK490" s="242" t="s">
        <v>292</v>
      </c>
      <c r="AL490" s="243">
        <v>3683.0</v>
      </c>
      <c r="AM490" s="243">
        <v>69.9</v>
      </c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</row>
    <row r="491">
      <c r="A491" s="55"/>
      <c r="B491" s="55"/>
      <c r="C491" s="55"/>
      <c r="D491" s="55"/>
      <c r="E491" s="97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240" t="s">
        <v>841</v>
      </c>
      <c r="AK491" s="240" t="s">
        <v>292</v>
      </c>
      <c r="AL491" s="241">
        <v>8346.0</v>
      </c>
      <c r="AM491" s="241">
        <v>69.9</v>
      </c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</row>
    <row r="492">
      <c r="A492" s="55"/>
      <c r="B492" s="55"/>
      <c r="C492" s="55"/>
      <c r="D492" s="55"/>
      <c r="E492" s="97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242" t="s">
        <v>842</v>
      </c>
      <c r="AK492" s="242" t="s">
        <v>292</v>
      </c>
      <c r="AL492" s="243">
        <v>8345.0</v>
      </c>
      <c r="AM492" s="243">
        <v>69.9</v>
      </c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</row>
    <row r="493">
      <c r="A493" s="55"/>
      <c r="B493" s="55"/>
      <c r="C493" s="55"/>
      <c r="D493" s="55"/>
      <c r="E493" s="97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240" t="s">
        <v>843</v>
      </c>
      <c r="AK493" s="240" t="s">
        <v>292</v>
      </c>
      <c r="AL493" s="241">
        <v>103645.0</v>
      </c>
      <c r="AM493" s="241">
        <v>69.9</v>
      </c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</row>
    <row r="494">
      <c r="A494" s="55"/>
      <c r="B494" s="55"/>
      <c r="C494" s="55"/>
      <c r="D494" s="55"/>
      <c r="E494" s="97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242" t="s">
        <v>844</v>
      </c>
      <c r="AK494" s="242" t="s">
        <v>292</v>
      </c>
      <c r="AL494" s="243">
        <v>6952.0</v>
      </c>
      <c r="AM494" s="243">
        <v>49.9</v>
      </c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</row>
    <row r="495">
      <c r="A495" s="55"/>
      <c r="B495" s="55"/>
      <c r="C495" s="55"/>
      <c r="D495" s="55"/>
      <c r="E495" s="97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240" t="s">
        <v>340</v>
      </c>
      <c r="AK495" s="240" t="s">
        <v>292</v>
      </c>
      <c r="AL495" s="241">
        <v>8349.0</v>
      </c>
      <c r="AM495" s="241">
        <v>68.9</v>
      </c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</row>
    <row r="496">
      <c r="A496" s="55"/>
      <c r="B496" s="55"/>
      <c r="C496" s="55"/>
      <c r="D496" s="55"/>
      <c r="E496" s="97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242" t="s">
        <v>845</v>
      </c>
      <c r="AK496" s="242" t="s">
        <v>292</v>
      </c>
      <c r="AL496" s="243">
        <v>8350.0</v>
      </c>
      <c r="AM496" s="243">
        <v>64.9</v>
      </c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</row>
    <row r="497">
      <c r="A497" s="55"/>
      <c r="B497" s="55"/>
      <c r="C497" s="55"/>
      <c r="D497" s="55"/>
      <c r="E497" s="97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240" t="s">
        <v>846</v>
      </c>
      <c r="AK497" s="240" t="s">
        <v>292</v>
      </c>
      <c r="AL497" s="241">
        <v>8352.0</v>
      </c>
      <c r="AM497" s="241">
        <v>64.9</v>
      </c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</row>
    <row r="498">
      <c r="A498" s="55"/>
      <c r="B498" s="55"/>
      <c r="C498" s="55"/>
      <c r="D498" s="55"/>
      <c r="E498" s="97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242" t="s">
        <v>847</v>
      </c>
      <c r="AK498" s="242" t="s">
        <v>292</v>
      </c>
      <c r="AL498" s="243">
        <v>8358.0</v>
      </c>
      <c r="AM498" s="243">
        <v>99.9</v>
      </c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</row>
    <row r="499">
      <c r="A499" s="55"/>
      <c r="B499" s="55"/>
      <c r="C499" s="55"/>
      <c r="D499" s="55"/>
      <c r="E499" s="97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240" t="s">
        <v>848</v>
      </c>
      <c r="AK499" s="240" t="s">
        <v>292</v>
      </c>
      <c r="AL499" s="241">
        <v>8360.0</v>
      </c>
      <c r="AM499" s="241">
        <v>99.9</v>
      </c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</row>
    <row r="500">
      <c r="A500" s="55"/>
      <c r="B500" s="55"/>
      <c r="C500" s="55"/>
      <c r="D500" s="55"/>
      <c r="E500" s="97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242" t="s">
        <v>343</v>
      </c>
      <c r="AK500" s="242" t="s">
        <v>292</v>
      </c>
      <c r="AL500" s="243">
        <v>8361.0</v>
      </c>
      <c r="AM500" s="243">
        <v>59.9</v>
      </c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</row>
    <row r="501">
      <c r="A501" s="55"/>
      <c r="B501" s="55"/>
      <c r="C501" s="55"/>
      <c r="D501" s="55"/>
      <c r="E501" s="97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240" t="s">
        <v>849</v>
      </c>
      <c r="AK501" s="240" t="s">
        <v>292</v>
      </c>
      <c r="AL501" s="241">
        <v>8362.0</v>
      </c>
      <c r="AM501" s="241">
        <v>69.9</v>
      </c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</row>
    <row r="502">
      <c r="A502" s="55"/>
      <c r="B502" s="55"/>
      <c r="C502" s="55"/>
      <c r="D502" s="55"/>
      <c r="E502" s="97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242" t="s">
        <v>850</v>
      </c>
      <c r="AK502" s="242" t="s">
        <v>292</v>
      </c>
      <c r="AL502" s="243">
        <v>8363.0</v>
      </c>
      <c r="AM502" s="243">
        <v>129.9</v>
      </c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</row>
    <row r="503">
      <c r="A503" s="55"/>
      <c r="B503" s="55"/>
      <c r="C503" s="55"/>
      <c r="D503" s="55"/>
      <c r="E503" s="97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240" t="s">
        <v>851</v>
      </c>
      <c r="AK503" s="240" t="s">
        <v>292</v>
      </c>
      <c r="AL503" s="241">
        <v>8367.0</v>
      </c>
      <c r="AM503" s="241">
        <v>162.9</v>
      </c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</row>
    <row r="504">
      <c r="A504" s="55"/>
      <c r="B504" s="55"/>
      <c r="C504" s="55"/>
      <c r="D504" s="55"/>
      <c r="E504" s="97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242" t="s">
        <v>852</v>
      </c>
      <c r="AK504" s="242" t="s">
        <v>292</v>
      </c>
      <c r="AL504" s="243">
        <v>1560.0</v>
      </c>
      <c r="AM504" s="243">
        <v>162.9</v>
      </c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</row>
    <row r="505">
      <c r="A505" s="55"/>
      <c r="B505" s="55"/>
      <c r="C505" s="55"/>
      <c r="D505" s="55"/>
      <c r="E505" s="97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240" t="s">
        <v>853</v>
      </c>
      <c r="AK505" s="240" t="s">
        <v>292</v>
      </c>
      <c r="AL505" s="241">
        <v>8371.0</v>
      </c>
      <c r="AM505" s="241">
        <v>93.9</v>
      </c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</row>
    <row r="506">
      <c r="A506" s="55"/>
      <c r="B506" s="55"/>
      <c r="C506" s="55"/>
      <c r="D506" s="55"/>
      <c r="E506" s="97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242" t="s">
        <v>854</v>
      </c>
      <c r="AK506" s="242" t="s">
        <v>292</v>
      </c>
      <c r="AL506" s="243">
        <v>1706.0</v>
      </c>
      <c r="AM506" s="243">
        <v>93.9</v>
      </c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</row>
    <row r="507">
      <c r="A507" s="55"/>
      <c r="B507" s="55"/>
      <c r="C507" s="55"/>
      <c r="D507" s="55"/>
      <c r="E507" s="97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240" t="s">
        <v>855</v>
      </c>
      <c r="AK507" s="240" t="s">
        <v>292</v>
      </c>
      <c r="AL507" s="241">
        <v>8372.0</v>
      </c>
      <c r="AM507" s="241">
        <v>89.9</v>
      </c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</row>
    <row r="508">
      <c r="A508" s="55"/>
      <c r="B508" s="55"/>
      <c r="C508" s="55"/>
      <c r="D508" s="55"/>
      <c r="E508" s="97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242" t="s">
        <v>856</v>
      </c>
      <c r="AK508" s="242" t="s">
        <v>292</v>
      </c>
      <c r="AL508" s="243">
        <v>3682.0</v>
      </c>
      <c r="AM508" s="243">
        <v>89.9</v>
      </c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</row>
    <row r="509">
      <c r="A509" s="55"/>
      <c r="B509" s="55"/>
      <c r="C509" s="55"/>
      <c r="D509" s="55"/>
      <c r="E509" s="97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240" t="s">
        <v>857</v>
      </c>
      <c r="AK509" s="240" t="s">
        <v>292</v>
      </c>
      <c r="AL509" s="241">
        <v>8374.0</v>
      </c>
      <c r="AM509" s="241">
        <v>126.9</v>
      </c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</row>
    <row r="510">
      <c r="A510" s="55"/>
      <c r="B510" s="55"/>
      <c r="C510" s="55"/>
      <c r="D510" s="55"/>
      <c r="E510" s="97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242" t="s">
        <v>858</v>
      </c>
      <c r="AK510" s="242" t="s">
        <v>292</v>
      </c>
      <c r="AL510" s="243">
        <v>1814.0</v>
      </c>
      <c r="AM510" s="243">
        <v>126.9</v>
      </c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</row>
    <row r="511">
      <c r="A511" s="55"/>
      <c r="B511" s="55"/>
      <c r="C511" s="55"/>
      <c r="D511" s="55"/>
      <c r="E511" s="97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240" t="s">
        <v>859</v>
      </c>
      <c r="AK511" s="240" t="s">
        <v>292</v>
      </c>
      <c r="AL511" s="241">
        <v>8375.0</v>
      </c>
      <c r="AM511" s="241">
        <v>24.9</v>
      </c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</row>
    <row r="512">
      <c r="A512" s="55"/>
      <c r="B512" s="55"/>
      <c r="C512" s="55"/>
      <c r="D512" s="55"/>
      <c r="E512" s="97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242" t="s">
        <v>860</v>
      </c>
      <c r="AK512" s="242" t="s">
        <v>292</v>
      </c>
      <c r="AL512" s="243">
        <v>3156.0</v>
      </c>
      <c r="AM512" s="243">
        <v>24.9</v>
      </c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</row>
    <row r="513">
      <c r="A513" s="55"/>
      <c r="B513" s="55"/>
      <c r="C513" s="55"/>
      <c r="D513" s="55"/>
      <c r="E513" s="97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240" t="s">
        <v>861</v>
      </c>
      <c r="AK513" s="240" t="s">
        <v>292</v>
      </c>
      <c r="AL513" s="241">
        <v>8379.0</v>
      </c>
      <c r="AM513" s="241">
        <v>39.9</v>
      </c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</row>
    <row r="514">
      <c r="A514" s="55"/>
      <c r="B514" s="55"/>
      <c r="C514" s="55"/>
      <c r="D514" s="55"/>
      <c r="E514" s="97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242" t="s">
        <v>862</v>
      </c>
      <c r="AK514" s="242" t="s">
        <v>292</v>
      </c>
      <c r="AL514" s="243">
        <v>96119.0</v>
      </c>
      <c r="AM514" s="243">
        <v>39.9</v>
      </c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</row>
    <row r="515">
      <c r="A515" s="55"/>
      <c r="B515" s="55"/>
      <c r="C515" s="55"/>
      <c r="D515" s="55"/>
      <c r="E515" s="97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240" t="s">
        <v>863</v>
      </c>
      <c r="AK515" s="240" t="s">
        <v>292</v>
      </c>
      <c r="AL515" s="241">
        <v>4083.0</v>
      </c>
      <c r="AM515" s="241">
        <v>49.0</v>
      </c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</row>
    <row r="516">
      <c r="A516" s="55"/>
      <c r="B516" s="55"/>
      <c r="C516" s="55"/>
      <c r="D516" s="55"/>
      <c r="E516" s="97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242" t="s">
        <v>864</v>
      </c>
      <c r="AK516" s="242" t="s">
        <v>292</v>
      </c>
      <c r="AL516" s="243">
        <v>8380.0</v>
      </c>
      <c r="AM516" s="243">
        <v>49.0</v>
      </c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</row>
    <row r="517">
      <c r="A517" s="55"/>
      <c r="B517" s="55"/>
      <c r="C517" s="55"/>
      <c r="D517" s="55"/>
      <c r="E517" s="97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240" t="s">
        <v>342</v>
      </c>
      <c r="AK517" s="240" t="s">
        <v>292</v>
      </c>
      <c r="AL517" s="241">
        <v>8381.0</v>
      </c>
      <c r="AM517" s="241">
        <v>49.9</v>
      </c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</row>
    <row r="518">
      <c r="A518" s="55"/>
      <c r="B518" s="55"/>
      <c r="C518" s="55"/>
      <c r="D518" s="55"/>
      <c r="E518" s="97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242" t="s">
        <v>865</v>
      </c>
      <c r="AK518" s="242" t="s">
        <v>292</v>
      </c>
      <c r="AL518" s="243">
        <v>94313.0</v>
      </c>
      <c r="AM518" s="243">
        <v>39.9</v>
      </c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</row>
    <row r="519">
      <c r="A519" s="55"/>
      <c r="B519" s="55"/>
      <c r="C519" s="55"/>
      <c r="D519" s="55"/>
      <c r="E519" s="97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240" t="s">
        <v>866</v>
      </c>
      <c r="AK519" s="240" t="s">
        <v>292</v>
      </c>
      <c r="AL519" s="241">
        <v>8383.0</v>
      </c>
      <c r="AM519" s="241">
        <v>59.9</v>
      </c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</row>
    <row r="520">
      <c r="A520" s="55"/>
      <c r="B520" s="55"/>
      <c r="C520" s="55"/>
      <c r="D520" s="55"/>
      <c r="E520" s="97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242" t="s">
        <v>867</v>
      </c>
      <c r="AK520" s="242" t="s">
        <v>292</v>
      </c>
      <c r="AL520" s="243">
        <v>109163.0</v>
      </c>
      <c r="AM520" s="243">
        <v>59.9</v>
      </c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</row>
    <row r="521">
      <c r="A521" s="55"/>
      <c r="B521" s="55"/>
      <c r="C521" s="55"/>
      <c r="D521" s="55"/>
      <c r="E521" s="97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240" t="s">
        <v>868</v>
      </c>
      <c r="AK521" s="240" t="s">
        <v>292</v>
      </c>
      <c r="AL521" s="241">
        <v>8384.0</v>
      </c>
      <c r="AM521" s="241">
        <v>39.9</v>
      </c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</row>
    <row r="522">
      <c r="A522" s="55"/>
      <c r="B522" s="55"/>
      <c r="C522" s="55"/>
      <c r="D522" s="55"/>
      <c r="E522" s="97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242" t="s">
        <v>418</v>
      </c>
      <c r="AK522" s="242" t="s">
        <v>292</v>
      </c>
      <c r="AL522" s="243">
        <v>8386.0</v>
      </c>
      <c r="AM522" s="243">
        <v>49.9</v>
      </c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</row>
    <row r="523">
      <c r="A523" s="55"/>
      <c r="B523" s="55"/>
      <c r="C523" s="55"/>
      <c r="D523" s="55"/>
      <c r="E523" s="97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240" t="s">
        <v>869</v>
      </c>
      <c r="AK523" s="240" t="s">
        <v>292</v>
      </c>
      <c r="AL523" s="241">
        <v>8385.0</v>
      </c>
      <c r="AM523" s="241">
        <v>49.9</v>
      </c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</row>
    <row r="524">
      <c r="A524" s="55"/>
      <c r="B524" s="55"/>
      <c r="C524" s="55"/>
      <c r="D524" s="55"/>
      <c r="E524" s="97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242" t="s">
        <v>870</v>
      </c>
      <c r="AK524" s="242" t="s">
        <v>292</v>
      </c>
      <c r="AL524" s="243">
        <v>4642.0</v>
      </c>
      <c r="AM524" s="243">
        <v>43.9</v>
      </c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</row>
    <row r="525">
      <c r="A525" s="55"/>
      <c r="B525" s="55"/>
      <c r="C525" s="55"/>
      <c r="D525" s="55"/>
      <c r="E525" s="97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240" t="s">
        <v>871</v>
      </c>
      <c r="AK525" s="240" t="s">
        <v>275</v>
      </c>
      <c r="AL525" s="241">
        <v>5688.0</v>
      </c>
      <c r="AM525" s="241">
        <v>19.9</v>
      </c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</row>
    <row r="526">
      <c r="A526" s="55"/>
      <c r="B526" s="55"/>
      <c r="C526" s="55"/>
      <c r="D526" s="55"/>
      <c r="E526" s="97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242" t="s">
        <v>872</v>
      </c>
      <c r="AK526" s="242" t="s">
        <v>292</v>
      </c>
      <c r="AL526" s="243">
        <v>5687.0</v>
      </c>
      <c r="AM526" s="243">
        <v>39.9</v>
      </c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</row>
    <row r="527">
      <c r="A527" s="55"/>
      <c r="B527" s="55"/>
      <c r="C527" s="55"/>
      <c r="D527" s="55"/>
      <c r="E527" s="97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240" t="s">
        <v>873</v>
      </c>
      <c r="AK527" s="240" t="s">
        <v>292</v>
      </c>
      <c r="AL527" s="241">
        <v>8387.0</v>
      </c>
      <c r="AM527" s="241">
        <v>44.9</v>
      </c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</row>
    <row r="528">
      <c r="A528" s="55"/>
      <c r="B528" s="55"/>
      <c r="C528" s="55"/>
      <c r="D528" s="55"/>
      <c r="E528" s="97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242" t="s">
        <v>874</v>
      </c>
      <c r="AK528" s="242" t="s">
        <v>292</v>
      </c>
      <c r="AL528" s="243">
        <v>4141.0</v>
      </c>
      <c r="AM528" s="243">
        <v>44.9</v>
      </c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</row>
    <row r="529">
      <c r="A529" s="55"/>
      <c r="B529" s="55"/>
      <c r="C529" s="55"/>
      <c r="D529" s="55"/>
      <c r="E529" s="97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240" t="s">
        <v>875</v>
      </c>
      <c r="AK529" s="240" t="s">
        <v>292</v>
      </c>
      <c r="AL529" s="241">
        <v>8389.0</v>
      </c>
      <c r="AM529" s="241">
        <v>49.9</v>
      </c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</row>
    <row r="530">
      <c r="A530" s="55"/>
      <c r="B530" s="55"/>
      <c r="C530" s="55"/>
      <c r="D530" s="55"/>
      <c r="E530" s="97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242" t="s">
        <v>386</v>
      </c>
      <c r="AK530" s="242" t="s">
        <v>275</v>
      </c>
      <c r="AL530" s="243">
        <v>9124.0</v>
      </c>
      <c r="AM530" s="243">
        <v>25.9</v>
      </c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</row>
    <row r="531">
      <c r="A531" s="55"/>
      <c r="B531" s="55"/>
      <c r="C531" s="55"/>
      <c r="D531" s="55"/>
      <c r="E531" s="97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240" t="s">
        <v>876</v>
      </c>
      <c r="AK531" s="240" t="s">
        <v>292</v>
      </c>
      <c r="AL531" s="241">
        <v>8390.0</v>
      </c>
      <c r="AM531" s="241">
        <v>64.9</v>
      </c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</row>
    <row r="532">
      <c r="A532" s="55"/>
      <c r="B532" s="55"/>
      <c r="C532" s="55"/>
      <c r="D532" s="55"/>
      <c r="E532" s="97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242" t="s">
        <v>331</v>
      </c>
      <c r="AK532" s="242" t="s">
        <v>292</v>
      </c>
      <c r="AL532" s="243">
        <v>8391.0</v>
      </c>
      <c r="AM532" s="243">
        <v>52.9</v>
      </c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</row>
    <row r="533">
      <c r="A533" s="55"/>
      <c r="B533" s="55"/>
      <c r="C533" s="55"/>
      <c r="D533" s="55"/>
      <c r="E533" s="97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240" t="s">
        <v>877</v>
      </c>
      <c r="AK533" s="240" t="s">
        <v>292</v>
      </c>
      <c r="AL533" s="241">
        <v>8392.0</v>
      </c>
      <c r="AM533" s="241">
        <v>14.9</v>
      </c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</row>
    <row r="534">
      <c r="A534" s="55"/>
      <c r="B534" s="55"/>
      <c r="C534" s="55"/>
      <c r="D534" s="55"/>
      <c r="E534" s="97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242" t="s">
        <v>374</v>
      </c>
      <c r="AK534" s="242" t="s">
        <v>292</v>
      </c>
      <c r="AL534" s="243">
        <v>8393.0</v>
      </c>
      <c r="AM534" s="243">
        <v>59.9</v>
      </c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</row>
    <row r="535">
      <c r="A535" s="55"/>
      <c r="B535" s="55"/>
      <c r="C535" s="55"/>
      <c r="D535" s="55"/>
      <c r="E535" s="97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240" t="s">
        <v>878</v>
      </c>
      <c r="AK535" s="240" t="s">
        <v>292</v>
      </c>
      <c r="AL535" s="241">
        <v>95389.0</v>
      </c>
      <c r="AM535" s="241">
        <v>49.9</v>
      </c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</row>
    <row r="536">
      <c r="A536" s="55"/>
      <c r="B536" s="55"/>
      <c r="C536" s="55"/>
      <c r="D536" s="55"/>
      <c r="E536" s="97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242" t="s">
        <v>351</v>
      </c>
      <c r="AK536" s="242" t="s">
        <v>292</v>
      </c>
      <c r="AL536" s="243">
        <v>8396.0</v>
      </c>
      <c r="AM536" s="243">
        <v>94.9</v>
      </c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</row>
    <row r="537">
      <c r="A537" s="55"/>
      <c r="B537" s="55"/>
      <c r="C537" s="55"/>
      <c r="D537" s="55"/>
      <c r="E537" s="97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240" t="s">
        <v>879</v>
      </c>
      <c r="AK537" s="240" t="s">
        <v>292</v>
      </c>
      <c r="AL537" s="241">
        <v>93466.0</v>
      </c>
      <c r="AM537" s="241">
        <v>94.9</v>
      </c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</row>
    <row r="538">
      <c r="A538" s="55"/>
      <c r="B538" s="55"/>
      <c r="C538" s="55"/>
      <c r="D538" s="55"/>
      <c r="E538" s="97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242" t="s">
        <v>880</v>
      </c>
      <c r="AK538" s="242" t="s">
        <v>292</v>
      </c>
      <c r="AL538" s="243">
        <v>8397.0</v>
      </c>
      <c r="AM538" s="243">
        <v>93.9</v>
      </c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</row>
    <row r="539">
      <c r="A539" s="55"/>
      <c r="B539" s="55"/>
      <c r="C539" s="55"/>
      <c r="D539" s="55"/>
      <c r="E539" s="97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240" t="s">
        <v>881</v>
      </c>
      <c r="AK539" s="240" t="s">
        <v>292</v>
      </c>
      <c r="AL539" s="241">
        <v>8398.0</v>
      </c>
      <c r="AM539" s="241">
        <v>94.9</v>
      </c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</row>
    <row r="540">
      <c r="A540" s="55"/>
      <c r="B540" s="55"/>
      <c r="C540" s="55"/>
      <c r="D540" s="55"/>
      <c r="E540" s="97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242" t="s">
        <v>882</v>
      </c>
      <c r="AK540" s="242" t="s">
        <v>292</v>
      </c>
      <c r="AL540" s="243">
        <v>5764.0</v>
      </c>
      <c r="AM540" s="243">
        <v>94.9</v>
      </c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</row>
    <row r="541">
      <c r="A541" s="55"/>
      <c r="B541" s="55"/>
      <c r="C541" s="55"/>
      <c r="D541" s="55"/>
      <c r="E541" s="97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240" t="s">
        <v>883</v>
      </c>
      <c r="AK541" s="240" t="s">
        <v>292</v>
      </c>
      <c r="AL541" s="241">
        <v>8399.0</v>
      </c>
      <c r="AM541" s="241">
        <v>43.9</v>
      </c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</row>
    <row r="542">
      <c r="A542" s="55"/>
      <c r="B542" s="55"/>
      <c r="C542" s="55"/>
      <c r="D542" s="55"/>
      <c r="E542" s="97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242" t="s">
        <v>884</v>
      </c>
      <c r="AK542" s="242" t="s">
        <v>292</v>
      </c>
      <c r="AL542" s="243">
        <v>3706.0</v>
      </c>
      <c r="AM542" s="243">
        <v>43.9</v>
      </c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</row>
    <row r="543">
      <c r="A543" s="55"/>
      <c r="B543" s="55"/>
      <c r="C543" s="55"/>
      <c r="D543" s="55"/>
      <c r="E543" s="97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240" t="s">
        <v>296</v>
      </c>
      <c r="AK543" s="240" t="s">
        <v>292</v>
      </c>
      <c r="AL543" s="241">
        <v>8400.0</v>
      </c>
      <c r="AM543" s="241">
        <v>56.9</v>
      </c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</row>
    <row r="544">
      <c r="A544" s="55"/>
      <c r="B544" s="55"/>
      <c r="C544" s="55"/>
      <c r="D544" s="55"/>
      <c r="E544" s="97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242" t="s">
        <v>885</v>
      </c>
      <c r="AK544" s="242" t="s">
        <v>292</v>
      </c>
      <c r="AL544" s="243">
        <v>8401.0</v>
      </c>
      <c r="AM544" s="243">
        <v>53.9</v>
      </c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</row>
    <row r="545">
      <c r="A545" s="55"/>
      <c r="B545" s="55"/>
      <c r="C545" s="55"/>
      <c r="D545" s="55"/>
      <c r="E545" s="97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240" t="s">
        <v>886</v>
      </c>
      <c r="AK545" s="240" t="s">
        <v>292</v>
      </c>
      <c r="AL545" s="241">
        <v>8402.0</v>
      </c>
      <c r="AM545" s="241">
        <v>41.9</v>
      </c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</row>
    <row r="546">
      <c r="A546" s="55"/>
      <c r="B546" s="55"/>
      <c r="C546" s="55"/>
      <c r="D546" s="55"/>
      <c r="E546" s="97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242" t="s">
        <v>333</v>
      </c>
      <c r="AK546" s="242" t="s">
        <v>292</v>
      </c>
      <c r="AL546" s="243">
        <v>8403.0</v>
      </c>
      <c r="AM546" s="243">
        <v>14.9</v>
      </c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</row>
    <row r="547">
      <c r="A547" s="55"/>
      <c r="B547" s="55"/>
      <c r="C547" s="55"/>
      <c r="D547" s="55"/>
      <c r="E547" s="97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240" t="s">
        <v>887</v>
      </c>
      <c r="AK547" s="240" t="s">
        <v>292</v>
      </c>
      <c r="AL547" s="241">
        <v>8404.0</v>
      </c>
      <c r="AM547" s="241">
        <v>24.9</v>
      </c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</row>
    <row r="548">
      <c r="A548" s="55"/>
      <c r="B548" s="55"/>
      <c r="C548" s="55"/>
      <c r="D548" s="55"/>
      <c r="E548" s="97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242" t="s">
        <v>888</v>
      </c>
      <c r="AK548" s="242" t="s">
        <v>292</v>
      </c>
      <c r="AL548" s="243">
        <v>8408.0</v>
      </c>
      <c r="AM548" s="243">
        <v>69.9</v>
      </c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</row>
    <row r="549">
      <c r="A549" s="55"/>
      <c r="B549" s="55"/>
      <c r="C549" s="55"/>
      <c r="D549" s="55"/>
      <c r="E549" s="97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240" t="s">
        <v>339</v>
      </c>
      <c r="AK549" s="240" t="s">
        <v>292</v>
      </c>
      <c r="AL549" s="241">
        <v>8409.0</v>
      </c>
      <c r="AM549" s="241">
        <v>59.9</v>
      </c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</row>
    <row r="550">
      <c r="A550" s="55"/>
      <c r="B550" s="55"/>
      <c r="C550" s="55"/>
      <c r="D550" s="55"/>
      <c r="E550" s="97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242" t="s">
        <v>889</v>
      </c>
      <c r="AK550" s="242" t="s">
        <v>292</v>
      </c>
      <c r="AL550" s="243">
        <v>8410.0</v>
      </c>
      <c r="AM550" s="243">
        <v>59.9</v>
      </c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</row>
    <row r="551">
      <c r="A551" s="55"/>
      <c r="B551" s="55"/>
      <c r="C551" s="55"/>
      <c r="D551" s="55"/>
      <c r="E551" s="97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240" t="s">
        <v>890</v>
      </c>
      <c r="AK551" s="240" t="s">
        <v>292</v>
      </c>
      <c r="AL551" s="241">
        <v>8416.0</v>
      </c>
      <c r="AM551" s="241">
        <v>64.9</v>
      </c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</row>
    <row r="552">
      <c r="A552" s="55"/>
      <c r="B552" s="55"/>
      <c r="C552" s="55"/>
      <c r="D552" s="55"/>
      <c r="E552" s="97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242" t="s">
        <v>891</v>
      </c>
      <c r="AK552" s="242" t="s">
        <v>292</v>
      </c>
      <c r="AL552" s="243">
        <v>8424.0</v>
      </c>
      <c r="AM552" s="243">
        <v>69.9</v>
      </c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</row>
    <row r="553">
      <c r="A553" s="55"/>
      <c r="B553" s="55"/>
      <c r="C553" s="55"/>
      <c r="D553" s="55"/>
      <c r="E553" s="97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240" t="s">
        <v>892</v>
      </c>
      <c r="AK553" s="240" t="s">
        <v>292</v>
      </c>
      <c r="AL553" s="241">
        <v>8426.0</v>
      </c>
      <c r="AM553" s="241">
        <v>79.0</v>
      </c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</row>
    <row r="554">
      <c r="A554" s="55"/>
      <c r="B554" s="55"/>
      <c r="C554" s="55"/>
      <c r="D554" s="55"/>
      <c r="E554" s="97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242" t="s">
        <v>893</v>
      </c>
      <c r="AK554" s="242" t="s">
        <v>292</v>
      </c>
      <c r="AL554" s="243">
        <v>8427.0</v>
      </c>
      <c r="AM554" s="243">
        <v>64.9</v>
      </c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</row>
    <row r="555">
      <c r="A555" s="55"/>
      <c r="B555" s="55"/>
      <c r="C555" s="55"/>
      <c r="D555" s="55"/>
      <c r="E555" s="97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240" t="s">
        <v>894</v>
      </c>
      <c r="AK555" s="240" t="s">
        <v>275</v>
      </c>
      <c r="AL555" s="241">
        <v>4980.0</v>
      </c>
      <c r="AM555" s="241">
        <v>79.9</v>
      </c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</row>
    <row r="556">
      <c r="A556" s="55"/>
      <c r="B556" s="55"/>
      <c r="C556" s="55"/>
      <c r="D556" s="55"/>
      <c r="E556" s="97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242" t="s">
        <v>895</v>
      </c>
      <c r="AK556" s="242" t="s">
        <v>275</v>
      </c>
      <c r="AL556" s="243">
        <v>360265.0</v>
      </c>
      <c r="AM556" s="243">
        <v>79.9</v>
      </c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</row>
    <row r="557">
      <c r="A557" s="55"/>
      <c r="B557" s="55"/>
      <c r="C557" s="55"/>
      <c r="D557" s="55"/>
      <c r="E557" s="97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240" t="s">
        <v>896</v>
      </c>
      <c r="AK557" s="240" t="s">
        <v>292</v>
      </c>
      <c r="AL557" s="241">
        <v>8435.0</v>
      </c>
      <c r="AM557" s="241">
        <v>79.9</v>
      </c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</row>
    <row r="558">
      <c r="A558" s="55"/>
      <c r="B558" s="55"/>
      <c r="C558" s="55"/>
      <c r="D558" s="55"/>
      <c r="E558" s="97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242" t="s">
        <v>897</v>
      </c>
      <c r="AK558" s="242" t="s">
        <v>292</v>
      </c>
      <c r="AL558" s="243">
        <v>8436.0</v>
      </c>
      <c r="AM558" s="243">
        <v>31.9</v>
      </c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</row>
    <row r="559">
      <c r="A559" s="55"/>
      <c r="B559" s="55"/>
      <c r="C559" s="55"/>
      <c r="D559" s="55"/>
      <c r="E559" s="97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240" t="s">
        <v>898</v>
      </c>
      <c r="AK559" s="240" t="s">
        <v>292</v>
      </c>
      <c r="AL559" s="241">
        <v>100058.0</v>
      </c>
      <c r="AM559" s="241">
        <v>31.9</v>
      </c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</row>
    <row r="560">
      <c r="A560" s="55"/>
      <c r="B560" s="55"/>
      <c r="C560" s="55"/>
      <c r="D560" s="55"/>
      <c r="E560" s="97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242" t="s">
        <v>899</v>
      </c>
      <c r="AK560" s="242" t="s">
        <v>292</v>
      </c>
      <c r="AL560" s="243">
        <v>102857.0</v>
      </c>
      <c r="AM560" s="243">
        <v>31.9</v>
      </c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</row>
    <row r="561">
      <c r="A561" s="55"/>
      <c r="B561" s="55"/>
      <c r="C561" s="55"/>
      <c r="D561" s="55"/>
      <c r="E561" s="97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240" t="s">
        <v>900</v>
      </c>
      <c r="AK561" s="240" t="s">
        <v>292</v>
      </c>
      <c r="AL561" s="241">
        <v>8438.0</v>
      </c>
      <c r="AM561" s="241">
        <v>31.9</v>
      </c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</row>
    <row r="562">
      <c r="A562" s="55"/>
      <c r="B562" s="55"/>
      <c r="C562" s="55"/>
      <c r="D562" s="55"/>
      <c r="E562" s="97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242" t="s">
        <v>901</v>
      </c>
      <c r="AK562" s="242" t="s">
        <v>292</v>
      </c>
      <c r="AL562" s="243">
        <v>8439.0</v>
      </c>
      <c r="AM562" s="243">
        <v>32.9</v>
      </c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</row>
    <row r="563">
      <c r="A563" s="55"/>
      <c r="B563" s="55"/>
      <c r="C563" s="55"/>
      <c r="D563" s="55"/>
      <c r="E563" s="97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240" t="s">
        <v>902</v>
      </c>
      <c r="AK563" s="240" t="s">
        <v>292</v>
      </c>
      <c r="AL563" s="241">
        <v>107413.0</v>
      </c>
      <c r="AM563" s="241">
        <v>32.9</v>
      </c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</row>
    <row r="564">
      <c r="A564" s="55"/>
      <c r="B564" s="55"/>
      <c r="C564" s="55"/>
      <c r="D564" s="55"/>
      <c r="E564" s="97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242" t="s">
        <v>903</v>
      </c>
      <c r="AK564" s="242" t="s">
        <v>292</v>
      </c>
      <c r="AL564" s="243">
        <v>8474.0</v>
      </c>
      <c r="AM564" s="243">
        <v>32.9</v>
      </c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</row>
    <row r="565">
      <c r="A565" s="55"/>
      <c r="B565" s="55"/>
      <c r="C565" s="55"/>
      <c r="D565" s="55"/>
      <c r="E565" s="97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240" t="s">
        <v>904</v>
      </c>
      <c r="AK565" s="240" t="s">
        <v>292</v>
      </c>
      <c r="AL565" s="241">
        <v>8441.0</v>
      </c>
      <c r="AM565" s="241">
        <v>29.9</v>
      </c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</row>
    <row r="566">
      <c r="A566" s="55"/>
      <c r="B566" s="55"/>
      <c r="C566" s="55"/>
      <c r="D566" s="55"/>
      <c r="E566" s="97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242" t="s">
        <v>301</v>
      </c>
      <c r="AK566" s="242" t="s">
        <v>292</v>
      </c>
      <c r="AL566" s="243">
        <v>93626.0</v>
      </c>
      <c r="AM566" s="243">
        <v>39.9</v>
      </c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</row>
    <row r="567">
      <c r="A567" s="55"/>
      <c r="B567" s="55"/>
      <c r="C567" s="55"/>
      <c r="D567" s="55"/>
      <c r="E567" s="97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240" t="s">
        <v>302</v>
      </c>
      <c r="AK567" s="240" t="s">
        <v>292</v>
      </c>
      <c r="AL567" s="241">
        <v>8442.0</v>
      </c>
      <c r="AM567" s="241">
        <v>38.9</v>
      </c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</row>
    <row r="568">
      <c r="A568" s="55"/>
      <c r="B568" s="55"/>
      <c r="C568" s="55"/>
      <c r="D568" s="55"/>
      <c r="E568" s="97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242" t="s">
        <v>905</v>
      </c>
      <c r="AK568" s="242" t="s">
        <v>292</v>
      </c>
      <c r="AL568" s="243">
        <v>8326.0</v>
      </c>
      <c r="AM568" s="243">
        <v>49.9</v>
      </c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</row>
    <row r="569">
      <c r="A569" s="55"/>
      <c r="B569" s="55"/>
      <c r="C569" s="55"/>
      <c r="D569" s="55"/>
      <c r="E569" s="97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240" t="s">
        <v>906</v>
      </c>
      <c r="AK569" s="240" t="s">
        <v>292</v>
      </c>
      <c r="AL569" s="241">
        <v>8444.0</v>
      </c>
      <c r="AM569" s="241">
        <v>34.9</v>
      </c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</row>
    <row r="570">
      <c r="A570" s="55"/>
      <c r="B570" s="55"/>
      <c r="C570" s="55"/>
      <c r="D570" s="55"/>
      <c r="E570" s="97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242" t="s">
        <v>907</v>
      </c>
      <c r="AK570" s="242" t="s">
        <v>292</v>
      </c>
      <c r="AL570" s="243">
        <v>8445.0</v>
      </c>
      <c r="AM570" s="243">
        <v>79.9</v>
      </c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</row>
    <row r="571">
      <c r="A571" s="55"/>
      <c r="B571" s="55"/>
      <c r="C571" s="55"/>
      <c r="D571" s="55"/>
      <c r="E571" s="97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240" t="s">
        <v>908</v>
      </c>
      <c r="AK571" s="240" t="s">
        <v>292</v>
      </c>
      <c r="AL571" s="241">
        <v>8450.0</v>
      </c>
      <c r="AM571" s="241">
        <v>25.9</v>
      </c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</row>
    <row r="572">
      <c r="A572" s="55"/>
      <c r="B572" s="55"/>
      <c r="C572" s="55"/>
      <c r="D572" s="55"/>
      <c r="E572" s="97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242" t="s">
        <v>909</v>
      </c>
      <c r="AK572" s="242" t="s">
        <v>292</v>
      </c>
      <c r="AL572" s="243">
        <v>8459.0</v>
      </c>
      <c r="AM572" s="243">
        <v>34.9</v>
      </c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</row>
    <row r="573">
      <c r="A573" s="55"/>
      <c r="B573" s="55"/>
      <c r="C573" s="55"/>
      <c r="D573" s="55"/>
      <c r="E573" s="97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240" t="s">
        <v>910</v>
      </c>
      <c r="AK573" s="240" t="s">
        <v>292</v>
      </c>
      <c r="AL573" s="241">
        <v>1998.0</v>
      </c>
      <c r="AM573" s="241">
        <v>34.9</v>
      </c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</row>
    <row r="574">
      <c r="A574" s="55"/>
      <c r="B574" s="55"/>
      <c r="C574" s="55"/>
      <c r="D574" s="55"/>
      <c r="E574" s="97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242" t="s">
        <v>911</v>
      </c>
      <c r="AK574" s="242" t="s">
        <v>292</v>
      </c>
      <c r="AL574" s="243">
        <v>8465.0</v>
      </c>
      <c r="AM574" s="243">
        <v>41.9</v>
      </c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</row>
    <row r="575">
      <c r="A575" s="55"/>
      <c r="B575" s="55"/>
      <c r="C575" s="55"/>
      <c r="D575" s="55"/>
      <c r="E575" s="97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240" t="s">
        <v>912</v>
      </c>
      <c r="AK575" s="240" t="s">
        <v>292</v>
      </c>
      <c r="AL575" s="241">
        <v>8473.0</v>
      </c>
      <c r="AM575" s="241">
        <v>39.9</v>
      </c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</row>
    <row r="576">
      <c r="A576" s="55"/>
      <c r="B576" s="55"/>
      <c r="C576" s="55"/>
      <c r="D576" s="55"/>
      <c r="E576" s="97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242" t="s">
        <v>913</v>
      </c>
      <c r="AK576" s="242" t="s">
        <v>292</v>
      </c>
      <c r="AL576" s="243">
        <v>110332.0</v>
      </c>
      <c r="AM576" s="243">
        <v>32.9</v>
      </c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</row>
    <row r="577">
      <c r="A577" s="55"/>
      <c r="B577" s="55"/>
      <c r="C577" s="55"/>
      <c r="D577" s="55"/>
      <c r="E577" s="97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240" t="s">
        <v>914</v>
      </c>
      <c r="AK577" s="240" t="s">
        <v>292</v>
      </c>
      <c r="AL577" s="241">
        <v>8475.0</v>
      </c>
      <c r="AM577" s="241">
        <v>34.9</v>
      </c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</row>
    <row r="578">
      <c r="A578" s="55"/>
      <c r="B578" s="55"/>
      <c r="C578" s="55"/>
      <c r="D578" s="55"/>
      <c r="E578" s="97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242" t="s">
        <v>915</v>
      </c>
      <c r="AK578" s="242" t="s">
        <v>292</v>
      </c>
      <c r="AL578" s="243">
        <v>8479.0</v>
      </c>
      <c r="AM578" s="243">
        <v>39.9</v>
      </c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</row>
    <row r="579">
      <c r="A579" s="55"/>
      <c r="B579" s="55"/>
      <c r="C579" s="55"/>
      <c r="D579" s="55"/>
      <c r="E579" s="97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240" t="s">
        <v>916</v>
      </c>
      <c r="AK579" s="240" t="s">
        <v>292</v>
      </c>
      <c r="AL579" s="241">
        <v>2957.0</v>
      </c>
      <c r="AM579" s="241">
        <v>39.9</v>
      </c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</row>
    <row r="580">
      <c r="A580" s="55"/>
      <c r="B580" s="55"/>
      <c r="C580" s="55"/>
      <c r="D580" s="55"/>
      <c r="E580" s="97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242" t="s">
        <v>290</v>
      </c>
      <c r="AK580" s="242" t="s">
        <v>292</v>
      </c>
      <c r="AL580" s="243">
        <v>8480.0</v>
      </c>
      <c r="AM580" s="243">
        <v>39.9</v>
      </c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</row>
    <row r="581">
      <c r="A581" s="55"/>
      <c r="B581" s="55"/>
      <c r="C581" s="55"/>
      <c r="D581" s="55"/>
      <c r="E581" s="97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240" t="s">
        <v>917</v>
      </c>
      <c r="AK581" s="240" t="s">
        <v>292</v>
      </c>
      <c r="AL581" s="241">
        <v>94461.0</v>
      </c>
      <c r="AM581" s="241">
        <v>31.9</v>
      </c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</row>
    <row r="582">
      <c r="A582" s="55"/>
      <c r="B582" s="55"/>
      <c r="C582" s="55"/>
      <c r="D582" s="55"/>
      <c r="E582" s="97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242" t="s">
        <v>918</v>
      </c>
      <c r="AK582" s="242" t="s">
        <v>292</v>
      </c>
      <c r="AL582" s="243">
        <v>8481.0</v>
      </c>
      <c r="AM582" s="243">
        <v>39.9</v>
      </c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</row>
    <row r="583">
      <c r="A583" s="55"/>
      <c r="B583" s="55"/>
      <c r="C583" s="55"/>
      <c r="D583" s="55"/>
      <c r="E583" s="97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240" t="s">
        <v>919</v>
      </c>
      <c r="AK583" s="240" t="s">
        <v>292</v>
      </c>
      <c r="AL583" s="241">
        <v>6237.0</v>
      </c>
      <c r="AM583" s="241">
        <v>39.9</v>
      </c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</row>
    <row r="584">
      <c r="A584" s="55"/>
      <c r="B584" s="55"/>
      <c r="C584" s="55"/>
      <c r="D584" s="55"/>
      <c r="E584" s="97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242" t="s">
        <v>920</v>
      </c>
      <c r="AK584" s="242" t="s">
        <v>292</v>
      </c>
      <c r="AL584" s="243">
        <v>8483.0</v>
      </c>
      <c r="AM584" s="243">
        <v>49.9</v>
      </c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</row>
    <row r="585">
      <c r="A585" s="55"/>
      <c r="B585" s="55"/>
      <c r="C585" s="55"/>
      <c r="D585" s="55"/>
      <c r="E585" s="97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240" t="s">
        <v>314</v>
      </c>
      <c r="AK585" s="240" t="s">
        <v>292</v>
      </c>
      <c r="AL585" s="241">
        <v>6857.0</v>
      </c>
      <c r="AM585" s="241">
        <v>49.9</v>
      </c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</row>
    <row r="586">
      <c r="A586" s="55"/>
      <c r="B586" s="55"/>
      <c r="C586" s="55"/>
      <c r="D586" s="55"/>
      <c r="E586" s="97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242" t="s">
        <v>318</v>
      </c>
      <c r="AK586" s="242" t="s">
        <v>292</v>
      </c>
      <c r="AL586" s="243">
        <v>8482.0</v>
      </c>
      <c r="AM586" s="243">
        <v>49.9</v>
      </c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</row>
    <row r="587">
      <c r="A587" s="55"/>
      <c r="B587" s="55"/>
      <c r="C587" s="55"/>
      <c r="D587" s="55"/>
      <c r="E587" s="97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240" t="s">
        <v>921</v>
      </c>
      <c r="AK587" s="240" t="s">
        <v>292</v>
      </c>
      <c r="AL587" s="241">
        <v>93469.0</v>
      </c>
      <c r="AM587" s="241">
        <v>49.9</v>
      </c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</row>
    <row r="588">
      <c r="A588" s="55"/>
      <c r="B588" s="55"/>
      <c r="C588" s="55"/>
      <c r="D588" s="55"/>
      <c r="E588" s="97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242" t="s">
        <v>922</v>
      </c>
      <c r="AK588" s="242" t="s">
        <v>292</v>
      </c>
      <c r="AL588" s="243">
        <v>100865.0</v>
      </c>
      <c r="AM588" s="243">
        <v>115.9</v>
      </c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</row>
    <row r="589">
      <c r="A589" s="55"/>
      <c r="B589" s="55"/>
      <c r="C589" s="55"/>
      <c r="D589" s="55"/>
      <c r="E589" s="97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240" t="s">
        <v>365</v>
      </c>
      <c r="AK589" s="240" t="s">
        <v>292</v>
      </c>
      <c r="AL589" s="241">
        <v>8484.0</v>
      </c>
      <c r="AM589" s="241">
        <v>115.9</v>
      </c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</row>
    <row r="590">
      <c r="A590" s="55"/>
      <c r="B590" s="55"/>
      <c r="C590" s="55"/>
      <c r="D590" s="55"/>
      <c r="E590" s="97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242" t="s">
        <v>923</v>
      </c>
      <c r="AK590" s="242" t="s">
        <v>292</v>
      </c>
      <c r="AL590" s="243">
        <v>8485.0</v>
      </c>
      <c r="AM590" s="243">
        <v>34.9</v>
      </c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</row>
    <row r="591">
      <c r="A591" s="55"/>
      <c r="B591" s="55"/>
      <c r="C591" s="55"/>
      <c r="D591" s="55"/>
      <c r="E591" s="97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240" t="s">
        <v>924</v>
      </c>
      <c r="AK591" s="240" t="s">
        <v>292</v>
      </c>
      <c r="AL591" s="241">
        <v>96166.0</v>
      </c>
      <c r="AM591" s="241">
        <v>34.9</v>
      </c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</row>
    <row r="592">
      <c r="A592" s="55"/>
      <c r="B592" s="55"/>
      <c r="C592" s="55"/>
      <c r="D592" s="55"/>
      <c r="E592" s="97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242" t="s">
        <v>286</v>
      </c>
      <c r="AK592" s="242" t="s">
        <v>292</v>
      </c>
      <c r="AL592" s="243">
        <v>8491.0</v>
      </c>
      <c r="AM592" s="243">
        <v>78.9</v>
      </c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</row>
    <row r="593">
      <c r="A593" s="55"/>
      <c r="B593" s="55"/>
      <c r="C593" s="55"/>
      <c r="D593" s="55"/>
      <c r="E593" s="97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240" t="s">
        <v>925</v>
      </c>
      <c r="AK593" s="240" t="s">
        <v>292</v>
      </c>
      <c r="AL593" s="241">
        <v>94146.0</v>
      </c>
      <c r="AM593" s="241">
        <v>78.9</v>
      </c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</row>
    <row r="594">
      <c r="A594" s="55"/>
      <c r="B594" s="55"/>
      <c r="C594" s="55"/>
      <c r="D594" s="55"/>
      <c r="E594" s="97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242" t="s">
        <v>926</v>
      </c>
      <c r="AK594" s="242" t="s">
        <v>292</v>
      </c>
      <c r="AL594" s="243">
        <v>8492.0</v>
      </c>
      <c r="AM594" s="243">
        <v>64.9</v>
      </c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</row>
    <row r="595">
      <c r="A595" s="55"/>
      <c r="B595" s="55"/>
      <c r="C595" s="55"/>
      <c r="D595" s="55"/>
      <c r="E595" s="97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240" t="s">
        <v>927</v>
      </c>
      <c r="AK595" s="240" t="s">
        <v>292</v>
      </c>
      <c r="AL595" s="241">
        <v>94808.0</v>
      </c>
      <c r="AM595" s="241">
        <v>64.9</v>
      </c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</row>
    <row r="596">
      <c r="A596" s="55"/>
      <c r="B596" s="55"/>
      <c r="C596" s="55"/>
      <c r="D596" s="55"/>
      <c r="E596" s="97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242" t="s">
        <v>928</v>
      </c>
      <c r="AK596" s="242" t="s">
        <v>292</v>
      </c>
      <c r="AL596" s="243">
        <v>8493.0</v>
      </c>
      <c r="AM596" s="243">
        <v>34.9</v>
      </c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</row>
    <row r="597">
      <c r="A597" s="55"/>
      <c r="B597" s="55"/>
      <c r="C597" s="55"/>
      <c r="D597" s="55"/>
      <c r="E597" s="97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240" t="s">
        <v>929</v>
      </c>
      <c r="AK597" s="240" t="s">
        <v>292</v>
      </c>
      <c r="AL597" s="241">
        <v>100583.0</v>
      </c>
      <c r="AM597" s="241">
        <v>34.9</v>
      </c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</row>
    <row r="598">
      <c r="A598" s="55"/>
      <c r="B598" s="55"/>
      <c r="C598" s="55"/>
      <c r="D598" s="55"/>
      <c r="E598" s="97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242" t="s">
        <v>930</v>
      </c>
      <c r="AK598" s="242" t="s">
        <v>292</v>
      </c>
      <c r="AL598" s="243">
        <v>8494.0</v>
      </c>
      <c r="AM598" s="243">
        <v>59.9</v>
      </c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</row>
    <row r="599">
      <c r="A599" s="55"/>
      <c r="B599" s="55"/>
      <c r="C599" s="55"/>
      <c r="D599" s="55"/>
      <c r="E599" s="97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240" t="s">
        <v>931</v>
      </c>
      <c r="AK599" s="240" t="s">
        <v>292</v>
      </c>
      <c r="AL599" s="241">
        <v>6815.0</v>
      </c>
      <c r="AM599" s="241">
        <v>59.9</v>
      </c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</row>
    <row r="600">
      <c r="A600" s="55"/>
      <c r="B600" s="55"/>
      <c r="C600" s="55"/>
      <c r="D600" s="55"/>
      <c r="E600" s="97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242" t="s">
        <v>932</v>
      </c>
      <c r="AK600" s="242" t="s">
        <v>292</v>
      </c>
      <c r="AL600" s="243">
        <v>8497.0</v>
      </c>
      <c r="AM600" s="243">
        <v>29.9</v>
      </c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</row>
    <row r="601">
      <c r="A601" s="55"/>
      <c r="B601" s="55"/>
      <c r="C601" s="55"/>
      <c r="D601" s="55"/>
      <c r="E601" s="97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240" t="s">
        <v>933</v>
      </c>
      <c r="AK601" s="240" t="s">
        <v>292</v>
      </c>
      <c r="AL601" s="241">
        <v>1984.0</v>
      </c>
      <c r="AM601" s="241">
        <v>29.9</v>
      </c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</row>
    <row r="602">
      <c r="A602" s="55"/>
      <c r="B602" s="55"/>
      <c r="C602" s="55"/>
      <c r="D602" s="55"/>
      <c r="E602" s="97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242" t="s">
        <v>934</v>
      </c>
      <c r="AK602" s="242" t="s">
        <v>292</v>
      </c>
      <c r="AL602" s="243">
        <v>4651.0</v>
      </c>
      <c r="AM602" s="243">
        <v>29.9</v>
      </c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</row>
    <row r="603">
      <c r="A603" s="55"/>
      <c r="B603" s="55"/>
      <c r="C603" s="55"/>
      <c r="D603" s="55"/>
      <c r="E603" s="97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240" t="s">
        <v>421</v>
      </c>
      <c r="AK603" s="240" t="s">
        <v>292</v>
      </c>
      <c r="AL603" s="241">
        <v>8498.0</v>
      </c>
      <c r="AM603" s="241">
        <v>29.9</v>
      </c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</row>
    <row r="604">
      <c r="A604" s="55"/>
      <c r="B604" s="55"/>
      <c r="C604" s="55"/>
      <c r="D604" s="55"/>
      <c r="E604" s="97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242" t="s">
        <v>407</v>
      </c>
      <c r="AK604" s="242" t="s">
        <v>292</v>
      </c>
      <c r="AL604" s="243">
        <v>6960.0</v>
      </c>
      <c r="AM604" s="243">
        <v>39.9</v>
      </c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</row>
    <row r="605">
      <c r="A605" s="55"/>
      <c r="B605" s="55"/>
      <c r="C605" s="55"/>
      <c r="D605" s="55"/>
      <c r="E605" s="97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240" t="s">
        <v>935</v>
      </c>
      <c r="AK605" s="240" t="s">
        <v>292</v>
      </c>
      <c r="AL605" s="241">
        <v>8502.0</v>
      </c>
      <c r="AM605" s="241">
        <v>52.9</v>
      </c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</row>
    <row r="606">
      <c r="A606" s="55"/>
      <c r="B606" s="55"/>
      <c r="C606" s="55"/>
      <c r="D606" s="55"/>
      <c r="E606" s="97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242" t="s">
        <v>936</v>
      </c>
      <c r="AK606" s="242" t="s">
        <v>292</v>
      </c>
      <c r="AL606" s="243">
        <v>93473.0</v>
      </c>
      <c r="AM606" s="243">
        <v>49.9</v>
      </c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</row>
    <row r="607">
      <c r="A607" s="55"/>
      <c r="B607" s="55"/>
      <c r="C607" s="55"/>
      <c r="D607" s="55"/>
      <c r="E607" s="97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240" t="s">
        <v>937</v>
      </c>
      <c r="AK607" s="240" t="s">
        <v>292</v>
      </c>
      <c r="AL607" s="241">
        <v>8503.0</v>
      </c>
      <c r="AM607" s="241">
        <v>57.8</v>
      </c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</row>
    <row r="608">
      <c r="A608" s="55"/>
      <c r="B608" s="55"/>
      <c r="C608" s="55"/>
      <c r="D608" s="55"/>
      <c r="E608" s="97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242" t="s">
        <v>938</v>
      </c>
      <c r="AK608" s="242" t="s">
        <v>292</v>
      </c>
      <c r="AL608" s="243">
        <v>6519.0</v>
      </c>
      <c r="AM608" s="243">
        <v>57.8</v>
      </c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</row>
    <row r="609">
      <c r="A609" s="55"/>
      <c r="B609" s="55"/>
      <c r="C609" s="55"/>
      <c r="D609" s="55"/>
      <c r="E609" s="97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240" t="s">
        <v>939</v>
      </c>
      <c r="AK609" s="240" t="s">
        <v>292</v>
      </c>
      <c r="AL609" s="241">
        <v>8505.0</v>
      </c>
      <c r="AM609" s="241">
        <v>36.9</v>
      </c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</row>
    <row r="610">
      <c r="A610" s="55"/>
      <c r="B610" s="55"/>
      <c r="C610" s="55"/>
      <c r="D610" s="55"/>
      <c r="E610" s="97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242" t="s">
        <v>940</v>
      </c>
      <c r="AK610" s="242" t="s">
        <v>292</v>
      </c>
      <c r="AL610" s="243">
        <v>5299.0</v>
      </c>
      <c r="AM610" s="243">
        <v>36.9</v>
      </c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</row>
    <row r="611">
      <c r="A611" s="55"/>
      <c r="B611" s="55"/>
      <c r="C611" s="55"/>
      <c r="D611" s="55"/>
      <c r="E611" s="97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240" t="s">
        <v>941</v>
      </c>
      <c r="AK611" s="240" t="s">
        <v>292</v>
      </c>
      <c r="AL611" s="241">
        <v>8506.0</v>
      </c>
      <c r="AM611" s="241">
        <v>54.9</v>
      </c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</row>
    <row r="612">
      <c r="A612" s="55"/>
      <c r="B612" s="55"/>
      <c r="C612" s="55"/>
      <c r="D612" s="55"/>
      <c r="E612" s="97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242" t="s">
        <v>942</v>
      </c>
      <c r="AK612" s="242" t="s">
        <v>292</v>
      </c>
      <c r="AL612" s="243">
        <v>5312.0</v>
      </c>
      <c r="AM612" s="243">
        <v>54.9</v>
      </c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</row>
    <row r="613">
      <c r="A613" s="55"/>
      <c r="B613" s="55"/>
      <c r="C613" s="55"/>
      <c r="D613" s="55"/>
      <c r="E613" s="97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240" t="s">
        <v>943</v>
      </c>
      <c r="AK613" s="240" t="s">
        <v>292</v>
      </c>
      <c r="AL613" s="241">
        <v>8507.0</v>
      </c>
      <c r="AM613" s="241">
        <v>59.9</v>
      </c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</row>
    <row r="614">
      <c r="A614" s="55"/>
      <c r="B614" s="55"/>
      <c r="C614" s="55"/>
      <c r="D614" s="55"/>
      <c r="E614" s="97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242" t="s">
        <v>944</v>
      </c>
      <c r="AK614" s="242" t="s">
        <v>292</v>
      </c>
      <c r="AL614" s="243">
        <v>98130.0</v>
      </c>
      <c r="AM614" s="243">
        <v>59.9</v>
      </c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</row>
    <row r="615">
      <c r="A615" s="55"/>
      <c r="B615" s="55"/>
      <c r="C615" s="55"/>
      <c r="D615" s="55"/>
      <c r="E615" s="97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240" t="s">
        <v>945</v>
      </c>
      <c r="AK615" s="240" t="s">
        <v>292</v>
      </c>
      <c r="AL615" s="241">
        <v>8518.0</v>
      </c>
      <c r="AM615" s="241">
        <v>79.9</v>
      </c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</row>
    <row r="616">
      <c r="A616" s="55"/>
      <c r="B616" s="55"/>
      <c r="C616" s="55"/>
      <c r="D616" s="55"/>
      <c r="E616" s="97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242" t="s">
        <v>946</v>
      </c>
      <c r="AK616" s="242" t="s">
        <v>292</v>
      </c>
      <c r="AL616" s="243">
        <v>1293.0</v>
      </c>
      <c r="AM616" s="243">
        <v>79.9</v>
      </c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</row>
    <row r="617">
      <c r="A617" s="55"/>
      <c r="B617" s="55"/>
      <c r="C617" s="55"/>
      <c r="D617" s="55"/>
      <c r="E617" s="97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240" t="s">
        <v>947</v>
      </c>
      <c r="AK617" s="240" t="s">
        <v>292</v>
      </c>
      <c r="AL617" s="241">
        <v>6991.0</v>
      </c>
      <c r="AM617" s="241">
        <v>0.0</v>
      </c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</row>
    <row r="618">
      <c r="A618" s="55"/>
      <c r="B618" s="55"/>
      <c r="C618" s="55"/>
      <c r="D618" s="55"/>
      <c r="E618" s="97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242" t="s">
        <v>948</v>
      </c>
      <c r="AK618" s="242" t="s">
        <v>292</v>
      </c>
      <c r="AL618" s="243">
        <v>6998.0</v>
      </c>
      <c r="AM618" s="243">
        <v>49.9</v>
      </c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</row>
    <row r="619">
      <c r="A619" s="55"/>
      <c r="B619" s="55"/>
      <c r="C619" s="55"/>
      <c r="D619" s="55"/>
      <c r="E619" s="97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240" t="s">
        <v>949</v>
      </c>
      <c r="AK619" s="240" t="s">
        <v>292</v>
      </c>
      <c r="AL619" s="241">
        <v>8525.0</v>
      </c>
      <c r="AM619" s="241">
        <v>59.9</v>
      </c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</row>
    <row r="620">
      <c r="A620" s="55"/>
      <c r="B620" s="55"/>
      <c r="C620" s="55"/>
      <c r="D620" s="55"/>
      <c r="E620" s="97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242" t="s">
        <v>950</v>
      </c>
      <c r="AK620" s="242" t="s">
        <v>292</v>
      </c>
      <c r="AL620" s="243">
        <v>6578.0</v>
      </c>
      <c r="AM620" s="243">
        <v>59.9</v>
      </c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</row>
    <row r="621">
      <c r="A621" s="55"/>
      <c r="B621" s="55"/>
      <c r="C621" s="55"/>
      <c r="D621" s="55"/>
      <c r="E621" s="97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240" t="s">
        <v>951</v>
      </c>
      <c r="AK621" s="240" t="s">
        <v>292</v>
      </c>
      <c r="AL621" s="241">
        <v>8526.0</v>
      </c>
      <c r="AM621" s="241">
        <v>69.9</v>
      </c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</row>
    <row r="622">
      <c r="A622" s="55"/>
      <c r="B622" s="55"/>
      <c r="C622" s="55"/>
      <c r="D622" s="55"/>
      <c r="E622" s="97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242" t="s">
        <v>952</v>
      </c>
      <c r="AK622" s="242" t="s">
        <v>292</v>
      </c>
      <c r="AL622" s="243">
        <v>5753.0</v>
      </c>
      <c r="AM622" s="243">
        <v>69.9</v>
      </c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</row>
    <row r="623">
      <c r="A623" s="55"/>
      <c r="B623" s="55"/>
      <c r="C623" s="55"/>
      <c r="D623" s="55"/>
      <c r="E623" s="97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240" t="s">
        <v>953</v>
      </c>
      <c r="AK623" s="240" t="s">
        <v>292</v>
      </c>
      <c r="AL623" s="241">
        <v>105406.0</v>
      </c>
      <c r="AM623" s="241">
        <v>69.9</v>
      </c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</row>
    <row r="624">
      <c r="A624" s="55"/>
      <c r="B624" s="55"/>
      <c r="C624" s="55"/>
      <c r="D624" s="55"/>
      <c r="E624" s="97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242" t="s">
        <v>954</v>
      </c>
      <c r="AK624" s="242" t="s">
        <v>292</v>
      </c>
      <c r="AL624" s="243">
        <v>8529.0</v>
      </c>
      <c r="AM624" s="243">
        <v>69.9</v>
      </c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</row>
    <row r="625">
      <c r="A625" s="55"/>
      <c r="B625" s="55"/>
      <c r="C625" s="55"/>
      <c r="D625" s="55"/>
      <c r="E625" s="97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240" t="s">
        <v>955</v>
      </c>
      <c r="AK625" s="240" t="s">
        <v>292</v>
      </c>
      <c r="AL625" s="241">
        <v>8532.0</v>
      </c>
      <c r="AM625" s="241">
        <v>63.9</v>
      </c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</row>
    <row r="626">
      <c r="A626" s="55"/>
      <c r="B626" s="55"/>
      <c r="C626" s="55"/>
      <c r="D626" s="55"/>
      <c r="E626" s="97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242" t="s">
        <v>956</v>
      </c>
      <c r="AK626" s="242" t="s">
        <v>292</v>
      </c>
      <c r="AL626" s="243">
        <v>105407.0</v>
      </c>
      <c r="AM626" s="243">
        <v>63.9</v>
      </c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</row>
    <row r="627">
      <c r="A627" s="55"/>
      <c r="B627" s="55"/>
      <c r="C627" s="55"/>
      <c r="D627" s="55"/>
      <c r="E627" s="97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240" t="s">
        <v>957</v>
      </c>
      <c r="AK627" s="240" t="s">
        <v>292</v>
      </c>
      <c r="AL627" s="241">
        <v>8541.0</v>
      </c>
      <c r="AM627" s="241">
        <v>63.9</v>
      </c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</row>
    <row r="628">
      <c r="A628" s="55"/>
      <c r="B628" s="55"/>
      <c r="C628" s="55"/>
      <c r="D628" s="55"/>
      <c r="E628" s="97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242" t="s">
        <v>958</v>
      </c>
      <c r="AK628" s="242" t="s">
        <v>292</v>
      </c>
      <c r="AL628" s="243">
        <v>5752.0</v>
      </c>
      <c r="AM628" s="243">
        <v>63.9</v>
      </c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</row>
    <row r="629">
      <c r="A629" s="55"/>
      <c r="B629" s="55"/>
      <c r="C629" s="55"/>
      <c r="D629" s="55"/>
      <c r="E629" s="97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240" t="s">
        <v>959</v>
      </c>
      <c r="AK629" s="240" t="s">
        <v>292</v>
      </c>
      <c r="AL629" s="241">
        <v>6032.0</v>
      </c>
      <c r="AM629" s="241">
        <v>63.9</v>
      </c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</row>
    <row r="630">
      <c r="A630" s="55"/>
      <c r="B630" s="55"/>
      <c r="C630" s="55"/>
      <c r="D630" s="55"/>
      <c r="E630" s="97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242" t="s">
        <v>960</v>
      </c>
      <c r="AK630" s="242" t="s">
        <v>292</v>
      </c>
      <c r="AL630" s="243">
        <v>6031.0</v>
      </c>
      <c r="AM630" s="243">
        <v>59.9</v>
      </c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</row>
    <row r="631">
      <c r="A631" s="55"/>
      <c r="B631" s="55"/>
      <c r="C631" s="55"/>
      <c r="D631" s="55"/>
      <c r="E631" s="97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240" t="s">
        <v>413</v>
      </c>
      <c r="AK631" s="240" t="s">
        <v>292</v>
      </c>
      <c r="AL631" s="241">
        <v>9067.0</v>
      </c>
      <c r="AM631" s="241">
        <v>62.9</v>
      </c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</row>
    <row r="632">
      <c r="A632" s="55"/>
      <c r="B632" s="55"/>
      <c r="C632" s="55"/>
      <c r="D632" s="55"/>
      <c r="E632" s="97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242" t="s">
        <v>415</v>
      </c>
      <c r="AK632" s="242" t="s">
        <v>292</v>
      </c>
      <c r="AL632" s="243">
        <v>9075.0</v>
      </c>
      <c r="AM632" s="243">
        <v>62.9</v>
      </c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</row>
    <row r="633">
      <c r="A633" s="55"/>
      <c r="B633" s="55"/>
      <c r="C633" s="55"/>
      <c r="D633" s="55"/>
      <c r="E633" s="97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240" t="s">
        <v>961</v>
      </c>
      <c r="AK633" s="240" t="s">
        <v>292</v>
      </c>
      <c r="AL633" s="241">
        <v>8544.0</v>
      </c>
      <c r="AM633" s="241">
        <v>59.9</v>
      </c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</row>
    <row r="634">
      <c r="A634" s="55"/>
      <c r="B634" s="55"/>
      <c r="C634" s="55"/>
      <c r="D634" s="55"/>
      <c r="E634" s="97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242" t="s">
        <v>962</v>
      </c>
      <c r="AK634" s="242" t="s">
        <v>292</v>
      </c>
      <c r="AL634" s="243">
        <v>93471.0</v>
      </c>
      <c r="AM634" s="243">
        <v>59.9</v>
      </c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</row>
    <row r="635">
      <c r="A635" s="55"/>
      <c r="B635" s="55"/>
      <c r="C635" s="55"/>
      <c r="D635" s="55"/>
      <c r="E635" s="97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240" t="s">
        <v>963</v>
      </c>
      <c r="AK635" s="240" t="s">
        <v>292</v>
      </c>
      <c r="AL635" s="241">
        <v>8545.0</v>
      </c>
      <c r="AM635" s="241">
        <v>59.9</v>
      </c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</row>
    <row r="636">
      <c r="A636" s="55"/>
      <c r="B636" s="55"/>
      <c r="C636" s="55"/>
      <c r="D636" s="55"/>
      <c r="E636" s="97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242" t="s">
        <v>964</v>
      </c>
      <c r="AK636" s="242" t="s">
        <v>292</v>
      </c>
      <c r="AL636" s="243">
        <v>6834.0</v>
      </c>
      <c r="AM636" s="243">
        <v>59.9</v>
      </c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</row>
    <row r="637">
      <c r="A637" s="55"/>
      <c r="B637" s="55"/>
      <c r="C637" s="55"/>
      <c r="D637" s="55"/>
      <c r="E637" s="97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240" t="s">
        <v>965</v>
      </c>
      <c r="AK637" s="240" t="s">
        <v>292</v>
      </c>
      <c r="AL637" s="241">
        <v>8546.0</v>
      </c>
      <c r="AM637" s="241">
        <v>63.9</v>
      </c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</row>
    <row r="638">
      <c r="A638" s="55"/>
      <c r="B638" s="55"/>
      <c r="C638" s="55"/>
      <c r="D638" s="55"/>
      <c r="E638" s="97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242" t="s">
        <v>966</v>
      </c>
      <c r="AK638" s="242" t="s">
        <v>292</v>
      </c>
      <c r="AL638" s="243">
        <v>6833.0</v>
      </c>
      <c r="AM638" s="243">
        <v>63.9</v>
      </c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</row>
    <row r="639">
      <c r="A639" s="55"/>
      <c r="B639" s="55"/>
      <c r="C639" s="55"/>
      <c r="D639" s="55"/>
      <c r="E639" s="97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240" t="s">
        <v>967</v>
      </c>
      <c r="AK639" s="240" t="s">
        <v>292</v>
      </c>
      <c r="AL639" s="241">
        <v>8547.0</v>
      </c>
      <c r="AM639" s="241">
        <v>59.9</v>
      </c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</row>
    <row r="640">
      <c r="A640" s="55"/>
      <c r="B640" s="55"/>
      <c r="C640" s="55"/>
      <c r="D640" s="55"/>
      <c r="E640" s="97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242" t="s">
        <v>968</v>
      </c>
      <c r="AK640" s="242" t="s">
        <v>292</v>
      </c>
      <c r="AL640" s="243">
        <v>6832.0</v>
      </c>
      <c r="AM640" s="243">
        <v>59.9</v>
      </c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</row>
    <row r="641">
      <c r="A641" s="55"/>
      <c r="B641" s="55"/>
      <c r="C641" s="55"/>
      <c r="D641" s="55"/>
      <c r="E641" s="97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240" t="s">
        <v>969</v>
      </c>
      <c r="AK641" s="240" t="s">
        <v>275</v>
      </c>
      <c r="AL641" s="241">
        <v>279956.0</v>
      </c>
      <c r="AM641" s="241">
        <v>9.98</v>
      </c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</row>
    <row r="642">
      <c r="A642" s="55"/>
      <c r="B642" s="55"/>
      <c r="C642" s="55"/>
      <c r="D642" s="55"/>
      <c r="E642" s="97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242" t="s">
        <v>970</v>
      </c>
      <c r="AK642" s="242" t="s">
        <v>275</v>
      </c>
      <c r="AL642" s="243">
        <v>8548.0</v>
      </c>
      <c r="AM642" s="243">
        <v>32.84</v>
      </c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</row>
    <row r="643">
      <c r="A643" s="55"/>
      <c r="B643" s="55"/>
      <c r="C643" s="55"/>
      <c r="D643" s="55"/>
      <c r="E643" s="97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240" t="s">
        <v>420</v>
      </c>
      <c r="AK643" s="240" t="s">
        <v>292</v>
      </c>
      <c r="AL643" s="241">
        <v>8551.0</v>
      </c>
      <c r="AM643" s="241">
        <v>59.9</v>
      </c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</row>
    <row r="644">
      <c r="A644" s="55"/>
      <c r="B644" s="55"/>
      <c r="C644" s="55"/>
      <c r="D644" s="55"/>
      <c r="E644" s="97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242" t="s">
        <v>971</v>
      </c>
      <c r="AK644" s="242" t="s">
        <v>292</v>
      </c>
      <c r="AL644" s="243">
        <v>3221.0</v>
      </c>
      <c r="AM644" s="243">
        <v>69.9</v>
      </c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</row>
    <row r="645">
      <c r="A645" s="55"/>
      <c r="B645" s="55"/>
      <c r="C645" s="55"/>
      <c r="D645" s="55"/>
      <c r="E645" s="97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240" t="s">
        <v>972</v>
      </c>
      <c r="AK645" s="240" t="s">
        <v>292</v>
      </c>
      <c r="AL645" s="241">
        <v>8549.0</v>
      </c>
      <c r="AM645" s="241">
        <v>69.9</v>
      </c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</row>
    <row r="646">
      <c r="A646" s="55"/>
      <c r="B646" s="55"/>
      <c r="C646" s="55"/>
      <c r="D646" s="55"/>
      <c r="E646" s="97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242" t="s">
        <v>973</v>
      </c>
      <c r="AK646" s="242" t="s">
        <v>292</v>
      </c>
      <c r="AL646" s="243">
        <v>3219.0</v>
      </c>
      <c r="AM646" s="243">
        <v>59.9</v>
      </c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</row>
    <row r="647">
      <c r="A647" s="55"/>
      <c r="B647" s="55"/>
      <c r="C647" s="55"/>
      <c r="D647" s="55"/>
      <c r="E647" s="97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240" t="s">
        <v>974</v>
      </c>
      <c r="AK647" s="240" t="s">
        <v>292</v>
      </c>
      <c r="AL647" s="241">
        <v>8552.0</v>
      </c>
      <c r="AM647" s="241">
        <v>28.9</v>
      </c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</row>
    <row r="648">
      <c r="A648" s="55"/>
      <c r="B648" s="55"/>
      <c r="C648" s="55"/>
      <c r="D648" s="55"/>
      <c r="E648" s="97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242" t="s">
        <v>975</v>
      </c>
      <c r="AK648" s="242" t="s">
        <v>292</v>
      </c>
      <c r="AL648" s="243">
        <v>6558.0</v>
      </c>
      <c r="AM648" s="243">
        <v>28.9</v>
      </c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</row>
    <row r="649">
      <c r="A649" s="55"/>
      <c r="B649" s="55"/>
      <c r="C649" s="55"/>
      <c r="D649" s="55"/>
      <c r="E649" s="97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240" t="s">
        <v>976</v>
      </c>
      <c r="AK649" s="240" t="s">
        <v>292</v>
      </c>
      <c r="AL649" s="241">
        <v>1613.0</v>
      </c>
      <c r="AM649" s="241">
        <v>69.9</v>
      </c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</row>
    <row r="650">
      <c r="A650" s="55"/>
      <c r="B650" s="55"/>
      <c r="C650" s="55"/>
      <c r="D650" s="55"/>
      <c r="E650" s="97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242" t="s">
        <v>977</v>
      </c>
      <c r="AK650" s="242" t="s">
        <v>275</v>
      </c>
      <c r="AL650" s="243">
        <v>279970.0</v>
      </c>
      <c r="AM650" s="243">
        <v>39.99</v>
      </c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</row>
    <row r="651">
      <c r="A651" s="55"/>
      <c r="B651" s="55"/>
      <c r="C651" s="55"/>
      <c r="D651" s="55"/>
      <c r="E651" s="97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240" t="s">
        <v>978</v>
      </c>
      <c r="AK651" s="240" t="s">
        <v>275</v>
      </c>
      <c r="AL651" s="241">
        <v>8553.0</v>
      </c>
      <c r="AM651" s="241">
        <v>39.99</v>
      </c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</row>
    <row r="652">
      <c r="A652" s="55"/>
      <c r="B652" s="55"/>
      <c r="C652" s="55"/>
      <c r="D652" s="55"/>
      <c r="E652" s="97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242" t="s">
        <v>979</v>
      </c>
      <c r="AK652" s="242" t="s">
        <v>292</v>
      </c>
      <c r="AL652" s="243">
        <v>8554.0</v>
      </c>
      <c r="AM652" s="243">
        <v>29.9</v>
      </c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</row>
    <row r="653">
      <c r="A653" s="55"/>
      <c r="B653" s="55"/>
      <c r="C653" s="55"/>
      <c r="D653" s="55"/>
      <c r="E653" s="97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240" t="s">
        <v>980</v>
      </c>
      <c r="AK653" s="240" t="s">
        <v>292</v>
      </c>
      <c r="AL653" s="241">
        <v>4347.0</v>
      </c>
      <c r="AM653" s="241">
        <v>29.9</v>
      </c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</row>
    <row r="654">
      <c r="A654" s="55"/>
      <c r="B654" s="55"/>
      <c r="C654" s="55"/>
      <c r="D654" s="55"/>
      <c r="E654" s="97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242" t="s">
        <v>981</v>
      </c>
      <c r="AK654" s="242" t="s">
        <v>292</v>
      </c>
      <c r="AL654" s="243">
        <v>8555.0</v>
      </c>
      <c r="AM654" s="243">
        <v>99.9</v>
      </c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</row>
    <row r="655">
      <c r="A655" s="55"/>
      <c r="B655" s="55"/>
      <c r="C655" s="55"/>
      <c r="D655" s="55"/>
      <c r="E655" s="97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240" t="s">
        <v>982</v>
      </c>
      <c r="AK655" s="240" t="s">
        <v>292</v>
      </c>
      <c r="AL655" s="241">
        <v>6835.0</v>
      </c>
      <c r="AM655" s="241">
        <v>79.9</v>
      </c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</row>
    <row r="656">
      <c r="A656" s="55"/>
      <c r="B656" s="55"/>
      <c r="C656" s="55"/>
      <c r="D656" s="55"/>
      <c r="E656" s="97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242" t="s">
        <v>983</v>
      </c>
      <c r="AK656" s="242" t="s">
        <v>292</v>
      </c>
      <c r="AL656" s="243">
        <v>8556.0</v>
      </c>
      <c r="AM656" s="243">
        <v>79.9</v>
      </c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</row>
    <row r="657">
      <c r="A657" s="55"/>
      <c r="B657" s="55"/>
      <c r="C657" s="55"/>
      <c r="D657" s="55"/>
      <c r="E657" s="97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240" t="s">
        <v>984</v>
      </c>
      <c r="AK657" s="240" t="s">
        <v>292</v>
      </c>
      <c r="AL657" s="241">
        <v>6689.0</v>
      </c>
      <c r="AM657" s="241">
        <v>79.9</v>
      </c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</row>
    <row r="658">
      <c r="A658" s="55"/>
      <c r="B658" s="55"/>
      <c r="C658" s="55"/>
      <c r="D658" s="55"/>
      <c r="E658" s="97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242" t="s">
        <v>985</v>
      </c>
      <c r="AK658" s="242" t="s">
        <v>292</v>
      </c>
      <c r="AL658" s="243">
        <v>94812.0</v>
      </c>
      <c r="AM658" s="243">
        <v>84.9</v>
      </c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</row>
    <row r="659">
      <c r="A659" s="55"/>
      <c r="B659" s="55"/>
      <c r="C659" s="55"/>
      <c r="D659" s="55"/>
      <c r="E659" s="97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240" t="s">
        <v>986</v>
      </c>
      <c r="AK659" s="240" t="s">
        <v>292</v>
      </c>
      <c r="AL659" s="241">
        <v>8557.0</v>
      </c>
      <c r="AM659" s="241">
        <v>84.9</v>
      </c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</row>
    <row r="660">
      <c r="A660" s="55"/>
      <c r="B660" s="55"/>
      <c r="C660" s="55"/>
      <c r="D660" s="55"/>
      <c r="E660" s="97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242" t="s">
        <v>987</v>
      </c>
      <c r="AK660" s="242" t="s">
        <v>292</v>
      </c>
      <c r="AL660" s="243">
        <v>6901.0</v>
      </c>
      <c r="AM660" s="243">
        <v>39.9</v>
      </c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</row>
    <row r="661">
      <c r="A661" s="55"/>
      <c r="B661" s="55"/>
      <c r="C661" s="55"/>
      <c r="D661" s="55"/>
      <c r="E661" s="97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240" t="s">
        <v>988</v>
      </c>
      <c r="AK661" s="240" t="s">
        <v>292</v>
      </c>
      <c r="AL661" s="241">
        <v>8559.0</v>
      </c>
      <c r="AM661" s="241">
        <v>39.9</v>
      </c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</row>
    <row r="662">
      <c r="A662" s="55"/>
      <c r="B662" s="55"/>
      <c r="C662" s="55"/>
      <c r="D662" s="55"/>
      <c r="E662" s="97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242" t="s">
        <v>989</v>
      </c>
      <c r="AK662" s="242" t="s">
        <v>292</v>
      </c>
      <c r="AL662" s="243">
        <v>8563.0</v>
      </c>
      <c r="AM662" s="243">
        <v>59.9</v>
      </c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</row>
    <row r="663">
      <c r="A663" s="55"/>
      <c r="B663" s="55"/>
      <c r="C663" s="55"/>
      <c r="D663" s="55"/>
      <c r="E663" s="97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240" t="s">
        <v>990</v>
      </c>
      <c r="AK663" s="240" t="s">
        <v>292</v>
      </c>
      <c r="AL663" s="241">
        <v>93485.0</v>
      </c>
      <c r="AM663" s="241">
        <v>59.9</v>
      </c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</row>
    <row r="664">
      <c r="A664" s="55"/>
      <c r="B664" s="55"/>
      <c r="C664" s="55"/>
      <c r="D664" s="55"/>
      <c r="E664" s="97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242" t="s">
        <v>991</v>
      </c>
      <c r="AK664" s="242" t="s">
        <v>292</v>
      </c>
      <c r="AL664" s="243">
        <v>8565.0</v>
      </c>
      <c r="AM664" s="243">
        <v>49.0</v>
      </c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</row>
    <row r="665">
      <c r="A665" s="55"/>
      <c r="B665" s="55"/>
      <c r="C665" s="55"/>
      <c r="D665" s="55"/>
      <c r="E665" s="97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240" t="s">
        <v>992</v>
      </c>
      <c r="AK665" s="240" t="s">
        <v>292</v>
      </c>
      <c r="AL665" s="241">
        <v>101682.0</v>
      </c>
      <c r="AM665" s="241">
        <v>49.0</v>
      </c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</row>
    <row r="666">
      <c r="A666" s="55"/>
      <c r="B666" s="55"/>
      <c r="C666" s="55"/>
      <c r="D666" s="55"/>
      <c r="E666" s="97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242" t="s">
        <v>993</v>
      </c>
      <c r="AK666" s="242" t="s">
        <v>292</v>
      </c>
      <c r="AL666" s="243">
        <v>93651.0</v>
      </c>
      <c r="AM666" s="243">
        <v>69.9</v>
      </c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</row>
    <row r="667">
      <c r="A667" s="55"/>
      <c r="B667" s="55"/>
      <c r="C667" s="55"/>
      <c r="D667" s="55"/>
      <c r="E667" s="97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240" t="s">
        <v>994</v>
      </c>
      <c r="AK667" s="240" t="s">
        <v>292</v>
      </c>
      <c r="AL667" s="241">
        <v>8566.0</v>
      </c>
      <c r="AM667" s="241">
        <v>59.9</v>
      </c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</row>
    <row r="668">
      <c r="A668" s="55"/>
      <c r="B668" s="55"/>
      <c r="C668" s="55"/>
      <c r="D668" s="55"/>
      <c r="E668" s="97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242" t="s">
        <v>995</v>
      </c>
      <c r="AK668" s="242" t="s">
        <v>292</v>
      </c>
      <c r="AL668" s="243">
        <v>94646.0</v>
      </c>
      <c r="AM668" s="243">
        <v>59.9</v>
      </c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</row>
    <row r="669">
      <c r="A669" s="55"/>
      <c r="B669" s="55"/>
      <c r="C669" s="55"/>
      <c r="D669" s="55"/>
      <c r="E669" s="97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240" t="s">
        <v>996</v>
      </c>
      <c r="AK669" s="240" t="s">
        <v>292</v>
      </c>
      <c r="AL669" s="241">
        <v>8568.0</v>
      </c>
      <c r="AM669" s="241">
        <v>79.9</v>
      </c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</row>
    <row r="670">
      <c r="A670" s="55"/>
      <c r="B670" s="55"/>
      <c r="C670" s="55"/>
      <c r="D670" s="55"/>
      <c r="E670" s="97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242" t="s">
        <v>997</v>
      </c>
      <c r="AK670" s="242" t="s">
        <v>292</v>
      </c>
      <c r="AL670" s="243">
        <v>97608.0</v>
      </c>
      <c r="AM670" s="243">
        <v>79.9</v>
      </c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</row>
    <row r="671">
      <c r="A671" s="55"/>
      <c r="B671" s="55"/>
      <c r="C671" s="55"/>
      <c r="D671" s="55"/>
      <c r="E671" s="97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240" t="s">
        <v>998</v>
      </c>
      <c r="AK671" s="240" t="s">
        <v>292</v>
      </c>
      <c r="AL671" s="241">
        <v>8569.0</v>
      </c>
      <c r="AM671" s="241">
        <v>99.9</v>
      </c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</row>
    <row r="672">
      <c r="A672" s="55"/>
      <c r="B672" s="55"/>
      <c r="C672" s="55"/>
      <c r="D672" s="55"/>
      <c r="E672" s="97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242" t="s">
        <v>999</v>
      </c>
      <c r="AK672" s="242" t="s">
        <v>292</v>
      </c>
      <c r="AL672" s="243">
        <v>99666.0</v>
      </c>
      <c r="AM672" s="243">
        <v>99.9</v>
      </c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</row>
    <row r="673">
      <c r="A673" s="55"/>
      <c r="B673" s="55"/>
      <c r="C673" s="55"/>
      <c r="D673" s="55"/>
      <c r="E673" s="97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240" t="s">
        <v>402</v>
      </c>
      <c r="AK673" s="240" t="s">
        <v>292</v>
      </c>
      <c r="AL673" s="241">
        <v>8571.0</v>
      </c>
      <c r="AM673" s="241">
        <v>39.9</v>
      </c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</row>
    <row r="674">
      <c r="A674" s="55"/>
      <c r="B674" s="55"/>
      <c r="C674" s="55"/>
      <c r="D674" s="55"/>
      <c r="E674" s="97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242" t="s">
        <v>1000</v>
      </c>
      <c r="AK674" s="242" t="s">
        <v>292</v>
      </c>
      <c r="AL674" s="243">
        <v>101183.0</v>
      </c>
      <c r="AM674" s="243">
        <v>24.9</v>
      </c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</row>
    <row r="675">
      <c r="A675" s="55"/>
      <c r="B675" s="55"/>
      <c r="C675" s="55"/>
      <c r="D675" s="55"/>
      <c r="E675" s="97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240" t="s">
        <v>1001</v>
      </c>
      <c r="AK675" s="240" t="s">
        <v>292</v>
      </c>
      <c r="AL675" s="241">
        <v>8572.0</v>
      </c>
      <c r="AM675" s="241">
        <v>20.99</v>
      </c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</row>
    <row r="676">
      <c r="A676" s="55"/>
      <c r="B676" s="55"/>
      <c r="C676" s="55"/>
      <c r="D676" s="55"/>
      <c r="E676" s="97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242" t="s">
        <v>1002</v>
      </c>
      <c r="AK676" s="242" t="s">
        <v>275</v>
      </c>
      <c r="AL676" s="243">
        <v>8574.0</v>
      </c>
      <c r="AM676" s="243">
        <v>20.99</v>
      </c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</row>
    <row r="677">
      <c r="A677" s="55"/>
      <c r="B677" s="55"/>
      <c r="C677" s="55"/>
      <c r="D677" s="55"/>
      <c r="E677" s="97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240" t="s">
        <v>1003</v>
      </c>
      <c r="AK677" s="240" t="s">
        <v>292</v>
      </c>
      <c r="AL677" s="241">
        <v>5966.0</v>
      </c>
      <c r="AM677" s="241">
        <v>20.99</v>
      </c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</row>
    <row r="678">
      <c r="A678" s="55"/>
      <c r="B678" s="55"/>
      <c r="C678" s="55"/>
      <c r="D678" s="55"/>
      <c r="E678" s="97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242" t="s">
        <v>1004</v>
      </c>
      <c r="AK678" s="242" t="s">
        <v>275</v>
      </c>
      <c r="AL678" s="243">
        <v>4699.0</v>
      </c>
      <c r="AM678" s="243">
        <v>20.99</v>
      </c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</row>
    <row r="679">
      <c r="A679" s="55"/>
      <c r="B679" s="55"/>
      <c r="C679" s="55"/>
      <c r="D679" s="55"/>
      <c r="E679" s="97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240" t="s">
        <v>1005</v>
      </c>
      <c r="AK679" s="240" t="s">
        <v>292</v>
      </c>
      <c r="AL679" s="241">
        <v>8575.0</v>
      </c>
      <c r="AM679" s="241">
        <v>86.59</v>
      </c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</row>
    <row r="680">
      <c r="A680" s="55"/>
      <c r="B680" s="55"/>
      <c r="C680" s="55"/>
      <c r="D680" s="55"/>
      <c r="E680" s="97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242" t="s">
        <v>1006</v>
      </c>
      <c r="AK680" s="242" t="s">
        <v>292</v>
      </c>
      <c r="AL680" s="243">
        <v>5686.0</v>
      </c>
      <c r="AM680" s="243">
        <v>69.9</v>
      </c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</row>
    <row r="681">
      <c r="A681" s="55"/>
      <c r="B681" s="55"/>
      <c r="C681" s="55"/>
      <c r="D681" s="55"/>
      <c r="E681" s="97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240" t="s">
        <v>1007</v>
      </c>
      <c r="AK681" s="240" t="s">
        <v>292</v>
      </c>
      <c r="AL681" s="241">
        <v>8577.0</v>
      </c>
      <c r="AM681" s="241">
        <v>79.9</v>
      </c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</row>
    <row r="682">
      <c r="A682" s="55"/>
      <c r="B682" s="55"/>
      <c r="C682" s="55"/>
      <c r="D682" s="55"/>
      <c r="E682" s="97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242" t="s">
        <v>1008</v>
      </c>
      <c r="AK682" s="242" t="s">
        <v>292</v>
      </c>
      <c r="AL682" s="243">
        <v>94424.0</v>
      </c>
      <c r="AM682" s="243">
        <v>79.9</v>
      </c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</row>
    <row r="683">
      <c r="A683" s="55"/>
      <c r="B683" s="55"/>
      <c r="C683" s="55"/>
      <c r="D683" s="55"/>
      <c r="E683" s="97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240" t="s">
        <v>1009</v>
      </c>
      <c r="AK683" s="240" t="s">
        <v>275</v>
      </c>
      <c r="AL683" s="241">
        <v>96543.0</v>
      </c>
      <c r="AM683" s="241">
        <v>49.9</v>
      </c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</row>
    <row r="684">
      <c r="A684" s="55"/>
      <c r="B684" s="55"/>
      <c r="C684" s="55"/>
      <c r="D684" s="55"/>
      <c r="E684" s="97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242" t="s">
        <v>1010</v>
      </c>
      <c r="AK684" s="242" t="s">
        <v>292</v>
      </c>
      <c r="AL684" s="243">
        <v>8578.0</v>
      </c>
      <c r="AM684" s="243">
        <v>69.9</v>
      </c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</row>
    <row r="685">
      <c r="A685" s="55"/>
      <c r="B685" s="55"/>
      <c r="C685" s="55"/>
      <c r="D685" s="55"/>
      <c r="E685" s="97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240" t="s">
        <v>1011</v>
      </c>
      <c r="AK685" s="240" t="s">
        <v>292</v>
      </c>
      <c r="AL685" s="241">
        <v>5848.0</v>
      </c>
      <c r="AM685" s="241">
        <v>69.9</v>
      </c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</row>
    <row r="686">
      <c r="A686" s="55"/>
      <c r="B686" s="55"/>
      <c r="C686" s="55"/>
      <c r="D686" s="55"/>
      <c r="E686" s="97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242" t="s">
        <v>1012</v>
      </c>
      <c r="AK686" s="242" t="s">
        <v>292</v>
      </c>
      <c r="AL686" s="243">
        <v>8580.0</v>
      </c>
      <c r="AM686" s="243">
        <v>49.9</v>
      </c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</row>
    <row r="687">
      <c r="A687" s="55"/>
      <c r="B687" s="55"/>
      <c r="C687" s="55"/>
      <c r="D687" s="55"/>
      <c r="E687" s="97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240" t="s">
        <v>1013</v>
      </c>
      <c r="AK687" s="240" t="s">
        <v>292</v>
      </c>
      <c r="AL687" s="241">
        <v>2822.0</v>
      </c>
      <c r="AM687" s="241">
        <v>49.9</v>
      </c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</row>
    <row r="688">
      <c r="A688" s="55"/>
      <c r="B688" s="55"/>
      <c r="C688" s="55"/>
      <c r="D688" s="55"/>
      <c r="E688" s="97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242" t="s">
        <v>327</v>
      </c>
      <c r="AK688" s="242" t="s">
        <v>292</v>
      </c>
      <c r="AL688" s="243">
        <v>8598.0</v>
      </c>
      <c r="AM688" s="243">
        <v>48.9</v>
      </c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</row>
    <row r="689">
      <c r="A689" s="55"/>
      <c r="B689" s="55"/>
      <c r="C689" s="55"/>
      <c r="D689" s="55"/>
      <c r="E689" s="97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240" t="s">
        <v>1014</v>
      </c>
      <c r="AK689" s="240" t="s">
        <v>292</v>
      </c>
      <c r="AL689" s="241">
        <v>93489.0</v>
      </c>
      <c r="AM689" s="241">
        <v>48.9</v>
      </c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</row>
    <row r="690">
      <c r="A690" s="55"/>
      <c r="B690" s="55"/>
      <c r="C690" s="55"/>
      <c r="D690" s="55"/>
      <c r="E690" s="97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242" t="s">
        <v>1015</v>
      </c>
      <c r="AK690" s="242" t="s">
        <v>292</v>
      </c>
      <c r="AL690" s="243">
        <v>8599.0</v>
      </c>
      <c r="AM690" s="243">
        <v>42.9</v>
      </c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</row>
    <row r="691">
      <c r="A691" s="55"/>
      <c r="B691" s="55"/>
      <c r="C691" s="55"/>
      <c r="D691" s="55"/>
      <c r="E691" s="97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240" t="s">
        <v>1016</v>
      </c>
      <c r="AK691" s="240" t="s">
        <v>292</v>
      </c>
      <c r="AL691" s="241">
        <v>1227.0</v>
      </c>
      <c r="AM691" s="241">
        <v>42.9</v>
      </c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</row>
    <row r="692">
      <c r="A692" s="55"/>
      <c r="B692" s="55"/>
      <c r="C692" s="55"/>
      <c r="D692" s="55"/>
      <c r="E692" s="97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242" t="s">
        <v>347</v>
      </c>
      <c r="AK692" s="242" t="s">
        <v>292</v>
      </c>
      <c r="AL692" s="243">
        <v>8602.0</v>
      </c>
      <c r="AM692" s="243">
        <v>34.9</v>
      </c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</row>
    <row r="693">
      <c r="A693" s="55"/>
      <c r="B693" s="55"/>
      <c r="C693" s="55"/>
      <c r="D693" s="55"/>
      <c r="E693" s="97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240" t="s">
        <v>1017</v>
      </c>
      <c r="AK693" s="240" t="s">
        <v>292</v>
      </c>
      <c r="AL693" s="241">
        <v>94238.0</v>
      </c>
      <c r="AM693" s="241">
        <v>34.9</v>
      </c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</row>
    <row r="694">
      <c r="A694" s="55"/>
      <c r="B694" s="55"/>
      <c r="C694" s="55"/>
      <c r="D694" s="55"/>
      <c r="E694" s="97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242" t="s">
        <v>1018</v>
      </c>
      <c r="AK694" s="242" t="s">
        <v>292</v>
      </c>
      <c r="AL694" s="243">
        <v>8605.0</v>
      </c>
      <c r="AM694" s="243">
        <v>34.9</v>
      </c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</row>
    <row r="695">
      <c r="A695" s="55"/>
      <c r="B695" s="55"/>
      <c r="C695" s="55"/>
      <c r="D695" s="55"/>
      <c r="E695" s="97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240" t="s">
        <v>1019</v>
      </c>
      <c r="AK695" s="240" t="s">
        <v>292</v>
      </c>
      <c r="AL695" s="241">
        <v>3480.0</v>
      </c>
      <c r="AM695" s="241">
        <v>34.9</v>
      </c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</row>
    <row r="696">
      <c r="A696" s="55"/>
      <c r="B696" s="55"/>
      <c r="C696" s="55"/>
      <c r="D696" s="55"/>
      <c r="E696" s="97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242" t="s">
        <v>1020</v>
      </c>
      <c r="AK696" s="242" t="s">
        <v>292</v>
      </c>
      <c r="AL696" s="243">
        <v>8614.0</v>
      </c>
      <c r="AM696" s="243">
        <v>59.9</v>
      </c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</row>
    <row r="697">
      <c r="A697" s="55"/>
      <c r="B697" s="55"/>
      <c r="C697" s="55"/>
      <c r="D697" s="55"/>
      <c r="E697" s="97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240" t="s">
        <v>1021</v>
      </c>
      <c r="AK697" s="240" t="s">
        <v>292</v>
      </c>
      <c r="AL697" s="241">
        <v>95180.0</v>
      </c>
      <c r="AM697" s="241">
        <v>59.9</v>
      </c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</row>
    <row r="698">
      <c r="A698" s="55"/>
      <c r="B698" s="55"/>
      <c r="C698" s="55"/>
      <c r="D698" s="55"/>
      <c r="E698" s="97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242" t="s">
        <v>1022</v>
      </c>
      <c r="AK698" s="242" t="s">
        <v>292</v>
      </c>
      <c r="AL698" s="243">
        <v>8616.0</v>
      </c>
      <c r="AM698" s="243">
        <v>64.9</v>
      </c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</row>
    <row r="699">
      <c r="A699" s="55"/>
      <c r="B699" s="55"/>
      <c r="C699" s="55"/>
      <c r="D699" s="55"/>
      <c r="E699" s="97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240" t="s">
        <v>1023</v>
      </c>
      <c r="AK699" s="240" t="s">
        <v>292</v>
      </c>
      <c r="AL699" s="241">
        <v>102073.0</v>
      </c>
      <c r="AM699" s="241">
        <v>64.9</v>
      </c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</row>
    <row r="700">
      <c r="A700" s="55"/>
      <c r="B700" s="55"/>
      <c r="C700" s="55"/>
      <c r="D700" s="55"/>
      <c r="E700" s="97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242" t="s">
        <v>1024</v>
      </c>
      <c r="AK700" s="242" t="s">
        <v>292</v>
      </c>
      <c r="AL700" s="243">
        <v>8619.0</v>
      </c>
      <c r="AM700" s="243">
        <v>59.9</v>
      </c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</row>
    <row r="701">
      <c r="A701" s="55"/>
      <c r="B701" s="55"/>
      <c r="C701" s="55"/>
      <c r="D701" s="55"/>
      <c r="E701" s="97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240" t="s">
        <v>1025</v>
      </c>
      <c r="AK701" s="240" t="s">
        <v>292</v>
      </c>
      <c r="AL701" s="241">
        <v>94692.0</v>
      </c>
      <c r="AM701" s="241">
        <v>59.9</v>
      </c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</row>
    <row r="702">
      <c r="A702" s="55"/>
      <c r="B702" s="55"/>
      <c r="C702" s="55"/>
      <c r="D702" s="55"/>
      <c r="E702" s="97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242" t="s">
        <v>1026</v>
      </c>
      <c r="AK702" s="242" t="s">
        <v>292</v>
      </c>
      <c r="AL702" s="243">
        <v>8624.0</v>
      </c>
      <c r="AM702" s="243">
        <v>39.9</v>
      </c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</row>
    <row r="703">
      <c r="A703" s="55"/>
      <c r="B703" s="55"/>
      <c r="C703" s="55"/>
      <c r="D703" s="55"/>
      <c r="E703" s="97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240" t="s">
        <v>1027</v>
      </c>
      <c r="AK703" s="240" t="s">
        <v>292</v>
      </c>
      <c r="AL703" s="241">
        <v>3456.0</v>
      </c>
      <c r="AM703" s="241">
        <v>39.9</v>
      </c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</row>
    <row r="704">
      <c r="A704" s="55"/>
      <c r="B704" s="55"/>
      <c r="C704" s="55"/>
      <c r="D704" s="55"/>
      <c r="E704" s="97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242" t="s">
        <v>1028</v>
      </c>
      <c r="AK704" s="242" t="s">
        <v>292</v>
      </c>
      <c r="AL704" s="243">
        <v>8633.0</v>
      </c>
      <c r="AM704" s="243">
        <v>19.9</v>
      </c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</row>
    <row r="705">
      <c r="A705" s="55"/>
      <c r="B705" s="55"/>
      <c r="C705" s="55"/>
      <c r="D705" s="55"/>
      <c r="E705" s="97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240" t="s">
        <v>1029</v>
      </c>
      <c r="AK705" s="240" t="s">
        <v>292</v>
      </c>
      <c r="AL705" s="241">
        <v>98190.0</v>
      </c>
      <c r="AM705" s="241">
        <v>19.9</v>
      </c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</row>
    <row r="706">
      <c r="A706" s="55"/>
      <c r="B706" s="55"/>
      <c r="C706" s="55"/>
      <c r="D706" s="55"/>
      <c r="E706" s="97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242" t="s">
        <v>1030</v>
      </c>
      <c r="AK706" s="242" t="s">
        <v>292</v>
      </c>
      <c r="AL706" s="243">
        <v>8646.0</v>
      </c>
      <c r="AM706" s="243">
        <v>79.9</v>
      </c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</row>
    <row r="707">
      <c r="A707" s="55"/>
      <c r="B707" s="55"/>
      <c r="C707" s="55"/>
      <c r="D707" s="55"/>
      <c r="E707" s="97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240" t="s">
        <v>1031</v>
      </c>
      <c r="AK707" s="240" t="s">
        <v>292</v>
      </c>
      <c r="AL707" s="241">
        <v>93456.0</v>
      </c>
      <c r="AM707" s="241">
        <v>79.9</v>
      </c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</row>
    <row r="708">
      <c r="A708" s="55"/>
      <c r="B708" s="55"/>
      <c r="C708" s="55"/>
      <c r="D708" s="55"/>
      <c r="E708" s="97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242" t="s">
        <v>1032</v>
      </c>
      <c r="AK708" s="242" t="s">
        <v>275</v>
      </c>
      <c r="AL708" s="243">
        <v>4985.0</v>
      </c>
      <c r="AM708" s="243">
        <v>43.9</v>
      </c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</row>
    <row r="709">
      <c r="A709" s="55"/>
      <c r="B709" s="55"/>
      <c r="C709" s="55"/>
      <c r="D709" s="55"/>
      <c r="E709" s="97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240" t="s">
        <v>1033</v>
      </c>
      <c r="AK709" s="240" t="s">
        <v>275</v>
      </c>
      <c r="AL709" s="241">
        <v>8647.0</v>
      </c>
      <c r="AM709" s="241">
        <v>43.9</v>
      </c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</row>
    <row r="710">
      <c r="A710" s="55"/>
      <c r="B710" s="55"/>
      <c r="C710" s="55"/>
      <c r="D710" s="55"/>
      <c r="E710" s="97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242" t="s">
        <v>1034</v>
      </c>
      <c r="AK710" s="242" t="s">
        <v>292</v>
      </c>
      <c r="AL710" s="243">
        <v>8648.0</v>
      </c>
      <c r="AM710" s="243">
        <v>69.9</v>
      </c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</row>
    <row r="711">
      <c r="A711" s="55"/>
      <c r="B711" s="55"/>
      <c r="C711" s="55"/>
      <c r="D711" s="55"/>
      <c r="E711" s="97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240" t="s">
        <v>1035</v>
      </c>
      <c r="AK711" s="240" t="s">
        <v>292</v>
      </c>
      <c r="AL711" s="241">
        <v>93907.0</v>
      </c>
      <c r="AM711" s="241">
        <v>69.9</v>
      </c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</row>
    <row r="712">
      <c r="A712" s="55"/>
      <c r="B712" s="55"/>
      <c r="C712" s="55"/>
      <c r="D712" s="55"/>
      <c r="E712" s="97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242" t="s">
        <v>1036</v>
      </c>
      <c r="AK712" s="242" t="s">
        <v>292</v>
      </c>
      <c r="AL712" s="243">
        <v>8649.0</v>
      </c>
      <c r="AM712" s="243">
        <v>39.9</v>
      </c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</row>
    <row r="713">
      <c r="A713" s="55"/>
      <c r="B713" s="55"/>
      <c r="C713" s="55"/>
      <c r="D713" s="55"/>
      <c r="E713" s="97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240" t="s">
        <v>1037</v>
      </c>
      <c r="AK713" s="240" t="s">
        <v>292</v>
      </c>
      <c r="AL713" s="241">
        <v>1734.0</v>
      </c>
      <c r="AM713" s="241">
        <v>39.9</v>
      </c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</row>
    <row r="714">
      <c r="A714" s="55"/>
      <c r="B714" s="55"/>
      <c r="C714" s="55"/>
      <c r="D714" s="55"/>
      <c r="E714" s="97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242" t="s">
        <v>1038</v>
      </c>
      <c r="AK714" s="242" t="s">
        <v>292</v>
      </c>
      <c r="AL714" s="243">
        <v>8658.0</v>
      </c>
      <c r="AM714" s="243">
        <v>54.9</v>
      </c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</row>
    <row r="715">
      <c r="A715" s="55"/>
      <c r="B715" s="55"/>
      <c r="C715" s="55"/>
      <c r="D715" s="55"/>
      <c r="E715" s="97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240" t="s">
        <v>1039</v>
      </c>
      <c r="AK715" s="240" t="s">
        <v>292</v>
      </c>
      <c r="AL715" s="241">
        <v>1017.0</v>
      </c>
      <c r="AM715" s="241">
        <v>54.9</v>
      </c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</row>
    <row r="716">
      <c r="A716" s="55"/>
      <c r="B716" s="55"/>
      <c r="C716" s="55"/>
      <c r="D716" s="55"/>
      <c r="E716" s="97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242" t="s">
        <v>1040</v>
      </c>
      <c r="AK716" s="242" t="s">
        <v>292</v>
      </c>
      <c r="AL716" s="243">
        <v>3152.0</v>
      </c>
      <c r="AM716" s="243">
        <v>69.9</v>
      </c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</row>
    <row r="717">
      <c r="A717" s="55"/>
      <c r="B717" s="55"/>
      <c r="C717" s="55"/>
      <c r="D717" s="55"/>
      <c r="E717" s="97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240" t="s">
        <v>1041</v>
      </c>
      <c r="AK717" s="240" t="s">
        <v>292</v>
      </c>
      <c r="AL717" s="241">
        <v>8659.0</v>
      </c>
      <c r="AM717" s="241">
        <v>69.9</v>
      </c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</row>
    <row r="718">
      <c r="A718" s="55"/>
      <c r="B718" s="55"/>
      <c r="C718" s="55"/>
      <c r="D718" s="55"/>
      <c r="E718" s="97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242" t="s">
        <v>410</v>
      </c>
      <c r="AK718" s="242" t="s">
        <v>292</v>
      </c>
      <c r="AL718" s="243">
        <v>8663.0</v>
      </c>
      <c r="AM718" s="243">
        <v>69.9</v>
      </c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</row>
    <row r="719">
      <c r="A719" s="55"/>
      <c r="B719" s="55"/>
      <c r="C719" s="55"/>
      <c r="D719" s="55"/>
      <c r="E719" s="97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240" t="s">
        <v>1042</v>
      </c>
      <c r="AK719" s="240" t="s">
        <v>292</v>
      </c>
      <c r="AL719" s="241">
        <v>1296.0</v>
      </c>
      <c r="AM719" s="241">
        <v>69.9</v>
      </c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</row>
    <row r="720">
      <c r="A720" s="55"/>
      <c r="B720" s="55"/>
      <c r="C720" s="55"/>
      <c r="D720" s="55"/>
      <c r="E720" s="97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242" t="s">
        <v>1043</v>
      </c>
      <c r="AK720" s="242" t="s">
        <v>292</v>
      </c>
      <c r="AL720" s="243">
        <v>8667.0</v>
      </c>
      <c r="AM720" s="243">
        <v>69.9</v>
      </c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</row>
    <row r="721">
      <c r="A721" s="55"/>
      <c r="B721" s="55"/>
      <c r="C721" s="55"/>
      <c r="D721" s="55"/>
      <c r="E721" s="97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240" t="s">
        <v>1044</v>
      </c>
      <c r="AK721" s="240" t="s">
        <v>292</v>
      </c>
      <c r="AL721" s="241">
        <v>93480.0</v>
      </c>
      <c r="AM721" s="241">
        <v>69.9</v>
      </c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</row>
    <row r="722">
      <c r="A722" s="55"/>
      <c r="B722" s="55"/>
      <c r="C722" s="55"/>
      <c r="D722" s="55"/>
      <c r="E722" s="97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242" t="s">
        <v>1045</v>
      </c>
      <c r="AK722" s="242" t="s">
        <v>275</v>
      </c>
      <c r="AL722" s="243">
        <v>9121.0</v>
      </c>
      <c r="AM722" s="243">
        <v>0.0</v>
      </c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</row>
    <row r="723">
      <c r="A723" s="55"/>
      <c r="B723" s="55"/>
      <c r="C723" s="55"/>
      <c r="D723" s="55"/>
      <c r="E723" s="97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240" t="s">
        <v>1046</v>
      </c>
      <c r="AK723" s="240" t="s">
        <v>292</v>
      </c>
      <c r="AL723" s="241">
        <v>8668.0</v>
      </c>
      <c r="AM723" s="241">
        <v>34.9</v>
      </c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</row>
    <row r="724">
      <c r="A724" s="55"/>
      <c r="B724" s="55"/>
      <c r="C724" s="55"/>
      <c r="D724" s="55"/>
      <c r="E724" s="97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242" t="s">
        <v>364</v>
      </c>
      <c r="AK724" s="242" t="s">
        <v>292</v>
      </c>
      <c r="AL724" s="243">
        <v>8671.0</v>
      </c>
      <c r="AM724" s="243">
        <v>38.9</v>
      </c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</row>
    <row r="725">
      <c r="A725" s="55"/>
      <c r="B725" s="55"/>
      <c r="C725" s="55"/>
      <c r="D725" s="55"/>
      <c r="E725" s="97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240" t="s">
        <v>377</v>
      </c>
      <c r="AK725" s="240" t="s">
        <v>275</v>
      </c>
      <c r="AL725" s="241">
        <v>8963.0</v>
      </c>
      <c r="AM725" s="241">
        <v>24.9</v>
      </c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</row>
    <row r="726">
      <c r="A726" s="55"/>
      <c r="B726" s="55"/>
      <c r="C726" s="55"/>
      <c r="D726" s="55"/>
      <c r="E726" s="97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242" t="s">
        <v>1047</v>
      </c>
      <c r="AK726" s="242" t="s">
        <v>292</v>
      </c>
      <c r="AL726" s="243">
        <v>8688.0</v>
      </c>
      <c r="AM726" s="243">
        <v>19.9</v>
      </c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</row>
    <row r="727">
      <c r="A727" s="55"/>
      <c r="B727" s="55"/>
      <c r="C727" s="55"/>
      <c r="D727" s="55"/>
      <c r="E727" s="97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240" t="s">
        <v>1048</v>
      </c>
      <c r="AK727" s="240" t="s">
        <v>292</v>
      </c>
      <c r="AL727" s="241">
        <v>8673.0</v>
      </c>
      <c r="AM727" s="241">
        <v>29.9</v>
      </c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</row>
    <row r="728">
      <c r="A728" s="55"/>
      <c r="B728" s="55"/>
      <c r="C728" s="55"/>
      <c r="D728" s="55"/>
      <c r="E728" s="97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242" t="s">
        <v>1049</v>
      </c>
      <c r="AK728" s="242" t="s">
        <v>292</v>
      </c>
      <c r="AL728" s="243">
        <v>3232.0</v>
      </c>
      <c r="AM728" s="243">
        <v>21.9</v>
      </c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</row>
    <row r="729">
      <c r="A729" s="55"/>
      <c r="B729" s="55"/>
      <c r="C729" s="55"/>
      <c r="D729" s="55"/>
      <c r="E729" s="97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240" t="s">
        <v>1050</v>
      </c>
      <c r="AK729" s="240" t="s">
        <v>292</v>
      </c>
      <c r="AL729" s="241">
        <v>8674.0</v>
      </c>
      <c r="AM729" s="241">
        <v>24.9</v>
      </c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</row>
    <row r="730">
      <c r="A730" s="55"/>
      <c r="B730" s="55"/>
      <c r="C730" s="55"/>
      <c r="D730" s="55"/>
      <c r="E730" s="97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242" t="s">
        <v>369</v>
      </c>
      <c r="AK730" s="242" t="s">
        <v>292</v>
      </c>
      <c r="AL730" s="243">
        <v>8687.0</v>
      </c>
      <c r="AM730" s="243">
        <v>32.9</v>
      </c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</row>
    <row r="731">
      <c r="A731" s="55"/>
      <c r="B731" s="55"/>
      <c r="C731" s="55"/>
      <c r="D731" s="55"/>
      <c r="E731" s="97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240" t="s">
        <v>1051</v>
      </c>
      <c r="AK731" s="240" t="s">
        <v>292</v>
      </c>
      <c r="AL731" s="241">
        <v>8689.0</v>
      </c>
      <c r="AM731" s="241">
        <v>21.9</v>
      </c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</row>
    <row r="732">
      <c r="A732" s="55"/>
      <c r="B732" s="55"/>
      <c r="C732" s="55"/>
      <c r="D732" s="55"/>
      <c r="E732" s="97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242" t="s">
        <v>363</v>
      </c>
      <c r="AK732" s="242" t="s">
        <v>292</v>
      </c>
      <c r="AL732" s="243">
        <v>8690.0</v>
      </c>
      <c r="AM732" s="243">
        <v>34.9</v>
      </c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</row>
    <row r="733">
      <c r="A733" s="55"/>
      <c r="B733" s="55"/>
      <c r="C733" s="55"/>
      <c r="D733" s="55"/>
      <c r="E733" s="97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240" t="s">
        <v>1052</v>
      </c>
      <c r="AK733" s="240" t="s">
        <v>292</v>
      </c>
      <c r="AL733" s="241">
        <v>8694.0</v>
      </c>
      <c r="AM733" s="241">
        <v>39.9</v>
      </c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</row>
    <row r="734">
      <c r="A734" s="55"/>
      <c r="B734" s="55"/>
      <c r="C734" s="55"/>
      <c r="D734" s="55"/>
      <c r="E734" s="97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242" t="s">
        <v>362</v>
      </c>
      <c r="AK734" s="242" t="s">
        <v>292</v>
      </c>
      <c r="AL734" s="243">
        <v>8695.0</v>
      </c>
      <c r="AM734" s="243">
        <v>23.9</v>
      </c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</row>
    <row r="735">
      <c r="A735" s="55"/>
      <c r="B735" s="55"/>
      <c r="C735" s="55"/>
      <c r="D735" s="55"/>
      <c r="E735" s="97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240" t="s">
        <v>1053</v>
      </c>
      <c r="AK735" s="240" t="s">
        <v>292</v>
      </c>
      <c r="AL735" s="241">
        <v>5497.0</v>
      </c>
      <c r="AM735" s="241">
        <v>23.9</v>
      </c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</row>
    <row r="736">
      <c r="A736" s="55"/>
      <c r="B736" s="55"/>
      <c r="C736" s="55"/>
      <c r="D736" s="55"/>
      <c r="E736" s="97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242" t="s">
        <v>1054</v>
      </c>
      <c r="AK736" s="242" t="s">
        <v>292</v>
      </c>
      <c r="AL736" s="243">
        <v>8703.0</v>
      </c>
      <c r="AM736" s="243">
        <v>24.9</v>
      </c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</row>
    <row r="737">
      <c r="A737" s="55"/>
      <c r="B737" s="55"/>
      <c r="C737" s="55"/>
      <c r="D737" s="55"/>
      <c r="E737" s="97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240" t="s">
        <v>1055</v>
      </c>
      <c r="AK737" s="240" t="s">
        <v>292</v>
      </c>
      <c r="AL737" s="241">
        <v>8702.0</v>
      </c>
      <c r="AM737" s="241">
        <v>39.9</v>
      </c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</row>
    <row r="738">
      <c r="A738" s="55"/>
      <c r="B738" s="55"/>
      <c r="C738" s="55"/>
      <c r="D738" s="55"/>
      <c r="E738" s="97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242" t="s">
        <v>1056</v>
      </c>
      <c r="AK738" s="242" t="s">
        <v>292</v>
      </c>
      <c r="AL738" s="243">
        <v>105400.0</v>
      </c>
      <c r="AM738" s="243">
        <v>19.9</v>
      </c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</row>
    <row r="739">
      <c r="A739" s="55"/>
      <c r="B739" s="55"/>
      <c r="C739" s="55"/>
      <c r="D739" s="55"/>
      <c r="E739" s="97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240" t="s">
        <v>1057</v>
      </c>
      <c r="AK739" s="240" t="s">
        <v>292</v>
      </c>
      <c r="AL739" s="241">
        <v>8704.0</v>
      </c>
      <c r="AM739" s="241">
        <v>24.9</v>
      </c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</row>
    <row r="740">
      <c r="A740" s="55"/>
      <c r="B740" s="55"/>
      <c r="C740" s="55"/>
      <c r="D740" s="55"/>
      <c r="E740" s="97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242" t="s">
        <v>1058</v>
      </c>
      <c r="AK740" s="242" t="s">
        <v>292</v>
      </c>
      <c r="AL740" s="243">
        <v>94885.0</v>
      </c>
      <c r="AM740" s="243">
        <v>24.9</v>
      </c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</row>
    <row r="741">
      <c r="A741" s="55"/>
      <c r="B741" s="55"/>
      <c r="C741" s="55"/>
      <c r="D741" s="55"/>
      <c r="E741" s="97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240" t="s">
        <v>368</v>
      </c>
      <c r="AK741" s="240" t="s">
        <v>292</v>
      </c>
      <c r="AL741" s="241">
        <v>8713.0</v>
      </c>
      <c r="AM741" s="241">
        <v>44.9</v>
      </c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</row>
    <row r="742">
      <c r="A742" s="55"/>
      <c r="B742" s="55"/>
      <c r="C742" s="55"/>
      <c r="D742" s="55"/>
      <c r="E742" s="97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242" t="s">
        <v>1059</v>
      </c>
      <c r="AK742" s="242" t="s">
        <v>292</v>
      </c>
      <c r="AL742" s="243">
        <v>8707.0</v>
      </c>
      <c r="AM742" s="243">
        <v>39.9</v>
      </c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</row>
    <row r="743">
      <c r="A743" s="55"/>
      <c r="B743" s="55"/>
      <c r="C743" s="55"/>
      <c r="D743" s="55"/>
      <c r="E743" s="97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240" t="s">
        <v>1060</v>
      </c>
      <c r="AK743" s="240" t="s">
        <v>292</v>
      </c>
      <c r="AL743" s="241">
        <v>8712.0</v>
      </c>
      <c r="AM743" s="241">
        <v>89.9</v>
      </c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</row>
    <row r="744">
      <c r="A744" s="55"/>
      <c r="B744" s="55"/>
      <c r="C744" s="55"/>
      <c r="D744" s="55"/>
      <c r="E744" s="97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242" t="s">
        <v>1061</v>
      </c>
      <c r="AK744" s="242" t="s">
        <v>292</v>
      </c>
      <c r="AL744" s="243">
        <v>8714.0</v>
      </c>
      <c r="AM744" s="243">
        <v>24.9</v>
      </c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</row>
    <row r="745">
      <c r="A745" s="55"/>
      <c r="B745" s="55"/>
      <c r="C745" s="55"/>
      <c r="D745" s="55"/>
      <c r="E745" s="97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240" t="s">
        <v>1062</v>
      </c>
      <c r="AK745" s="240" t="s">
        <v>292</v>
      </c>
      <c r="AL745" s="241">
        <v>105659.0</v>
      </c>
      <c r="AM745" s="241">
        <v>24.9</v>
      </c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</row>
    <row r="746">
      <c r="A746" s="55"/>
      <c r="B746" s="55"/>
      <c r="C746" s="55"/>
      <c r="D746" s="55"/>
      <c r="E746" s="97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242" t="s">
        <v>1063</v>
      </c>
      <c r="AK746" s="242" t="s">
        <v>292</v>
      </c>
      <c r="AL746" s="243">
        <v>8725.0</v>
      </c>
      <c r="AM746" s="243">
        <v>37.9</v>
      </c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</row>
    <row r="747">
      <c r="A747" s="55"/>
      <c r="B747" s="55"/>
      <c r="C747" s="55"/>
      <c r="D747" s="55"/>
      <c r="E747" s="97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240" t="s">
        <v>1064</v>
      </c>
      <c r="AK747" s="240" t="s">
        <v>292</v>
      </c>
      <c r="AL747" s="241">
        <v>8716.0</v>
      </c>
      <c r="AM747" s="241">
        <v>64.9</v>
      </c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</row>
    <row r="748">
      <c r="A748" s="55"/>
      <c r="B748" s="55"/>
      <c r="C748" s="55"/>
      <c r="D748" s="55"/>
      <c r="E748" s="97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242" t="s">
        <v>1065</v>
      </c>
      <c r="AK748" s="242" t="s">
        <v>292</v>
      </c>
      <c r="AL748" s="243">
        <v>1490.0</v>
      </c>
      <c r="AM748" s="243">
        <v>64.9</v>
      </c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</row>
    <row r="749">
      <c r="A749" s="55"/>
      <c r="B749" s="55"/>
      <c r="C749" s="55"/>
      <c r="D749" s="55"/>
      <c r="E749" s="97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240" t="s">
        <v>1066</v>
      </c>
      <c r="AK749" s="240" t="s">
        <v>292</v>
      </c>
      <c r="AL749" s="241">
        <v>8726.0</v>
      </c>
      <c r="AM749" s="241">
        <v>21.9</v>
      </c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</row>
    <row r="750">
      <c r="A750" s="55"/>
      <c r="B750" s="55"/>
      <c r="C750" s="55"/>
      <c r="D750" s="55"/>
      <c r="E750" s="97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242" t="s">
        <v>1067</v>
      </c>
      <c r="AK750" s="242" t="s">
        <v>292</v>
      </c>
      <c r="AL750" s="243">
        <v>4593.0</v>
      </c>
      <c r="AM750" s="243">
        <v>21.9</v>
      </c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</row>
    <row r="751">
      <c r="A751" s="55"/>
      <c r="B751" s="55"/>
      <c r="C751" s="55"/>
      <c r="D751" s="55"/>
      <c r="E751" s="97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240" t="s">
        <v>1068</v>
      </c>
      <c r="AK751" s="240" t="s">
        <v>292</v>
      </c>
      <c r="AL751" s="241">
        <v>8727.0</v>
      </c>
      <c r="AM751" s="241">
        <v>27.9</v>
      </c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</row>
    <row r="752">
      <c r="A752" s="55"/>
      <c r="B752" s="55"/>
      <c r="C752" s="55"/>
      <c r="D752" s="55"/>
      <c r="E752" s="97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242" t="s">
        <v>1069</v>
      </c>
      <c r="AK752" s="242" t="s">
        <v>292</v>
      </c>
      <c r="AL752" s="243">
        <v>8728.0</v>
      </c>
      <c r="AM752" s="243">
        <v>19.9</v>
      </c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</row>
    <row r="753">
      <c r="A753" s="55"/>
      <c r="B753" s="55"/>
      <c r="C753" s="55"/>
      <c r="D753" s="55"/>
      <c r="E753" s="97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240" t="s">
        <v>1070</v>
      </c>
      <c r="AK753" s="240" t="s">
        <v>292</v>
      </c>
      <c r="AL753" s="241">
        <v>8729.0</v>
      </c>
      <c r="AM753" s="241">
        <v>29.9</v>
      </c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</row>
    <row r="754">
      <c r="A754" s="55"/>
      <c r="B754" s="55"/>
      <c r="C754" s="55"/>
      <c r="D754" s="55"/>
      <c r="E754" s="97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242" t="s">
        <v>1071</v>
      </c>
      <c r="AK754" s="242" t="s">
        <v>275</v>
      </c>
      <c r="AL754" s="243">
        <v>8964.0</v>
      </c>
      <c r="AM754" s="243">
        <v>21.9</v>
      </c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</row>
    <row r="755">
      <c r="A755" s="55"/>
      <c r="B755" s="55"/>
      <c r="C755" s="55"/>
      <c r="D755" s="55"/>
      <c r="E755" s="97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240" t="s">
        <v>380</v>
      </c>
      <c r="AK755" s="240" t="s">
        <v>275</v>
      </c>
      <c r="AL755" s="241">
        <v>8962.0</v>
      </c>
      <c r="AM755" s="241">
        <v>21.9</v>
      </c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</row>
    <row r="756">
      <c r="A756" s="55"/>
      <c r="B756" s="55"/>
      <c r="C756" s="55"/>
      <c r="D756" s="55"/>
      <c r="E756" s="97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242" t="s">
        <v>1072</v>
      </c>
      <c r="AK756" s="242" t="s">
        <v>292</v>
      </c>
      <c r="AL756" s="243">
        <v>8960.0</v>
      </c>
      <c r="AM756" s="243">
        <v>0.0</v>
      </c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</row>
    <row r="757">
      <c r="A757" s="55"/>
      <c r="B757" s="55"/>
      <c r="C757" s="55"/>
      <c r="D757" s="55"/>
      <c r="E757" s="97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240" t="s">
        <v>1073</v>
      </c>
      <c r="AK757" s="240" t="s">
        <v>292</v>
      </c>
      <c r="AL757" s="241">
        <v>8759.0</v>
      </c>
      <c r="AM757" s="241">
        <v>19.9</v>
      </c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</row>
    <row r="758">
      <c r="A758" s="55"/>
      <c r="B758" s="55"/>
      <c r="C758" s="55"/>
      <c r="D758" s="55"/>
      <c r="E758" s="97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242" t="s">
        <v>1074</v>
      </c>
      <c r="AK758" s="242" t="s">
        <v>292</v>
      </c>
      <c r="AL758" s="243">
        <v>8769.0</v>
      </c>
      <c r="AM758" s="243">
        <v>39.9</v>
      </c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</row>
    <row r="759">
      <c r="A759" s="55"/>
      <c r="B759" s="55"/>
      <c r="C759" s="55"/>
      <c r="D759" s="55"/>
      <c r="E759" s="97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240" t="s">
        <v>1075</v>
      </c>
      <c r="AK759" s="240" t="s">
        <v>275</v>
      </c>
      <c r="AL759" s="241">
        <v>9125.0</v>
      </c>
      <c r="AM759" s="241">
        <v>28.9</v>
      </c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</row>
    <row r="760">
      <c r="A760" s="55"/>
      <c r="B760" s="55"/>
      <c r="C760" s="55"/>
      <c r="D760" s="55"/>
      <c r="E760" s="97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242" t="s">
        <v>1076</v>
      </c>
      <c r="AK760" s="242" t="s">
        <v>275</v>
      </c>
      <c r="AL760" s="243">
        <v>9126.0</v>
      </c>
      <c r="AM760" s="243">
        <v>0.0</v>
      </c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</row>
    <row r="761">
      <c r="A761" s="55"/>
      <c r="B761" s="55"/>
      <c r="C761" s="55"/>
      <c r="D761" s="55"/>
      <c r="E761" s="97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240" t="s">
        <v>394</v>
      </c>
      <c r="AK761" s="240" t="s">
        <v>275</v>
      </c>
      <c r="AL761" s="241">
        <v>9129.0</v>
      </c>
      <c r="AM761" s="241">
        <v>29.9</v>
      </c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</row>
    <row r="762">
      <c r="A762" s="55"/>
      <c r="B762" s="55"/>
      <c r="C762" s="55"/>
      <c r="D762" s="55"/>
      <c r="E762" s="97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242" t="s">
        <v>1077</v>
      </c>
      <c r="AK762" s="242" t="s">
        <v>292</v>
      </c>
      <c r="AL762" s="243">
        <v>8782.0</v>
      </c>
      <c r="AM762" s="243">
        <v>24.9</v>
      </c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</row>
    <row r="763">
      <c r="A763" s="55"/>
      <c r="B763" s="55"/>
      <c r="C763" s="55"/>
      <c r="D763" s="55"/>
      <c r="E763" s="97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240" t="s">
        <v>367</v>
      </c>
      <c r="AK763" s="240" t="s">
        <v>292</v>
      </c>
      <c r="AL763" s="241">
        <v>8789.0</v>
      </c>
      <c r="AM763" s="241">
        <v>39.9</v>
      </c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</row>
    <row r="764">
      <c r="A764" s="55"/>
      <c r="B764" s="55"/>
      <c r="C764" s="55"/>
      <c r="D764" s="55"/>
      <c r="E764" s="97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242" t="s">
        <v>1078</v>
      </c>
      <c r="AK764" s="242" t="s">
        <v>275</v>
      </c>
      <c r="AL764" s="243">
        <v>9120.0</v>
      </c>
      <c r="AM764" s="243">
        <v>21.9</v>
      </c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</row>
    <row r="765">
      <c r="A765" s="55"/>
      <c r="B765" s="55"/>
      <c r="C765" s="55"/>
      <c r="D765" s="55"/>
      <c r="E765" s="97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240" t="s">
        <v>1079</v>
      </c>
      <c r="AK765" s="240" t="s">
        <v>292</v>
      </c>
      <c r="AL765" s="241">
        <v>8790.0</v>
      </c>
      <c r="AM765" s="241">
        <v>59.9</v>
      </c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</row>
    <row r="766">
      <c r="A766" s="55"/>
      <c r="B766" s="55"/>
      <c r="C766" s="55"/>
      <c r="D766" s="55"/>
      <c r="E766" s="97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242" t="s">
        <v>1080</v>
      </c>
      <c r="AK766" s="242" t="s">
        <v>292</v>
      </c>
      <c r="AL766" s="243">
        <v>8791.0</v>
      </c>
      <c r="AM766" s="243">
        <v>29.9</v>
      </c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</row>
    <row r="767">
      <c r="A767" s="55"/>
      <c r="B767" s="55"/>
      <c r="C767" s="55"/>
      <c r="D767" s="55"/>
      <c r="E767" s="97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240" t="s">
        <v>1081</v>
      </c>
      <c r="AK767" s="240" t="s">
        <v>292</v>
      </c>
      <c r="AL767" s="241">
        <v>102528.0</v>
      </c>
      <c r="AM767" s="241">
        <v>29.9</v>
      </c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</row>
    <row r="768">
      <c r="A768" s="55"/>
      <c r="B768" s="55"/>
      <c r="C768" s="55"/>
      <c r="D768" s="55"/>
      <c r="E768" s="97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242" t="s">
        <v>1082</v>
      </c>
      <c r="AK768" s="242" t="s">
        <v>292</v>
      </c>
      <c r="AL768" s="243">
        <v>8801.0</v>
      </c>
      <c r="AM768" s="243">
        <v>39.9</v>
      </c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</row>
    <row r="769">
      <c r="A769" s="55"/>
      <c r="B769" s="55"/>
      <c r="C769" s="55"/>
      <c r="D769" s="55"/>
      <c r="E769" s="97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240" t="s">
        <v>1083</v>
      </c>
      <c r="AK769" s="240" t="s">
        <v>292</v>
      </c>
      <c r="AL769" s="241">
        <v>111271.0</v>
      </c>
      <c r="AM769" s="241">
        <v>39.9</v>
      </c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</row>
    <row r="770">
      <c r="A770" s="55"/>
      <c r="B770" s="55"/>
      <c r="C770" s="55"/>
      <c r="D770" s="55"/>
      <c r="E770" s="97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242" t="s">
        <v>341</v>
      </c>
      <c r="AK770" s="242" t="s">
        <v>292</v>
      </c>
      <c r="AL770" s="243">
        <v>8804.0</v>
      </c>
      <c r="AM770" s="243">
        <v>49.9</v>
      </c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</row>
    <row r="771">
      <c r="A771" s="55"/>
      <c r="B771" s="55"/>
      <c r="C771" s="55"/>
      <c r="D771" s="55"/>
      <c r="E771" s="97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240" t="s">
        <v>1084</v>
      </c>
      <c r="AK771" s="240" t="s">
        <v>292</v>
      </c>
      <c r="AL771" s="241">
        <v>8821.0</v>
      </c>
      <c r="AM771" s="241">
        <v>49.9</v>
      </c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</row>
    <row r="772">
      <c r="A772" s="55"/>
      <c r="B772" s="55"/>
      <c r="C772" s="55"/>
      <c r="D772" s="55"/>
      <c r="E772" s="97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242" t="s">
        <v>1085</v>
      </c>
      <c r="AK772" s="242" t="s">
        <v>292</v>
      </c>
      <c r="AL772" s="243">
        <v>93965.0</v>
      </c>
      <c r="AM772" s="243">
        <v>49.9</v>
      </c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</row>
    <row r="773">
      <c r="A773" s="55"/>
      <c r="B773" s="55"/>
      <c r="C773" s="55"/>
      <c r="D773" s="55"/>
      <c r="E773" s="97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240" t="s">
        <v>1086</v>
      </c>
      <c r="AK773" s="240" t="s">
        <v>292</v>
      </c>
      <c r="AL773" s="241">
        <v>8824.0</v>
      </c>
      <c r="AM773" s="241">
        <v>69.9</v>
      </c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</row>
    <row r="774">
      <c r="A774" s="55"/>
      <c r="B774" s="55"/>
      <c r="C774" s="55"/>
      <c r="D774" s="55"/>
      <c r="E774" s="97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242" t="s">
        <v>1087</v>
      </c>
      <c r="AK774" s="242" t="s">
        <v>292</v>
      </c>
      <c r="AL774" s="243">
        <v>6435.0</v>
      </c>
      <c r="AM774" s="243">
        <v>69.9</v>
      </c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</row>
    <row r="775">
      <c r="A775" s="55"/>
      <c r="B775" s="55"/>
      <c r="C775" s="55"/>
      <c r="D775" s="55"/>
      <c r="E775" s="97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240" t="s">
        <v>1088</v>
      </c>
      <c r="AK775" s="240" t="s">
        <v>292</v>
      </c>
      <c r="AL775" s="241">
        <v>8829.0</v>
      </c>
      <c r="AM775" s="241">
        <v>82.35</v>
      </c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</row>
    <row r="776">
      <c r="A776" s="55"/>
      <c r="B776" s="55"/>
      <c r="C776" s="55"/>
      <c r="D776" s="55"/>
      <c r="E776" s="97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242" t="s">
        <v>1089</v>
      </c>
      <c r="AK776" s="242" t="s">
        <v>292</v>
      </c>
      <c r="AL776" s="243">
        <v>6437.0</v>
      </c>
      <c r="AM776" s="243">
        <v>69.9</v>
      </c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</row>
    <row r="777">
      <c r="A777" s="55"/>
      <c r="B777" s="55"/>
      <c r="C777" s="55"/>
      <c r="D777" s="55"/>
      <c r="E777" s="97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240" t="s">
        <v>350</v>
      </c>
      <c r="AK777" s="240" t="s">
        <v>292</v>
      </c>
      <c r="AL777" s="241">
        <v>8834.0</v>
      </c>
      <c r="AM777" s="241">
        <v>63.9</v>
      </c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</row>
    <row r="778">
      <c r="A778" s="55"/>
      <c r="B778" s="55"/>
      <c r="C778" s="55"/>
      <c r="D778" s="55"/>
      <c r="E778" s="97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242" t="s">
        <v>353</v>
      </c>
      <c r="AK778" s="242" t="s">
        <v>292</v>
      </c>
      <c r="AL778" s="243">
        <v>8837.0</v>
      </c>
      <c r="AM778" s="243">
        <v>69.9</v>
      </c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</row>
    <row r="779">
      <c r="A779" s="55"/>
      <c r="B779" s="55"/>
      <c r="C779" s="55"/>
      <c r="D779" s="55"/>
      <c r="E779" s="97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240" t="s">
        <v>387</v>
      </c>
      <c r="AK779" s="240" t="s">
        <v>275</v>
      </c>
      <c r="AL779" s="241">
        <v>9123.0</v>
      </c>
      <c r="AM779" s="241">
        <v>0.0</v>
      </c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</row>
    <row r="780">
      <c r="A780" s="55"/>
      <c r="B780" s="55"/>
      <c r="C780" s="55"/>
      <c r="D780" s="55"/>
      <c r="E780" s="97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242" t="s">
        <v>1090</v>
      </c>
      <c r="AK780" s="242" t="s">
        <v>275</v>
      </c>
      <c r="AL780" s="243">
        <v>9122.0</v>
      </c>
      <c r="AM780" s="243">
        <v>0.0</v>
      </c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</row>
    <row r="781">
      <c r="A781" s="55"/>
      <c r="B781" s="55"/>
      <c r="C781" s="55"/>
      <c r="D781" s="55"/>
      <c r="E781" s="97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240" t="s">
        <v>370</v>
      </c>
      <c r="AK781" s="240" t="s">
        <v>292</v>
      </c>
      <c r="AL781" s="241">
        <v>8839.0</v>
      </c>
      <c r="AM781" s="241">
        <v>24.9</v>
      </c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</row>
    <row r="782">
      <c r="A782" s="55"/>
      <c r="B782" s="55"/>
      <c r="C782" s="55"/>
      <c r="D782" s="55"/>
      <c r="E782" s="97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242" t="s">
        <v>1091</v>
      </c>
      <c r="AK782" s="242" t="s">
        <v>275</v>
      </c>
      <c r="AL782" s="243">
        <v>8846.0</v>
      </c>
      <c r="AM782" s="243">
        <v>69.9</v>
      </c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</row>
    <row r="783">
      <c r="A783" s="55"/>
      <c r="B783" s="55"/>
      <c r="C783" s="55"/>
      <c r="D783" s="55"/>
      <c r="E783" s="97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240" t="s">
        <v>1092</v>
      </c>
      <c r="AK783" s="240" t="s">
        <v>275</v>
      </c>
      <c r="AL783" s="241">
        <v>360494.0</v>
      </c>
      <c r="AM783" s="241">
        <v>69.9</v>
      </c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</row>
    <row r="784">
      <c r="A784" s="55"/>
      <c r="B784" s="55"/>
      <c r="C784" s="55"/>
      <c r="D784" s="55"/>
      <c r="E784" s="97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242" t="s">
        <v>1093</v>
      </c>
      <c r="AK784" s="242" t="s">
        <v>292</v>
      </c>
      <c r="AL784" s="243">
        <v>8847.0</v>
      </c>
      <c r="AM784" s="243">
        <v>69.9</v>
      </c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</row>
    <row r="785">
      <c r="A785" s="55"/>
      <c r="B785" s="55"/>
      <c r="C785" s="55"/>
      <c r="D785" s="55"/>
      <c r="E785" s="97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240" t="s">
        <v>1094</v>
      </c>
      <c r="AK785" s="240" t="s">
        <v>292</v>
      </c>
      <c r="AL785" s="241">
        <v>8854.0</v>
      </c>
      <c r="AM785" s="241">
        <v>99.9</v>
      </c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</row>
    <row r="786">
      <c r="A786" s="55"/>
      <c r="B786" s="55"/>
      <c r="C786" s="55"/>
      <c r="D786" s="55"/>
      <c r="E786" s="97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242" t="s">
        <v>1095</v>
      </c>
      <c r="AK786" s="242" t="s">
        <v>292</v>
      </c>
      <c r="AL786" s="243">
        <v>6768.0</v>
      </c>
      <c r="AM786" s="243">
        <v>99.9</v>
      </c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</row>
    <row r="787">
      <c r="A787" s="55"/>
      <c r="B787" s="55"/>
      <c r="C787" s="55"/>
      <c r="D787" s="55"/>
      <c r="E787" s="97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240" t="s">
        <v>1096</v>
      </c>
      <c r="AK787" s="240" t="s">
        <v>292</v>
      </c>
      <c r="AL787" s="241">
        <v>8855.0</v>
      </c>
      <c r="AM787" s="241">
        <v>109.9</v>
      </c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</row>
    <row r="788">
      <c r="A788" s="55"/>
      <c r="B788" s="55"/>
      <c r="C788" s="55"/>
      <c r="D788" s="55"/>
      <c r="E788" s="97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242" t="s">
        <v>1097</v>
      </c>
      <c r="AK788" s="242" t="s">
        <v>292</v>
      </c>
      <c r="AL788" s="243">
        <v>2829.0</v>
      </c>
      <c r="AM788" s="243">
        <v>109.9</v>
      </c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</row>
    <row r="789">
      <c r="A789" s="55"/>
      <c r="B789" s="55"/>
      <c r="C789" s="55"/>
      <c r="D789" s="55"/>
      <c r="E789" s="97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240" t="s">
        <v>1098</v>
      </c>
      <c r="AK789" s="240" t="s">
        <v>292</v>
      </c>
      <c r="AL789" s="241">
        <v>8862.0</v>
      </c>
      <c r="AM789" s="241">
        <v>59.9</v>
      </c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</row>
    <row r="790">
      <c r="A790" s="55"/>
      <c r="B790" s="55"/>
      <c r="C790" s="55"/>
      <c r="D790" s="55"/>
      <c r="E790" s="97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242" t="s">
        <v>1099</v>
      </c>
      <c r="AK790" s="242" t="s">
        <v>292</v>
      </c>
      <c r="AL790" s="243">
        <v>8863.0</v>
      </c>
      <c r="AM790" s="243">
        <v>69.9</v>
      </c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</row>
    <row r="791">
      <c r="A791" s="55"/>
      <c r="B791" s="55"/>
      <c r="C791" s="55"/>
      <c r="D791" s="55"/>
      <c r="E791" s="97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240" t="s">
        <v>1100</v>
      </c>
      <c r="AK791" s="240" t="s">
        <v>292</v>
      </c>
      <c r="AL791" s="241">
        <v>8872.0</v>
      </c>
      <c r="AM791" s="241">
        <v>63.9</v>
      </c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</row>
    <row r="792">
      <c r="A792" s="55"/>
      <c r="B792" s="55"/>
      <c r="C792" s="55"/>
      <c r="D792" s="55"/>
      <c r="E792" s="97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242" t="s">
        <v>381</v>
      </c>
      <c r="AK792" s="242" t="s">
        <v>292</v>
      </c>
      <c r="AL792" s="243">
        <v>8523.0</v>
      </c>
      <c r="AM792" s="243">
        <v>54.9</v>
      </c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</row>
    <row r="793">
      <c r="A793" s="55"/>
      <c r="B793" s="55"/>
      <c r="C793" s="55"/>
      <c r="D793" s="55"/>
      <c r="E793" s="97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240" t="s">
        <v>1101</v>
      </c>
      <c r="AK793" s="240" t="s">
        <v>292</v>
      </c>
      <c r="AL793" s="241">
        <v>8874.0</v>
      </c>
      <c r="AM793" s="241">
        <v>37.9</v>
      </c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</row>
    <row r="794">
      <c r="A794" s="55"/>
      <c r="B794" s="55"/>
      <c r="C794" s="55"/>
      <c r="D794" s="55"/>
      <c r="E794" s="97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242" t="s">
        <v>1102</v>
      </c>
      <c r="AK794" s="242" t="s">
        <v>292</v>
      </c>
      <c r="AL794" s="243">
        <v>96167.0</v>
      </c>
      <c r="AM794" s="243">
        <v>34.9</v>
      </c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</row>
    <row r="795">
      <c r="A795" s="55"/>
      <c r="B795" s="55"/>
      <c r="C795" s="55"/>
      <c r="D795" s="55"/>
      <c r="E795" s="97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240" t="s">
        <v>1103</v>
      </c>
      <c r="AK795" s="240" t="s">
        <v>292</v>
      </c>
      <c r="AL795" s="241">
        <v>8895.0</v>
      </c>
      <c r="AM795" s="241">
        <v>49.9</v>
      </c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</row>
    <row r="796">
      <c r="A796" s="55"/>
      <c r="B796" s="55"/>
      <c r="C796" s="55"/>
      <c r="D796" s="55"/>
      <c r="E796" s="97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242" t="s">
        <v>299</v>
      </c>
      <c r="AK796" s="242" t="s">
        <v>292</v>
      </c>
      <c r="AL796" s="243">
        <v>8900.0</v>
      </c>
      <c r="AM796" s="243">
        <v>44.9</v>
      </c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</row>
    <row r="797">
      <c r="A797" s="55"/>
      <c r="B797" s="55"/>
      <c r="C797" s="55"/>
      <c r="D797" s="55"/>
      <c r="E797" s="97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240" t="s">
        <v>1104</v>
      </c>
      <c r="AK797" s="240" t="s">
        <v>292</v>
      </c>
      <c r="AL797" s="241">
        <v>8898.0</v>
      </c>
      <c r="AM797" s="241">
        <v>39.9</v>
      </c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</row>
    <row r="798">
      <c r="A798" s="55"/>
      <c r="B798" s="55"/>
      <c r="C798" s="55"/>
      <c r="D798" s="55"/>
      <c r="E798" s="97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242" t="s">
        <v>1105</v>
      </c>
      <c r="AK798" s="242" t="s">
        <v>292</v>
      </c>
      <c r="AL798" s="243">
        <v>1669.0</v>
      </c>
      <c r="AM798" s="243">
        <v>39.9</v>
      </c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</row>
    <row r="799">
      <c r="A799" s="55"/>
      <c r="B799" s="55"/>
      <c r="C799" s="55"/>
      <c r="D799" s="55"/>
      <c r="E799" s="97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240" t="s">
        <v>1106</v>
      </c>
      <c r="AK799" s="240" t="s">
        <v>292</v>
      </c>
      <c r="AL799" s="241">
        <v>8542.0</v>
      </c>
      <c r="AM799" s="241">
        <v>63.9</v>
      </c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</row>
    <row r="800">
      <c r="A800" s="55"/>
      <c r="B800" s="55"/>
      <c r="C800" s="55"/>
      <c r="D800" s="55"/>
      <c r="E800" s="97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242" t="s">
        <v>1107</v>
      </c>
      <c r="AK800" s="242" t="s">
        <v>292</v>
      </c>
      <c r="AL800" s="243">
        <v>8543.0</v>
      </c>
      <c r="AM800" s="243">
        <v>59.9</v>
      </c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</row>
    <row r="801">
      <c r="A801" s="55"/>
      <c r="B801" s="55"/>
      <c r="C801" s="55"/>
      <c r="D801" s="55"/>
      <c r="E801" s="97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240" t="s">
        <v>1108</v>
      </c>
      <c r="AK801" s="240" t="s">
        <v>292</v>
      </c>
      <c r="AL801" s="241">
        <v>6872.0</v>
      </c>
      <c r="AM801" s="241">
        <v>46.9</v>
      </c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</row>
    <row r="802">
      <c r="A802" s="55"/>
      <c r="B802" s="55"/>
      <c r="C802" s="55"/>
      <c r="D802" s="55"/>
      <c r="E802" s="97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242" t="s">
        <v>1109</v>
      </c>
      <c r="AK802" s="242" t="s">
        <v>275</v>
      </c>
      <c r="AL802" s="243">
        <v>6925.0</v>
      </c>
      <c r="AM802" s="243">
        <v>39.9</v>
      </c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</row>
    <row r="803">
      <c r="A803" s="55"/>
      <c r="B803" s="55"/>
      <c r="C803" s="55"/>
      <c r="D803" s="55"/>
      <c r="E803" s="97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240" t="s">
        <v>1110</v>
      </c>
      <c r="AK803" s="240" t="s">
        <v>292</v>
      </c>
      <c r="AL803" s="241">
        <v>5988.0</v>
      </c>
      <c r="AM803" s="241">
        <v>59.9</v>
      </c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</row>
    <row r="804">
      <c r="A804" s="55"/>
      <c r="B804" s="55"/>
      <c r="C804" s="55"/>
      <c r="D804" s="55"/>
      <c r="E804" s="97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242" t="s">
        <v>1111</v>
      </c>
      <c r="AK804" s="242" t="s">
        <v>292</v>
      </c>
      <c r="AL804" s="243">
        <v>5932.0</v>
      </c>
      <c r="AM804" s="243">
        <v>39.9</v>
      </c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</row>
    <row r="805">
      <c r="A805" s="55"/>
      <c r="B805" s="55"/>
      <c r="C805" s="55"/>
      <c r="D805" s="55"/>
      <c r="E805" s="97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240" t="s">
        <v>1112</v>
      </c>
      <c r="AK805" s="240" t="s">
        <v>292</v>
      </c>
      <c r="AL805" s="241">
        <v>5937.0</v>
      </c>
      <c r="AM805" s="241">
        <v>32.9</v>
      </c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</row>
    <row r="806">
      <c r="A806" s="55"/>
      <c r="B806" s="55"/>
      <c r="C806" s="55"/>
      <c r="D806" s="55"/>
      <c r="E806" s="97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242" t="s">
        <v>1113</v>
      </c>
      <c r="AK806" s="242" t="s">
        <v>292</v>
      </c>
      <c r="AL806" s="243">
        <v>5933.0</v>
      </c>
      <c r="AM806" s="243">
        <v>34.9</v>
      </c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</row>
    <row r="807">
      <c r="A807" s="55"/>
      <c r="B807" s="55"/>
      <c r="C807" s="55"/>
      <c r="D807" s="55"/>
      <c r="E807" s="97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240" t="s">
        <v>1114</v>
      </c>
      <c r="AK807" s="240" t="s">
        <v>292</v>
      </c>
      <c r="AL807" s="241">
        <v>93444.0</v>
      </c>
      <c r="AM807" s="241">
        <v>69.9</v>
      </c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</row>
    <row r="808">
      <c r="A808" s="55"/>
      <c r="B808" s="55"/>
      <c r="C808" s="55"/>
      <c r="D808" s="55"/>
      <c r="E808" s="97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242" t="s">
        <v>1115</v>
      </c>
      <c r="AK808" s="242" t="s">
        <v>292</v>
      </c>
      <c r="AL808" s="243">
        <v>5768.0</v>
      </c>
      <c r="AM808" s="243">
        <v>64.9</v>
      </c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</row>
    <row r="809">
      <c r="A809" s="55"/>
      <c r="B809" s="55"/>
      <c r="C809" s="55"/>
      <c r="D809" s="55"/>
      <c r="E809" s="97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240" t="s">
        <v>1116</v>
      </c>
      <c r="AK809" s="240" t="s">
        <v>292</v>
      </c>
      <c r="AL809" s="241">
        <v>6910.0</v>
      </c>
      <c r="AM809" s="241">
        <v>49.9</v>
      </c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</row>
    <row r="810">
      <c r="A810" s="55"/>
      <c r="B810" s="55"/>
      <c r="C810" s="55"/>
      <c r="D810" s="55"/>
      <c r="E810" s="97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242" t="s">
        <v>1117</v>
      </c>
      <c r="AK810" s="242" t="s">
        <v>292</v>
      </c>
      <c r="AL810" s="243">
        <v>5935.0</v>
      </c>
      <c r="AM810" s="243">
        <v>54.9</v>
      </c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</row>
    <row r="811">
      <c r="A811" s="55"/>
      <c r="B811" s="55"/>
      <c r="C811" s="55"/>
      <c r="D811" s="55"/>
      <c r="E811" s="97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240" t="s">
        <v>1118</v>
      </c>
      <c r="AK811" s="240" t="s">
        <v>292</v>
      </c>
      <c r="AL811" s="241">
        <v>1859.0</v>
      </c>
      <c r="AM811" s="241">
        <v>79.9</v>
      </c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</row>
    <row r="812">
      <c r="A812" s="55"/>
      <c r="B812" s="55"/>
      <c r="C812" s="55"/>
      <c r="D812" s="55"/>
      <c r="E812" s="97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242" t="s">
        <v>1119</v>
      </c>
      <c r="AK812" s="242" t="s">
        <v>292</v>
      </c>
      <c r="AL812" s="243">
        <v>6875.0</v>
      </c>
      <c r="AM812" s="243">
        <v>49.9</v>
      </c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</row>
    <row r="813">
      <c r="A813" s="55"/>
      <c r="B813" s="55"/>
      <c r="C813" s="55"/>
      <c r="D813" s="55"/>
      <c r="E813" s="97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240" t="s">
        <v>1120</v>
      </c>
      <c r="AK813" s="240" t="s">
        <v>292</v>
      </c>
      <c r="AL813" s="241">
        <v>6906.0</v>
      </c>
      <c r="AM813" s="241">
        <v>39.9</v>
      </c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</row>
    <row r="814">
      <c r="A814" s="55"/>
      <c r="B814" s="55"/>
      <c r="C814" s="55"/>
      <c r="D814" s="55"/>
      <c r="E814" s="97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242" t="s">
        <v>1121</v>
      </c>
      <c r="AK814" s="242" t="s">
        <v>292</v>
      </c>
      <c r="AL814" s="243">
        <v>6896.0</v>
      </c>
      <c r="AM814" s="243">
        <v>32.9</v>
      </c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</row>
    <row r="815">
      <c r="A815" s="55"/>
      <c r="B815" s="55"/>
      <c r="C815" s="55"/>
      <c r="D815" s="55"/>
      <c r="E815" s="97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240" t="s">
        <v>1122</v>
      </c>
      <c r="AK815" s="240" t="s">
        <v>275</v>
      </c>
      <c r="AL815" s="241">
        <v>6904.0</v>
      </c>
      <c r="AM815" s="241">
        <v>18.9</v>
      </c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</row>
    <row r="816">
      <c r="A816" s="55"/>
      <c r="B816" s="55"/>
      <c r="C816" s="55"/>
      <c r="D816" s="55"/>
      <c r="E816" s="97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242" t="s">
        <v>329</v>
      </c>
      <c r="AK816" s="242" t="s">
        <v>292</v>
      </c>
      <c r="AL816" s="243">
        <v>6873.0</v>
      </c>
      <c r="AM816" s="243">
        <v>54.9</v>
      </c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</row>
    <row r="817">
      <c r="A817" s="55"/>
      <c r="B817" s="55"/>
      <c r="C817" s="55"/>
      <c r="D817" s="55"/>
      <c r="E817" s="97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240" t="s">
        <v>1123</v>
      </c>
      <c r="AK817" s="240" t="s">
        <v>292</v>
      </c>
      <c r="AL817" s="241">
        <v>5974.0</v>
      </c>
      <c r="AM817" s="241">
        <v>68.9</v>
      </c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</row>
    <row r="818">
      <c r="A818" s="55"/>
      <c r="B818" s="55"/>
      <c r="C818" s="55"/>
      <c r="D818" s="55"/>
      <c r="E818" s="97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242" t="s">
        <v>1124</v>
      </c>
      <c r="AK818" s="242" t="s">
        <v>292</v>
      </c>
      <c r="AL818" s="243">
        <v>1857.0</v>
      </c>
      <c r="AM818" s="243">
        <v>94.9</v>
      </c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</row>
    <row r="819">
      <c r="A819" s="55"/>
      <c r="B819" s="55"/>
      <c r="C819" s="55"/>
      <c r="D819" s="55"/>
      <c r="E819" s="97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240" t="s">
        <v>1125</v>
      </c>
      <c r="AK819" s="240" t="s">
        <v>292</v>
      </c>
      <c r="AL819" s="241">
        <v>6077.0</v>
      </c>
      <c r="AM819" s="241">
        <v>44.9</v>
      </c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</row>
    <row r="820">
      <c r="A820" s="55"/>
      <c r="B820" s="55"/>
      <c r="C820" s="55"/>
      <c r="D820" s="55"/>
      <c r="E820" s="97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242" t="s">
        <v>1126</v>
      </c>
      <c r="AK820" s="242" t="s">
        <v>292</v>
      </c>
      <c r="AL820" s="243">
        <v>5975.0</v>
      </c>
      <c r="AM820" s="243">
        <v>109.9</v>
      </c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</row>
    <row r="821">
      <c r="A821" s="55"/>
      <c r="B821" s="55"/>
      <c r="C821" s="55"/>
      <c r="D821" s="55"/>
      <c r="E821" s="97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240" t="s">
        <v>1127</v>
      </c>
      <c r="AK821" s="240" t="s">
        <v>292</v>
      </c>
      <c r="AL821" s="241">
        <v>2764.0</v>
      </c>
      <c r="AM821" s="241">
        <v>49.9</v>
      </c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</row>
    <row r="822">
      <c r="A822" s="55"/>
      <c r="B822" s="55"/>
      <c r="C822" s="55"/>
      <c r="D822" s="55"/>
      <c r="E822" s="97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242" t="s">
        <v>405</v>
      </c>
      <c r="AK822" s="242" t="s">
        <v>292</v>
      </c>
      <c r="AL822" s="243">
        <v>6879.0</v>
      </c>
      <c r="AM822" s="243">
        <v>69.9</v>
      </c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</row>
    <row r="823">
      <c r="A823" s="55"/>
      <c r="B823" s="55"/>
      <c r="C823" s="55"/>
      <c r="D823" s="55"/>
      <c r="E823" s="97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240" t="s">
        <v>1128</v>
      </c>
      <c r="AK823" s="240" t="s">
        <v>292</v>
      </c>
      <c r="AL823" s="241">
        <v>5908.0</v>
      </c>
      <c r="AM823" s="241">
        <v>49.9</v>
      </c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</row>
    <row r="824">
      <c r="A824" s="55"/>
      <c r="B824" s="55"/>
      <c r="C824" s="55"/>
      <c r="D824" s="55"/>
      <c r="E824" s="97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242" t="s">
        <v>401</v>
      </c>
      <c r="AK824" s="242" t="s">
        <v>292</v>
      </c>
      <c r="AL824" s="243">
        <v>6878.0</v>
      </c>
      <c r="AM824" s="243">
        <v>63.9</v>
      </c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</row>
    <row r="825">
      <c r="A825" s="55"/>
      <c r="B825" s="55"/>
      <c r="C825" s="55"/>
      <c r="D825" s="55"/>
      <c r="E825" s="97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240" t="s">
        <v>409</v>
      </c>
      <c r="AK825" s="240" t="s">
        <v>292</v>
      </c>
      <c r="AL825" s="241">
        <v>2771.0</v>
      </c>
      <c r="AM825" s="241">
        <v>63.9</v>
      </c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</row>
    <row r="826">
      <c r="A826" s="55"/>
      <c r="B826" s="55"/>
      <c r="C826" s="55"/>
      <c r="D826" s="55"/>
      <c r="E826" s="97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242" t="s">
        <v>1129</v>
      </c>
      <c r="AK826" s="242" t="s">
        <v>292</v>
      </c>
      <c r="AL826" s="243">
        <v>6874.0</v>
      </c>
      <c r="AM826" s="243">
        <v>32.9</v>
      </c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</row>
    <row r="827">
      <c r="A827" s="55"/>
      <c r="B827" s="55"/>
      <c r="C827" s="55"/>
      <c r="D827" s="55"/>
      <c r="E827" s="97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240" t="s">
        <v>1130</v>
      </c>
      <c r="AK827" s="240" t="s">
        <v>292</v>
      </c>
      <c r="AL827" s="241">
        <v>6898.0</v>
      </c>
      <c r="AM827" s="241">
        <v>39.9</v>
      </c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</row>
    <row r="828">
      <c r="A828" s="55"/>
      <c r="B828" s="55"/>
      <c r="C828" s="55"/>
      <c r="D828" s="55"/>
      <c r="E828" s="97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242" t="s">
        <v>1131</v>
      </c>
      <c r="AK828" s="242" t="s">
        <v>292</v>
      </c>
      <c r="AL828" s="243">
        <v>3129.0</v>
      </c>
      <c r="AM828" s="243">
        <v>54.9</v>
      </c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</row>
    <row r="829">
      <c r="A829" s="55"/>
      <c r="B829" s="55"/>
      <c r="C829" s="55"/>
      <c r="D829" s="55"/>
      <c r="E829" s="97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240" t="s">
        <v>1132</v>
      </c>
      <c r="AK829" s="240" t="s">
        <v>275</v>
      </c>
      <c r="AL829" s="241">
        <v>6893.0</v>
      </c>
      <c r="AM829" s="241">
        <v>19.9</v>
      </c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</row>
    <row r="830">
      <c r="A830" s="55"/>
      <c r="B830" s="55"/>
      <c r="C830" s="55"/>
      <c r="D830" s="55"/>
      <c r="E830" s="97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242" t="s">
        <v>1133</v>
      </c>
      <c r="AK830" s="242" t="s">
        <v>275</v>
      </c>
      <c r="AL830" s="243">
        <v>5395.0</v>
      </c>
      <c r="AM830" s="243">
        <v>24.9</v>
      </c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</row>
    <row r="831">
      <c r="A831" s="55"/>
      <c r="B831" s="55"/>
      <c r="C831" s="55"/>
      <c r="D831" s="55"/>
      <c r="E831" s="97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240" t="s">
        <v>1134</v>
      </c>
      <c r="AK831" s="240" t="s">
        <v>275</v>
      </c>
      <c r="AL831" s="241">
        <v>6894.0</v>
      </c>
      <c r="AM831" s="241">
        <v>24.9</v>
      </c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</row>
    <row r="832">
      <c r="A832" s="55"/>
      <c r="B832" s="55"/>
      <c r="C832" s="55"/>
      <c r="D832" s="55"/>
      <c r="E832" s="97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242" t="s">
        <v>1135</v>
      </c>
      <c r="AK832" s="242" t="s">
        <v>275</v>
      </c>
      <c r="AL832" s="243">
        <v>6876.0</v>
      </c>
      <c r="AM832" s="243">
        <v>21.9</v>
      </c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</row>
    <row r="833">
      <c r="A833" s="55"/>
      <c r="B833" s="55"/>
      <c r="C833" s="55"/>
      <c r="D833" s="55"/>
      <c r="E833" s="97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240" t="s">
        <v>1136</v>
      </c>
      <c r="AK833" s="240" t="s">
        <v>292</v>
      </c>
      <c r="AL833" s="241">
        <v>5782.0</v>
      </c>
      <c r="AM833" s="241">
        <v>64.9</v>
      </c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</row>
    <row r="834">
      <c r="A834" s="55"/>
      <c r="B834" s="55"/>
      <c r="C834" s="55"/>
      <c r="D834" s="55"/>
      <c r="E834" s="97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242" t="s">
        <v>1137</v>
      </c>
      <c r="AK834" s="242" t="s">
        <v>292</v>
      </c>
      <c r="AL834" s="243">
        <v>5775.0</v>
      </c>
      <c r="AM834" s="243">
        <v>64.9</v>
      </c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</row>
    <row r="835">
      <c r="A835" s="55"/>
      <c r="B835" s="55"/>
      <c r="C835" s="55"/>
      <c r="D835" s="55"/>
      <c r="E835" s="97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240" t="s">
        <v>1138</v>
      </c>
      <c r="AK835" s="240" t="s">
        <v>292</v>
      </c>
      <c r="AL835" s="241">
        <v>1861.0</v>
      </c>
      <c r="AM835" s="241">
        <v>71.9</v>
      </c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</row>
    <row r="836">
      <c r="A836" s="55"/>
      <c r="B836" s="55"/>
      <c r="C836" s="55"/>
      <c r="D836" s="55"/>
      <c r="E836" s="97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242" t="s">
        <v>1139</v>
      </c>
      <c r="AK836" s="242" t="s">
        <v>292</v>
      </c>
      <c r="AL836" s="243">
        <v>8904.0</v>
      </c>
      <c r="AM836" s="243">
        <v>29.9</v>
      </c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</row>
    <row r="837">
      <c r="A837" s="55"/>
      <c r="B837" s="55"/>
      <c r="C837" s="55"/>
      <c r="D837" s="55"/>
      <c r="E837" s="97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240" t="s">
        <v>1140</v>
      </c>
      <c r="AK837" s="240" t="s">
        <v>275</v>
      </c>
      <c r="AL837" s="241">
        <v>8901.0</v>
      </c>
      <c r="AM837" s="241">
        <v>10.9</v>
      </c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</row>
    <row r="838">
      <c r="A838" s="55"/>
      <c r="B838" s="55"/>
      <c r="C838" s="55"/>
      <c r="D838" s="55"/>
      <c r="E838" s="97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242" t="s">
        <v>1141</v>
      </c>
      <c r="AK838" s="242" t="s">
        <v>275</v>
      </c>
      <c r="AL838" s="243">
        <v>360555.0</v>
      </c>
      <c r="AM838" s="243">
        <v>5.9</v>
      </c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</row>
    <row r="839">
      <c r="A839" s="55"/>
      <c r="B839" s="55"/>
      <c r="C839" s="55"/>
      <c r="D839" s="55"/>
      <c r="E839" s="97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240" t="s">
        <v>1142</v>
      </c>
      <c r="AK839" s="240" t="s">
        <v>292</v>
      </c>
      <c r="AL839" s="241">
        <v>8905.0</v>
      </c>
      <c r="AM839" s="241">
        <v>18.9</v>
      </c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</row>
    <row r="840">
      <c r="A840" s="55"/>
      <c r="B840" s="55"/>
      <c r="C840" s="55"/>
      <c r="D840" s="55"/>
      <c r="E840" s="97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242" t="s">
        <v>1143</v>
      </c>
      <c r="AK840" s="242" t="s">
        <v>292</v>
      </c>
      <c r="AL840" s="243">
        <v>8907.0</v>
      </c>
      <c r="AM840" s="243">
        <v>24.99</v>
      </c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</row>
    <row r="841">
      <c r="A841" s="55"/>
      <c r="B841" s="55"/>
      <c r="C841" s="55"/>
      <c r="D841" s="55"/>
      <c r="E841" s="97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240" t="s">
        <v>1144</v>
      </c>
      <c r="AK841" s="240" t="s">
        <v>292</v>
      </c>
      <c r="AL841" s="241">
        <v>8908.0</v>
      </c>
      <c r="AM841" s="241">
        <v>29.9</v>
      </c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</row>
    <row r="842">
      <c r="A842" s="55"/>
      <c r="B842" s="55"/>
      <c r="C842" s="55"/>
      <c r="D842" s="55"/>
      <c r="E842" s="97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242" t="s">
        <v>1145</v>
      </c>
      <c r="AK842" s="242" t="s">
        <v>292</v>
      </c>
      <c r="AL842" s="243">
        <v>7065.0</v>
      </c>
      <c r="AM842" s="243">
        <v>29.9</v>
      </c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</row>
    <row r="843">
      <c r="A843" s="55"/>
      <c r="B843" s="55"/>
      <c r="C843" s="55"/>
      <c r="D843" s="55"/>
      <c r="E843" s="97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240" t="s">
        <v>1146</v>
      </c>
      <c r="AK843" s="240" t="s">
        <v>292</v>
      </c>
      <c r="AL843" s="241">
        <v>7075.0</v>
      </c>
      <c r="AM843" s="241">
        <v>79.9</v>
      </c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</row>
    <row r="844">
      <c r="A844" s="55"/>
      <c r="B844" s="55"/>
      <c r="C844" s="55"/>
      <c r="D844" s="55"/>
      <c r="E844" s="97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242" t="s">
        <v>1122</v>
      </c>
      <c r="AK844" s="242" t="s">
        <v>275</v>
      </c>
      <c r="AL844" s="243">
        <v>6904.0</v>
      </c>
      <c r="AM844" s="243">
        <v>18.9</v>
      </c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</row>
    <row r="845">
      <c r="A845" s="55"/>
      <c r="B845" s="55"/>
      <c r="C845" s="55"/>
      <c r="D845" s="55"/>
      <c r="E845" s="97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240" t="s">
        <v>329</v>
      </c>
      <c r="AK845" s="240" t="s">
        <v>292</v>
      </c>
      <c r="AL845" s="241">
        <v>6873.0</v>
      </c>
      <c r="AM845" s="241">
        <v>54.9</v>
      </c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</row>
    <row r="846">
      <c r="A846" s="55"/>
      <c r="B846" s="55"/>
      <c r="C846" s="55"/>
      <c r="D846" s="55"/>
      <c r="E846" s="97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242" t="s">
        <v>1123</v>
      </c>
      <c r="AK846" s="242" t="s">
        <v>292</v>
      </c>
      <c r="AL846" s="243">
        <v>5974.0</v>
      </c>
      <c r="AM846" s="243">
        <v>68.9</v>
      </c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</row>
    <row r="847">
      <c r="A847" s="55"/>
      <c r="B847" s="55"/>
      <c r="C847" s="55"/>
      <c r="D847" s="55"/>
      <c r="E847" s="97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240" t="s">
        <v>1124</v>
      </c>
      <c r="AK847" s="240" t="s">
        <v>292</v>
      </c>
      <c r="AL847" s="241">
        <v>1857.0</v>
      </c>
      <c r="AM847" s="241">
        <v>59.9</v>
      </c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</row>
    <row r="848">
      <c r="A848" s="55"/>
      <c r="B848" s="55"/>
      <c r="C848" s="55"/>
      <c r="D848" s="55"/>
      <c r="E848" s="97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242" t="s">
        <v>1125</v>
      </c>
      <c r="AK848" s="242" t="s">
        <v>292</v>
      </c>
      <c r="AL848" s="243">
        <v>6077.0</v>
      </c>
      <c r="AM848" s="243">
        <v>44.9</v>
      </c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</row>
    <row r="849">
      <c r="A849" s="55"/>
      <c r="B849" s="55"/>
      <c r="C849" s="55"/>
      <c r="D849" s="55"/>
      <c r="E849" s="97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240" t="s">
        <v>1126</v>
      </c>
      <c r="AK849" s="240" t="s">
        <v>292</v>
      </c>
      <c r="AL849" s="241">
        <v>5975.0</v>
      </c>
      <c r="AM849" s="241">
        <v>109.9</v>
      </c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</row>
    <row r="850">
      <c r="A850" s="55"/>
      <c r="B850" s="55"/>
      <c r="C850" s="55"/>
      <c r="D850" s="55"/>
      <c r="E850" s="97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242" t="s">
        <v>1127</v>
      </c>
      <c r="AK850" s="242" t="s">
        <v>292</v>
      </c>
      <c r="AL850" s="243">
        <v>2764.0</v>
      </c>
      <c r="AM850" s="243">
        <v>49.9</v>
      </c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</row>
    <row r="851">
      <c r="A851" s="55"/>
      <c r="B851" s="55"/>
      <c r="C851" s="55"/>
      <c r="D851" s="55"/>
      <c r="E851" s="97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240" t="s">
        <v>405</v>
      </c>
      <c r="AK851" s="240" t="s">
        <v>292</v>
      </c>
      <c r="AL851" s="241">
        <v>6879.0</v>
      </c>
      <c r="AM851" s="241">
        <v>69.9</v>
      </c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</row>
    <row r="852">
      <c r="A852" s="55"/>
      <c r="B852" s="55"/>
      <c r="C852" s="55"/>
      <c r="D852" s="55"/>
      <c r="E852" s="97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242" t="s">
        <v>1128</v>
      </c>
      <c r="AK852" s="242" t="s">
        <v>292</v>
      </c>
      <c r="AL852" s="243">
        <v>5908.0</v>
      </c>
      <c r="AM852" s="243">
        <v>49.9</v>
      </c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</row>
    <row r="853">
      <c r="A853" s="55"/>
      <c r="B853" s="55"/>
      <c r="C853" s="55"/>
      <c r="D853" s="55"/>
      <c r="E853" s="97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240" t="s">
        <v>401</v>
      </c>
      <c r="AK853" s="240" t="s">
        <v>292</v>
      </c>
      <c r="AL853" s="241">
        <v>6878.0</v>
      </c>
      <c r="AM853" s="241">
        <v>63.9</v>
      </c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</row>
    <row r="854">
      <c r="A854" s="55"/>
      <c r="B854" s="55"/>
      <c r="C854" s="55"/>
      <c r="D854" s="55"/>
      <c r="E854" s="97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242" t="s">
        <v>409</v>
      </c>
      <c r="AK854" s="242" t="s">
        <v>292</v>
      </c>
      <c r="AL854" s="243">
        <v>2771.0</v>
      </c>
      <c r="AM854" s="243">
        <v>63.9</v>
      </c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</row>
    <row r="855">
      <c r="A855" s="55"/>
      <c r="B855" s="55"/>
      <c r="C855" s="55"/>
      <c r="D855" s="55"/>
      <c r="E855" s="97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240" t="s">
        <v>1129</v>
      </c>
      <c r="AK855" s="240" t="s">
        <v>292</v>
      </c>
      <c r="AL855" s="241">
        <v>6874.0</v>
      </c>
      <c r="AM855" s="241">
        <v>32.9</v>
      </c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</row>
    <row r="856">
      <c r="A856" s="55"/>
      <c r="B856" s="55"/>
      <c r="C856" s="55"/>
      <c r="D856" s="55"/>
      <c r="E856" s="97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242" t="s">
        <v>1130</v>
      </c>
      <c r="AK856" s="242" t="s">
        <v>292</v>
      </c>
      <c r="AL856" s="243">
        <v>6898.0</v>
      </c>
      <c r="AM856" s="243">
        <v>39.9</v>
      </c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</row>
    <row r="857">
      <c r="A857" s="55"/>
      <c r="B857" s="55"/>
      <c r="C857" s="55"/>
      <c r="D857" s="55"/>
      <c r="E857" s="97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240" t="s">
        <v>1131</v>
      </c>
      <c r="AK857" s="240" t="s">
        <v>292</v>
      </c>
      <c r="AL857" s="241">
        <v>3129.0</v>
      </c>
      <c r="AM857" s="241">
        <v>54.9</v>
      </c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</row>
    <row r="858">
      <c r="A858" s="55"/>
      <c r="B858" s="55"/>
      <c r="C858" s="55"/>
      <c r="D858" s="55"/>
      <c r="E858" s="97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242" t="s">
        <v>1132</v>
      </c>
      <c r="AK858" s="242" t="s">
        <v>275</v>
      </c>
      <c r="AL858" s="243">
        <v>6893.0</v>
      </c>
      <c r="AM858" s="243">
        <v>19.9</v>
      </c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</row>
    <row r="859">
      <c r="A859" s="55"/>
      <c r="B859" s="55"/>
      <c r="C859" s="55"/>
      <c r="D859" s="55"/>
      <c r="E859" s="97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240" t="s">
        <v>1133</v>
      </c>
      <c r="AK859" s="240" t="s">
        <v>275</v>
      </c>
      <c r="AL859" s="241">
        <v>5395.0</v>
      </c>
      <c r="AM859" s="241">
        <v>24.9</v>
      </c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</row>
    <row r="860">
      <c r="A860" s="55"/>
      <c r="B860" s="55"/>
      <c r="C860" s="55"/>
      <c r="D860" s="55"/>
      <c r="E860" s="97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242" t="s">
        <v>1134</v>
      </c>
      <c r="AK860" s="242" t="s">
        <v>275</v>
      </c>
      <c r="AL860" s="243">
        <v>6894.0</v>
      </c>
      <c r="AM860" s="243">
        <v>23.9</v>
      </c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</row>
    <row r="861">
      <c r="A861" s="55"/>
      <c r="B861" s="55"/>
      <c r="C861" s="55"/>
      <c r="D861" s="55"/>
      <c r="E861" s="97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240" t="s">
        <v>1135</v>
      </c>
      <c r="AK861" s="240" t="s">
        <v>275</v>
      </c>
      <c r="AL861" s="241">
        <v>6876.0</v>
      </c>
      <c r="AM861" s="241">
        <v>21.9</v>
      </c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</row>
    <row r="862">
      <c r="A862" s="55"/>
      <c r="B862" s="55"/>
      <c r="C862" s="55"/>
      <c r="D862" s="55"/>
      <c r="E862" s="97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242" t="s">
        <v>1136</v>
      </c>
      <c r="AK862" s="242" t="s">
        <v>292</v>
      </c>
      <c r="AL862" s="243">
        <v>5782.0</v>
      </c>
      <c r="AM862" s="243">
        <v>64.9</v>
      </c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</row>
    <row r="863">
      <c r="A863" s="55"/>
      <c r="B863" s="55"/>
      <c r="C863" s="55"/>
      <c r="D863" s="55"/>
      <c r="E863" s="97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240" t="s">
        <v>1137</v>
      </c>
      <c r="AK863" s="240" t="s">
        <v>292</v>
      </c>
      <c r="AL863" s="241">
        <v>5775.0</v>
      </c>
      <c r="AM863" s="241">
        <v>64.9</v>
      </c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</row>
    <row r="864">
      <c r="A864" s="55"/>
      <c r="B864" s="55"/>
      <c r="C864" s="55"/>
      <c r="D864" s="55"/>
      <c r="E864" s="97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242" t="s">
        <v>1138</v>
      </c>
      <c r="AK864" s="242" t="s">
        <v>292</v>
      </c>
      <c r="AL864" s="243">
        <v>1861.0</v>
      </c>
      <c r="AM864" s="243">
        <v>71.9</v>
      </c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</row>
    <row r="865">
      <c r="A865" s="55"/>
      <c r="B865" s="55"/>
      <c r="C865" s="55"/>
      <c r="D865" s="55"/>
      <c r="E865" s="97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240" t="s">
        <v>1139</v>
      </c>
      <c r="AK865" s="240" t="s">
        <v>292</v>
      </c>
      <c r="AL865" s="241">
        <v>8904.0</v>
      </c>
      <c r="AM865" s="241">
        <v>29.9</v>
      </c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</row>
    <row r="866">
      <c r="A866" s="55"/>
      <c r="B866" s="55"/>
      <c r="C866" s="55"/>
      <c r="D866" s="55"/>
      <c r="E866" s="97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242" t="s">
        <v>1140</v>
      </c>
      <c r="AK866" s="242" t="s">
        <v>275</v>
      </c>
      <c r="AL866" s="243">
        <v>8901.0</v>
      </c>
      <c r="AM866" s="243">
        <v>10.9</v>
      </c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</row>
    <row r="867">
      <c r="A867" s="55"/>
      <c r="B867" s="55"/>
      <c r="C867" s="55"/>
      <c r="D867" s="55"/>
      <c r="E867" s="97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240" t="s">
        <v>1141</v>
      </c>
      <c r="AK867" s="240" t="s">
        <v>275</v>
      </c>
      <c r="AL867" s="241">
        <v>360555.0</v>
      </c>
      <c r="AM867" s="241">
        <v>5.9</v>
      </c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</row>
    <row r="868">
      <c r="A868" s="55"/>
      <c r="B868" s="55"/>
      <c r="C868" s="55"/>
      <c r="D868" s="55"/>
      <c r="E868" s="97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242" t="s">
        <v>1142</v>
      </c>
      <c r="AK868" s="242" t="s">
        <v>292</v>
      </c>
      <c r="AL868" s="243">
        <v>8905.0</v>
      </c>
      <c r="AM868" s="243">
        <v>18.9</v>
      </c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</row>
    <row r="869">
      <c r="A869" s="55"/>
      <c r="B869" s="55"/>
      <c r="C869" s="55"/>
      <c r="D869" s="55"/>
      <c r="E869" s="97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240" t="s">
        <v>1143</v>
      </c>
      <c r="AK869" s="240" t="s">
        <v>292</v>
      </c>
      <c r="AL869" s="241">
        <v>8907.0</v>
      </c>
      <c r="AM869" s="241">
        <v>24.99</v>
      </c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</row>
    <row r="870">
      <c r="A870" s="55"/>
      <c r="B870" s="55"/>
      <c r="C870" s="55"/>
      <c r="D870" s="55"/>
      <c r="E870" s="97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242" t="s">
        <v>1144</v>
      </c>
      <c r="AK870" s="242" t="s">
        <v>292</v>
      </c>
      <c r="AL870" s="243">
        <v>8908.0</v>
      </c>
      <c r="AM870" s="243">
        <v>29.9</v>
      </c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</row>
    <row r="871">
      <c r="A871" s="55"/>
      <c r="B871" s="55"/>
      <c r="C871" s="55"/>
      <c r="D871" s="55"/>
      <c r="E871" s="97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240" t="s">
        <v>1145</v>
      </c>
      <c r="AK871" s="240" t="s">
        <v>292</v>
      </c>
      <c r="AL871" s="241">
        <v>7065.0</v>
      </c>
      <c r="AM871" s="241">
        <v>29.9</v>
      </c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</row>
    <row r="872">
      <c r="A872" s="55"/>
      <c r="B872" s="55"/>
      <c r="C872" s="55"/>
      <c r="D872" s="55"/>
      <c r="E872" s="97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242" t="s">
        <v>1146</v>
      </c>
      <c r="AK872" s="242" t="s">
        <v>292</v>
      </c>
      <c r="AL872" s="243">
        <v>7075.0</v>
      </c>
      <c r="AM872" s="243">
        <v>79.9</v>
      </c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</row>
    <row r="873">
      <c r="A873" s="55"/>
      <c r="B873" s="55"/>
      <c r="C873" s="55"/>
      <c r="D873" s="55"/>
      <c r="E873" s="97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240" t="s">
        <v>283</v>
      </c>
      <c r="AK873" s="240" t="s">
        <v>275</v>
      </c>
      <c r="AL873" s="241">
        <v>8966.0</v>
      </c>
      <c r="AM873" s="241">
        <v>23.9</v>
      </c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</row>
    <row r="874">
      <c r="A874" s="55"/>
      <c r="B874" s="55"/>
      <c r="C874" s="55"/>
      <c r="D874" s="55"/>
      <c r="E874" s="97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244" t="s">
        <v>277</v>
      </c>
      <c r="AK874" s="244" t="s">
        <v>275</v>
      </c>
      <c r="AL874" s="245">
        <v>7768.0</v>
      </c>
      <c r="AM874" s="245">
        <v>24.9</v>
      </c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</row>
    <row r="875">
      <c r="A875" s="55"/>
      <c r="B875" s="55"/>
      <c r="C875" s="55"/>
      <c r="D875" s="55"/>
      <c r="E875" s="97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246" t="s">
        <v>279</v>
      </c>
      <c r="AK875" s="246" t="s">
        <v>275</v>
      </c>
      <c r="AL875" s="247">
        <v>7673.0</v>
      </c>
      <c r="AM875" s="247">
        <v>25.9</v>
      </c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</row>
    <row r="876">
      <c r="A876" s="55"/>
      <c r="B876" s="55"/>
      <c r="C876" s="55"/>
      <c r="D876" s="55"/>
      <c r="E876" s="97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244" t="s">
        <v>395</v>
      </c>
      <c r="AK876" s="244" t="s">
        <v>275</v>
      </c>
      <c r="AL876" s="245">
        <v>9289.0</v>
      </c>
      <c r="AM876" s="245">
        <v>24.9</v>
      </c>
      <c r="AN876" s="248"/>
      <c r="AO876" s="248"/>
      <c r="AP876" s="248"/>
      <c r="AQ876" s="248"/>
      <c r="AR876" s="248"/>
      <c r="AS876" s="248"/>
      <c r="AT876" s="248"/>
      <c r="AU876" s="248"/>
      <c r="AV876" s="248"/>
      <c r="AW876" s="248"/>
      <c r="AX876" s="248"/>
      <c r="AY876" s="248"/>
    </row>
    <row r="877">
      <c r="A877" s="55"/>
      <c r="B877" s="55"/>
      <c r="C877" s="55"/>
      <c r="D877" s="55"/>
      <c r="E877" s="97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240" t="s">
        <v>280</v>
      </c>
      <c r="AK877" s="240" t="s">
        <v>275</v>
      </c>
      <c r="AL877" s="241">
        <v>7625.0</v>
      </c>
      <c r="AM877" s="241">
        <v>24.9</v>
      </c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</row>
    <row r="878">
      <c r="A878" s="55"/>
      <c r="B878" s="55"/>
      <c r="C878" s="55"/>
      <c r="D878" s="55"/>
      <c r="E878" s="97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244" t="s">
        <v>281</v>
      </c>
      <c r="AK878" s="244" t="s">
        <v>275</v>
      </c>
      <c r="AL878" s="245">
        <v>9362.0</v>
      </c>
      <c r="AM878" s="245">
        <v>23.9</v>
      </c>
      <c r="AN878" s="248"/>
      <c r="AO878" s="248"/>
      <c r="AP878" s="248"/>
      <c r="AQ878" s="248"/>
      <c r="AR878" s="248"/>
      <c r="AS878" s="248"/>
      <c r="AT878" s="248"/>
      <c r="AU878" s="248"/>
      <c r="AV878" s="248"/>
      <c r="AW878" s="248"/>
      <c r="AX878" s="248"/>
      <c r="AY878" s="248"/>
    </row>
  </sheetData>
  <mergeCells count="85">
    <mergeCell ref="F3:F5"/>
    <mergeCell ref="F7:F9"/>
    <mergeCell ref="A11:A12"/>
    <mergeCell ref="F11:F12"/>
    <mergeCell ref="K11:K12"/>
    <mergeCell ref="F14:F15"/>
    <mergeCell ref="K14:K15"/>
    <mergeCell ref="A14:A15"/>
    <mergeCell ref="A17:A19"/>
    <mergeCell ref="F17:F19"/>
    <mergeCell ref="K17:K19"/>
    <mergeCell ref="A21:A24"/>
    <mergeCell ref="K21:K24"/>
    <mergeCell ref="K26:K27"/>
    <mergeCell ref="F33:F35"/>
    <mergeCell ref="F37:F39"/>
    <mergeCell ref="F41:F46"/>
    <mergeCell ref="F48:F51"/>
    <mergeCell ref="A37:A39"/>
    <mergeCell ref="A41:A45"/>
    <mergeCell ref="A47:A50"/>
    <mergeCell ref="K41:K44"/>
    <mergeCell ref="K46:K49"/>
    <mergeCell ref="A26:A27"/>
    <mergeCell ref="A29:A31"/>
    <mergeCell ref="F29:F31"/>
    <mergeCell ref="K29:K31"/>
    <mergeCell ref="A33:A35"/>
    <mergeCell ref="K33:K35"/>
    <mergeCell ref="K37:K39"/>
    <mergeCell ref="Z14:Z15"/>
    <mergeCell ref="Z26:Z27"/>
    <mergeCell ref="Z29:Z37"/>
    <mergeCell ref="Z39:Z41"/>
    <mergeCell ref="Z44:Z46"/>
    <mergeCell ref="Z48:Z50"/>
    <mergeCell ref="Z52:Z54"/>
    <mergeCell ref="Z56:Z59"/>
    <mergeCell ref="Z3:Z5"/>
    <mergeCell ref="Z7:Z9"/>
    <mergeCell ref="AE9:AE11"/>
    <mergeCell ref="Z11:Z12"/>
    <mergeCell ref="AE13:AE15"/>
    <mergeCell ref="AE17:AE19"/>
    <mergeCell ref="AE22:AE31"/>
    <mergeCell ref="A1:D1"/>
    <mergeCell ref="F1:I1"/>
    <mergeCell ref="K1:N1"/>
    <mergeCell ref="P1:S1"/>
    <mergeCell ref="U1:X1"/>
    <mergeCell ref="Z1:AC1"/>
    <mergeCell ref="AE1:AH1"/>
    <mergeCell ref="A3:A5"/>
    <mergeCell ref="K3:K5"/>
    <mergeCell ref="U3:U5"/>
    <mergeCell ref="AE4:AE7"/>
    <mergeCell ref="A7:A9"/>
    <mergeCell ref="K7:K9"/>
    <mergeCell ref="U7:U9"/>
    <mergeCell ref="P17:P19"/>
    <mergeCell ref="P21:P24"/>
    <mergeCell ref="P26:P27"/>
    <mergeCell ref="P29:P31"/>
    <mergeCell ref="P33:P35"/>
    <mergeCell ref="P37:P39"/>
    <mergeCell ref="P41:P44"/>
    <mergeCell ref="P46:P49"/>
    <mergeCell ref="Z17:Z19"/>
    <mergeCell ref="Z21:Z24"/>
    <mergeCell ref="F21:F24"/>
    <mergeCell ref="F26:F27"/>
    <mergeCell ref="U21:U24"/>
    <mergeCell ref="U26:U27"/>
    <mergeCell ref="U29:U31"/>
    <mergeCell ref="U33:U35"/>
    <mergeCell ref="U37:U39"/>
    <mergeCell ref="U41:U44"/>
    <mergeCell ref="U46:U49"/>
    <mergeCell ref="P3:P5"/>
    <mergeCell ref="P7:P9"/>
    <mergeCell ref="P11:P12"/>
    <mergeCell ref="U11:U12"/>
    <mergeCell ref="P14:P15"/>
    <mergeCell ref="U14:U15"/>
    <mergeCell ref="U17:U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9.57"/>
    <col customWidth="1" min="6" max="6" width="9.29"/>
    <col customWidth="1" min="7" max="7" width="15.14"/>
    <col customWidth="1" min="8" max="8" width="10.14"/>
    <col customWidth="1" min="9" max="9" width="13.43"/>
    <col customWidth="1" min="10" max="10" width="6.57"/>
    <col customWidth="1" min="11" max="11" width="10.57"/>
    <col customWidth="1" min="12" max="12" width="20.14"/>
    <col customWidth="1" min="13" max="15" width="8.71"/>
    <col customWidth="1" min="16" max="16" width="7.57"/>
    <col customWidth="1" min="17" max="17" width="81.29"/>
    <col customWidth="1" min="18" max="18" width="11.71"/>
    <col customWidth="1" min="19" max="19" width="15.0"/>
    <col customWidth="1" min="20" max="26" width="8.71"/>
  </cols>
  <sheetData>
    <row r="1" ht="14.25" customHeight="1">
      <c r="A1" s="249" t="s">
        <v>1147</v>
      </c>
      <c r="B1" s="250"/>
      <c r="C1" s="251"/>
      <c r="D1" s="252"/>
      <c r="E1" s="252"/>
      <c r="F1" s="252"/>
      <c r="G1" s="252"/>
      <c r="H1" s="252"/>
      <c r="I1" s="253" t="s">
        <v>1148</v>
      </c>
      <c r="J1" s="250"/>
      <c r="K1" s="250"/>
      <c r="L1" s="250"/>
      <c r="M1" s="254"/>
      <c r="P1" s="255" t="s">
        <v>1147</v>
      </c>
      <c r="Q1" s="256"/>
      <c r="R1" s="257" t="s">
        <v>12</v>
      </c>
      <c r="S1" s="258">
        <v>46048.0</v>
      </c>
    </row>
    <row r="2" ht="14.25" customHeight="1">
      <c r="A2" s="259" t="s">
        <v>270</v>
      </c>
      <c r="B2" s="260"/>
      <c r="C2" s="261" t="s">
        <v>1149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5"/>
      <c r="P2" s="259" t="s">
        <v>270</v>
      </c>
      <c r="Q2" s="260"/>
      <c r="R2" s="266" t="s">
        <v>1149</v>
      </c>
      <c r="S2" s="267"/>
    </row>
    <row r="3" ht="14.25" customHeight="1">
      <c r="A3" s="26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4" t="str">
        <f t="shared" ref="A4:A6" si="1">('[1]ESCALA DE PRODUÇÃO'!B3)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10.0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'[2]ESCALA DE PRODUÇÃO'!D3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VENDA'!A:A,'DADOS DE VENDA'!D:D,"SEM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A4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10</v>
      </c>
      <c r="S4" s="279" t="str">
        <f t="shared" ref="S4:S6" si="13">(F4)</f>
        <v>0</v>
      </c>
    </row>
    <row r="5" ht="14.25" customHeight="1">
      <c r="A5" s="274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8" t="str">
        <f t="array" ref="I5">XLOOKUP(A5,'DADOS DE VENDA'!A:A,'DADOS DE VENDA'!D:D,"SEM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12</v>
      </c>
      <c r="S5" s="279" t="str">
        <f t="shared" si="13"/>
        <v>0</v>
      </c>
    </row>
    <row r="6" ht="14.25" customHeight="1">
      <c r="A6" s="274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8" t="str">
        <f t="array" ref="I6">XLOOKUP(A6,'DADOS DE VENDA'!A:A,'DADOS DE VENDA'!D:D,"SEM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6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4" t="str">
        <f t="shared" ref="A8:A10" si="14">('[1]ESCALA DE PRODUÇÃO'!B7)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1.0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'[2]ESCALA DE PRODUÇÃO'!D7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8" t="str">
        <f t="array" ref="I8">XLOOKUP(A8,'DADOS DE VENDA'!A:A,'DADOS DE VENDA'!D:D,"SEM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3">A8</f>
        <v>#REF!</v>
      </c>
      <c r="Q8" s="275" t="str">
        <f t="shared" ref="Q8:Q10" si="24">XLOOKUP(P8,'[1]ESCALA DE PRODUÇÃO'!$AL$1:$AL$1048566,'[1]ESCALA DE PRODUÇÃO'!$AJ$1:$AJ$1048566,"NÃO ENCOTRADO")</f>
        <v>#REF!</v>
      </c>
      <c r="R8" s="276">
        <f t="shared" ref="R8:R10" si="25">C8</f>
        <v>1</v>
      </c>
      <c r="S8" s="279" t="str">
        <f t="shared" ref="S8:S10" si="26">(F8)</f>
        <v>0</v>
      </c>
    </row>
    <row r="9" ht="14.25" customHeight="1">
      <c r="A9" s="274" t="str">
        <f t="shared" si="14"/>
        <v>#REF!</v>
      </c>
      <c r="B9" s="275" t="str">
        <f t="shared" si="15"/>
        <v>#REF!</v>
      </c>
      <c r="C9" s="276">
        <v>1.0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8" t="str">
        <f t="array" ref="I9">XLOOKUP(A9,'DADOS DE VENDA'!A:A,'DADOS DE VENDA'!D:D,"SEM VENDA")</f>
        <v>#REF!</v>
      </c>
      <c r="J9" s="289" t="str">
        <f t="shared" si="21"/>
        <v>0</v>
      </c>
      <c r="K9" s="290" t="str">
        <f t="shared" si="22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3"/>
        <v>#REF!</v>
      </c>
      <c r="Q9" s="275" t="str">
        <f t="shared" si="24"/>
        <v>#REF!</v>
      </c>
      <c r="R9" s="276">
        <f t="shared" si="25"/>
        <v>1</v>
      </c>
      <c r="S9" s="279" t="str">
        <f t="shared" si="26"/>
        <v>0</v>
      </c>
    </row>
    <row r="10" ht="14.25" customHeight="1">
      <c r="A10" s="274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8" t="str">
        <f t="array" ref="I10">XLOOKUP(A10,'DADOS DE VENDA'!A:A,'DADOS DE VENDA'!D:D,"SEM VENDA")</f>
        <v>#REF!</v>
      </c>
      <c r="J10" s="289" t="str">
        <f t="shared" si="21"/>
        <v>0</v>
      </c>
      <c r="K10" s="290" t="str">
        <f t="shared" si="22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3"/>
        <v>#REF!</v>
      </c>
      <c r="Q10" s="275" t="str">
        <f t="shared" si="24"/>
        <v>#REF!</v>
      </c>
      <c r="R10" s="276">
        <f t="shared" si="25"/>
        <v>0</v>
      </c>
      <c r="S10" s="279" t="str">
        <f t="shared" si="26"/>
        <v>0</v>
      </c>
    </row>
    <row r="11" ht="14.25" customHeight="1">
      <c r="A11" s="26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4" t="str">
        <f t="shared" ref="A12:A13" si="27">('[1]ESCALA DE PRODUÇÃO'!B11)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1.0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'[2]ESCALA DE PRODUÇÃO'!D11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8" t="str">
        <f t="array" ref="I12">XLOOKUP(A12,'DADOS DE VENDA'!A:A,'DADOS DE VENDA'!D:D,"SEM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6">A12</f>
        <v>#REF!</v>
      </c>
      <c r="Q12" s="275" t="str">
        <f t="shared" ref="Q12:Q13" si="37">XLOOKUP(P12,'[1]ESCALA DE PRODUÇÃO'!$AL$1:$AL$1048566,'[1]ESCALA DE PRODUÇÃO'!$AJ$1:$AJ$1048566,"NÃO ENCOTRADO")</f>
        <v>#REF!</v>
      </c>
      <c r="R12" s="276">
        <f t="shared" ref="R12:R13" si="38">C12</f>
        <v>1</v>
      </c>
      <c r="S12" s="279" t="str">
        <f t="shared" ref="S12:S13" si="39">(F12)</f>
        <v>0</v>
      </c>
    </row>
    <row r="13" ht="14.25" customHeight="1">
      <c r="A13" s="274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8" t="str">
        <f t="array" ref="I13">XLOOKUP(A13,'DADOS DE VENDA'!A:A,'DADOS DE VENDA'!D:D,"SEM VENDA")</f>
        <v>#REF!</v>
      </c>
      <c r="J13" s="289" t="str">
        <f t="shared" si="34"/>
        <v>0</v>
      </c>
      <c r="K13" s="290" t="str">
        <f t="shared" si="35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6"/>
        <v>#REF!</v>
      </c>
      <c r="Q13" s="275" t="str">
        <f t="shared" si="37"/>
        <v>#REF!</v>
      </c>
      <c r="R13" s="276">
        <f t="shared" si="38"/>
        <v>0</v>
      </c>
      <c r="S13" s="279" t="str">
        <f t="shared" si="39"/>
        <v>0</v>
      </c>
    </row>
    <row r="14" ht="14.25" customHeight="1">
      <c r="A14" s="26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4" t="str">
        <f t="shared" ref="A15:A16" si="40">('[1]ESCALA DE PRODUÇÃO'!B14)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'[2]ESCALA DE PRODUÇÃO'!D14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8" t="str">
        <f t="array" ref="I15">XLOOKUP(A15,'DADOS DE VENDA'!A:A,'DADOS DE VENDA'!D:D,"SEM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9">A15</f>
        <v>#REF!</v>
      </c>
      <c r="Q15" s="275" t="str">
        <f t="shared" ref="Q15:Q16" si="50">XLOOKUP(P15,'[1]ESCALA DE PRODUÇÃO'!$AL$1:$AL$1048566,'[1]ESCALA DE PRODUÇÃO'!$AJ$1:$AJ$1048566,"NÃO ENCOTRADO")</f>
        <v>#REF!</v>
      </c>
      <c r="R15" s="276">
        <f t="shared" ref="R15:R16" si="51">C15</f>
        <v>1</v>
      </c>
      <c r="S15" s="279" t="str">
        <f t="shared" ref="S15:S16" si="52">(F15)</f>
        <v>0</v>
      </c>
    </row>
    <row r="16" ht="14.25" customHeight="1">
      <c r="A16" s="274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8" t="str">
        <f t="array" ref="I16">XLOOKUP(A16,'DADOS DE VENDA'!A:A,'DADOS DE VENDA'!D:D,"SEM VENDA")</f>
        <v>#REF!</v>
      </c>
      <c r="J16" s="289" t="str">
        <f t="shared" si="47"/>
        <v>0</v>
      </c>
      <c r="K16" s="290" t="str">
        <f t="shared" si="48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9"/>
        <v>#REF!</v>
      </c>
      <c r="Q16" s="275" t="str">
        <f t="shared" si="50"/>
        <v>#REF!</v>
      </c>
      <c r="R16" s="276">
        <f t="shared" si="51"/>
        <v>0</v>
      </c>
      <c r="S16" s="279" t="str">
        <f t="shared" si="52"/>
        <v>0</v>
      </c>
    </row>
    <row r="17" ht="14.25" customHeight="1">
      <c r="A17" s="26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4" t="str">
        <f t="shared" ref="A18:A20" si="53">('[1]ESCALA DE PRODUÇÃO'!B17)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'[2]ESCALA DE PRODUÇÃO'!D17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8" t="str">
        <f t="array" ref="I18">XLOOKUP(A18,'DADOS DE VENDA'!A:A,'DADOS DE VENDA'!D:D,"SEM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2">A18</f>
        <v>#REF!</v>
      </c>
      <c r="Q18" s="275" t="str">
        <f t="shared" ref="Q18:Q20" si="63">XLOOKUP(P18,'[1]ESCALA DE PRODUÇÃO'!$AL$1:$AL$1048566,'[1]ESCALA DE PRODUÇÃO'!$AJ$1:$AJ$1048566,"NÃO ENCOTRADO")</f>
        <v>#REF!</v>
      </c>
      <c r="R18" s="276">
        <f t="shared" ref="R18:R20" si="64">C18</f>
        <v>1</v>
      </c>
      <c r="S18" s="279" t="str">
        <f t="shared" ref="S18:S20" si="65">(F18)</f>
        <v>0</v>
      </c>
    </row>
    <row r="19" ht="14.25" customHeight="1">
      <c r="A19" s="274" t="str">
        <f t="shared" si="53"/>
        <v>#REF!</v>
      </c>
      <c r="B19" s="275" t="str">
        <f t="shared" si="54"/>
        <v>#REF!</v>
      </c>
      <c r="C19" s="276">
        <v>1.0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8" t="str">
        <f t="array" ref="I19">XLOOKUP(A19,'DADOS DE VENDA'!A:A,'DADOS DE VENDA'!D:D,"SEM VENDA")</f>
        <v>#REF!</v>
      </c>
      <c r="J19" s="289" t="str">
        <f t="shared" si="60"/>
        <v>0</v>
      </c>
      <c r="K19" s="290" t="str">
        <f t="shared" si="61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62"/>
        <v>#REF!</v>
      </c>
      <c r="Q19" s="275" t="str">
        <f t="shared" si="63"/>
        <v>#REF!</v>
      </c>
      <c r="R19" s="276">
        <f t="shared" si="64"/>
        <v>1</v>
      </c>
      <c r="S19" s="279" t="str">
        <f t="shared" si="65"/>
        <v>0</v>
      </c>
    </row>
    <row r="20" ht="14.25" customHeight="1">
      <c r="A20" s="274" t="str">
        <f t="shared" si="53"/>
        <v>#REF!</v>
      </c>
      <c r="B20" s="275" t="str">
        <f t="shared" si="54"/>
        <v>#REF!</v>
      </c>
      <c r="C20" s="276">
        <v>1.0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8" t="str">
        <f t="array" ref="I20">XLOOKUP(A20,'DADOS DE VENDA'!A:A,'DADOS DE VENDA'!D:D,"SEM VENDA")</f>
        <v>#REF!</v>
      </c>
      <c r="J20" s="289" t="str">
        <f t="shared" si="60"/>
        <v>0</v>
      </c>
      <c r="K20" s="290" t="str">
        <f t="shared" si="61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62"/>
        <v>#REF!</v>
      </c>
      <c r="Q20" s="275" t="str">
        <f t="shared" si="63"/>
        <v>#REF!</v>
      </c>
      <c r="R20" s="276">
        <f t="shared" si="64"/>
        <v>1</v>
      </c>
      <c r="S20" s="279" t="str">
        <f t="shared" si="65"/>
        <v>0</v>
      </c>
    </row>
    <row r="21" ht="14.25" customHeight="1">
      <c r="A21" s="26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4" t="str">
        <f t="shared" ref="A22:A24" si="66">'[2]ESCALA DE PRODUÇÃO'!B21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1.0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'[2]ESCALA DE PRODUÇÃO'!D21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8" t="str">
        <f t="array" ref="I22">XLOOKUP(A22,'DADOS DE VENDA'!A:A,'DADOS DE VENDA'!D:D,"SEM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5">A22</f>
        <v>#REF!</v>
      </c>
      <c r="Q22" s="275" t="str">
        <f t="shared" ref="Q22:Q24" si="76">XLOOKUP(P22,'[1]ESCALA DE PRODUÇÃO'!$AL$1:$AL$1048566,'[1]ESCALA DE PRODUÇÃO'!$AJ$1:$AJ$1048566,"NÃO ENCOTRADO")</f>
        <v>#REF!</v>
      </c>
      <c r="R22" s="276">
        <f t="shared" ref="R22:R24" si="77">C22</f>
        <v>1</v>
      </c>
      <c r="S22" s="279" t="str">
        <f t="shared" ref="S22:S24" si="78">(F22)</f>
        <v>0</v>
      </c>
    </row>
    <row r="23" ht="14.25" customHeight="1">
      <c r="A23" s="274" t="str">
        <f t="shared" si="66"/>
        <v>#REF!</v>
      </c>
      <c r="B23" s="275" t="str">
        <f t="shared" si="67"/>
        <v>#REF!</v>
      </c>
      <c r="C23" s="276">
        <v>1.0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8" t="str">
        <f t="array" ref="I23">XLOOKUP(A23,'DADOS DE VENDA'!A:A,'DADOS DE VENDA'!D:D,"SEM VENDA")</f>
        <v>#REF!</v>
      </c>
      <c r="J23" s="289" t="str">
        <f t="shared" si="73"/>
        <v>0</v>
      </c>
      <c r="K23" s="290" t="str">
        <f t="shared" si="74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75"/>
        <v>#REF!</v>
      </c>
      <c r="Q23" s="275" t="str">
        <f t="shared" si="76"/>
        <v>#REF!</v>
      </c>
      <c r="R23" s="276">
        <f t="shared" si="77"/>
        <v>1</v>
      </c>
      <c r="S23" s="279" t="str">
        <f t="shared" si="78"/>
        <v>0</v>
      </c>
    </row>
    <row r="24" ht="14.25" customHeight="1">
      <c r="A24" s="274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8" t="str">
        <f t="array" ref="I24">XLOOKUP(A24,'DADOS DE VENDA'!A:A,'DADOS DE VENDA'!D:D,"SEM VENDA")</f>
        <v>#REF!</v>
      </c>
      <c r="J24" s="289" t="str">
        <f t="shared" si="73"/>
        <v>0</v>
      </c>
      <c r="K24" s="290" t="str">
        <f t="shared" si="74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75"/>
        <v>#REF!</v>
      </c>
      <c r="Q24" s="275" t="str">
        <f t="shared" si="76"/>
        <v>#REF!</v>
      </c>
      <c r="R24" s="276">
        <f t="shared" si="77"/>
        <v>0</v>
      </c>
      <c r="S24" s="279" t="str">
        <f t="shared" si="78"/>
        <v>0</v>
      </c>
    </row>
    <row r="25" ht="14.25" customHeight="1">
      <c r="A25" s="26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4" t="str">
        <f t="shared" ref="A26:A27" si="79">'[2]ESCALA DE PRODUÇÃO'!B25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3.0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'[2]ESCALA DE PRODUÇÃO'!D25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8" t="str">
        <f t="array" ref="I26">XLOOKUP(A26,'DADOS DE VENDA'!A:A,'DADOS DE VENDA'!D:D,"SEM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8">A26</f>
        <v>#REF!</v>
      </c>
      <c r="Q26" s="275" t="str">
        <f t="shared" ref="Q26:Q27" si="89">XLOOKUP(P26,'[1]ESCALA DE PRODUÇÃO'!$AL$1:$AL$1048566,'[1]ESCALA DE PRODUÇÃO'!$AJ$1:$AJ$1048566,"NÃO ENCOTRADO")</f>
        <v>#REF!</v>
      </c>
      <c r="R26" s="276">
        <f t="shared" ref="R26:R27" si="90">C26</f>
        <v>3</v>
      </c>
      <c r="S26" s="279" t="str">
        <f t="shared" ref="S26:S27" si="91">(F26)</f>
        <v>0</v>
      </c>
    </row>
    <row r="27" ht="14.25" customHeight="1">
      <c r="A27" s="274" t="str">
        <f t="shared" si="79"/>
        <v>#REF!</v>
      </c>
      <c r="B27" s="275" t="str">
        <f t="shared" si="80"/>
        <v>#REF!</v>
      </c>
      <c r="C27" s="292">
        <v>3.0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97" t="str">
        <f t="array" ref="I27">XLOOKUP(A27,'DADOS DE VENDA'!A:A,'DADOS DE VENDA'!D:D,"SEM VENDA")</f>
        <v>#REF!</v>
      </c>
      <c r="J27" s="298" t="str">
        <f t="shared" si="86"/>
        <v>0</v>
      </c>
      <c r="K27" s="299" t="str">
        <f t="shared" si="87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P27" s="274" t="str">
        <f t="shared" si="88"/>
        <v>#REF!</v>
      </c>
      <c r="Q27" s="302" t="str">
        <f t="shared" si="89"/>
        <v>#REF!</v>
      </c>
      <c r="R27" s="292">
        <f t="shared" si="90"/>
        <v>3</v>
      </c>
      <c r="S27" s="279" t="str">
        <f t="shared" si="91"/>
        <v>0</v>
      </c>
    </row>
    <row r="28" ht="14.25" customHeight="1">
      <c r="A28" s="303"/>
      <c r="B28" s="304" t="s">
        <v>1162</v>
      </c>
      <c r="C28" s="304" t="s">
        <v>1163</v>
      </c>
      <c r="D28" s="305"/>
      <c r="E28" s="306"/>
      <c r="F28" s="307" t="s">
        <v>1164</v>
      </c>
      <c r="G28" s="308">
        <f>SUM(H4+H5+H6+H8+H9+H10+H12+H13+H15+H16+H18+H19+H20+H22+H24+H26+H27)</f>
        <v>0</v>
      </c>
      <c r="H28" s="306"/>
      <c r="I28" s="307" t="s">
        <v>1165</v>
      </c>
      <c r="J28" s="309">
        <f>SUM(K4+K5+K6+K8+K9+K10+K12+K13+K15+K16+K18+K19+K20+K22+K24+K26+K27)</f>
        <v>0</v>
      </c>
      <c r="K28" s="306"/>
      <c r="L28" s="310"/>
      <c r="M28" s="311"/>
      <c r="P28" s="312" t="s">
        <v>1156</v>
      </c>
      <c r="Q28" s="313"/>
      <c r="R28" s="314">
        <f>G28</f>
        <v>0</v>
      </c>
      <c r="S28" s="313"/>
    </row>
    <row r="29" ht="14.25" customHeight="1">
      <c r="A29" s="303"/>
      <c r="C29" s="315"/>
      <c r="F29" s="316"/>
      <c r="G29" s="42"/>
      <c r="H29" s="42"/>
      <c r="I29" s="317"/>
      <c r="J29" s="318"/>
      <c r="K29" s="319"/>
      <c r="M29" s="320"/>
      <c r="R29" s="315"/>
      <c r="S29" s="316"/>
    </row>
    <row r="30" ht="14.25" customHeight="1">
      <c r="A30" s="303"/>
      <c r="C30" s="315"/>
      <c r="F30" s="316"/>
      <c r="G30" s="42"/>
      <c r="H30" s="42"/>
      <c r="I30" s="317"/>
      <c r="J30" s="318"/>
      <c r="K30" s="319"/>
      <c r="M30" s="320"/>
      <c r="R30" s="315"/>
      <c r="S30" s="316"/>
    </row>
    <row r="31" ht="14.25" customHeight="1">
      <c r="A31" s="249" t="s">
        <v>1147</v>
      </c>
      <c r="B31" s="250"/>
      <c r="C31" s="251"/>
      <c r="D31" s="252"/>
      <c r="E31" s="252"/>
      <c r="F31" s="252"/>
      <c r="G31" s="252"/>
      <c r="H31" s="252"/>
      <c r="I31" s="253" t="s">
        <v>1148</v>
      </c>
      <c r="J31" s="250"/>
      <c r="K31" s="250"/>
      <c r="L31" s="250"/>
      <c r="M31" s="254"/>
      <c r="P31" s="255" t="str">
        <f>P1</f>
        <v>SEGUNDA (LOJA 1 BENDITO-ROTISSERIA)</v>
      </c>
      <c r="Q31" s="256"/>
      <c r="R31" s="257" t="s">
        <v>12</v>
      </c>
      <c r="S31" s="258">
        <v>46048.0</v>
      </c>
    </row>
    <row r="32" ht="14.25" customHeight="1">
      <c r="A32" s="259" t="s">
        <v>1166</v>
      </c>
      <c r="B32" s="260"/>
      <c r="C32" s="261" t="s">
        <v>1167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2">'[2]ESCALA DE PRODUÇÃO'!B28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8.0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('[2]ESCALA DE PRODUÇÃO'!D28)</f>
        <v>#REF!</v>
      </c>
      <c r="F34" s="279" t="str">
        <f t="shared" ref="F34:F36" si="96">IFERROR(C34/E34,"0")</f>
        <v>0</v>
      </c>
      <c r="G34" s="280" t="str">
        <f t="shared" ref="G34:G36" si="97">XLOOKUP(A34,'[1]ESCALA DE PRODUÇÃO'!$AL$1:$AL$1048566,'[1]ESCALA DE PRODUÇÃO'!$AM$1:$AM$1048566,"SEM PREÇO")</f>
        <v>#REF!</v>
      </c>
      <c r="H34" s="287" t="str">
        <f t="shared" ref="H34:H36" si="98">IFERROR(C34*G34,"0")</f>
        <v>0</v>
      </c>
      <c r="I34" s="288" t="str">
        <f t="array" ref="I34">XLOOKUP(A34,'DADOS DE VENDA'!A:A,'DADOS DE VENDA'!D:D,"SEM VENDA")</f>
        <v>#REF!</v>
      </c>
      <c r="J34" s="289" t="str">
        <f t="shared" ref="J34:J36" si="99">IFERROR(I34/E34,"0")</f>
        <v>0</v>
      </c>
      <c r="K34" s="290" t="str">
        <f t="shared" ref="K34:K36" si="100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1">A34</f>
        <v>#REF!</v>
      </c>
      <c r="Q34" s="275" t="str">
        <f t="shared" ref="Q34:Q36" si="102">XLOOKUP(P34,'[1]ESCALA DE PRODUÇÃO'!$AL$1:$AL$1048566,'[1]ESCALA DE PRODUÇÃO'!$AJ$1:$AJ$1048566,"NÃO ENCOTRADO")</f>
        <v>#REF!</v>
      </c>
      <c r="R34" s="276">
        <f t="shared" ref="R34:R36" si="103">C34</f>
        <v>8</v>
      </c>
      <c r="S34" s="279" t="str">
        <f t="shared" ref="S34:S36" si="104">F34</f>
        <v>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6.0</v>
      </c>
      <c r="D35" s="277" t="str">
        <f t="shared" si="94"/>
        <v>#REF!</v>
      </c>
      <c r="E35" s="278" t="str">
        <f t="shared" si="95"/>
        <v>#REF!</v>
      </c>
      <c r="F35" s="279" t="str">
        <f t="shared" si="96"/>
        <v>0</v>
      </c>
      <c r="G35" s="280" t="str">
        <f t="shared" si="97"/>
        <v>#REF!</v>
      </c>
      <c r="H35" s="287" t="str">
        <f t="shared" si="98"/>
        <v>0</v>
      </c>
      <c r="I35" s="288" t="str">
        <f t="array" ref="I35">XLOOKUP(A35,'DADOS DE VENDA'!A:A,'DADOS DE VENDA'!D:D,"SEM VENDA")</f>
        <v>#REF!</v>
      </c>
      <c r="J35" s="289" t="str">
        <f t="shared" si="99"/>
        <v>0</v>
      </c>
      <c r="K35" s="290" t="str">
        <f t="shared" si="100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P35" s="274" t="str">
        <f t="shared" si="101"/>
        <v>#REF!</v>
      </c>
      <c r="Q35" s="275" t="str">
        <f t="shared" si="102"/>
        <v>#REF!</v>
      </c>
      <c r="R35" s="276">
        <f t="shared" si="103"/>
        <v>6</v>
      </c>
      <c r="S35" s="279" t="str">
        <f t="shared" si="104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96"/>
        <v>0</v>
      </c>
      <c r="G36" s="280" t="str">
        <f t="shared" si="97"/>
        <v>#REF!</v>
      </c>
      <c r="H36" s="287" t="str">
        <f t="shared" si="98"/>
        <v>0</v>
      </c>
      <c r="I36" s="288" t="str">
        <f t="array" ref="I36">XLOOKUP(A36,'DADOS DE VENDA'!A:A,'DADOS DE VENDA'!D:D,"SEM VENDA")</f>
        <v>#REF!</v>
      </c>
      <c r="J36" s="289" t="str">
        <f t="shared" si="99"/>
        <v>0</v>
      </c>
      <c r="K36" s="290" t="str">
        <f t="shared" si="100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P36" s="274" t="str">
        <f t="shared" si="101"/>
        <v>#REF!</v>
      </c>
      <c r="Q36" s="275" t="str">
        <f t="shared" si="102"/>
        <v>#REF!</v>
      </c>
      <c r="R36" s="276">
        <f t="shared" si="103"/>
        <v>0</v>
      </c>
      <c r="S36" s="279" t="str">
        <f t="shared" si="104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8.0" customHeight="1">
      <c r="A38" s="274" t="str">
        <f t="shared" ref="A38:A40" si="105">'[2]ESCALA DE PRODUÇÃO'!B32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5.0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('[2]ESCALA DE PRODUÇÃO'!D32)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VENDA'!A:A,'DADOS DE VENDA'!D:D,"SEM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4">A38</f>
        <v>#REF!</v>
      </c>
      <c r="Q38" s="275" t="str">
        <f t="shared" ref="Q38:Q40" si="115">XLOOKUP(P38,'[1]ESCALA DE PRODUÇÃO'!$AL$1:$AL$1048566,'[1]ESCALA DE PRODUÇÃO'!$AJ$1:$AJ$1048566,"NÃO ENCOTRADO")</f>
        <v>#REF!</v>
      </c>
      <c r="R38" s="276">
        <f t="shared" ref="R38:R40" si="116">C38</f>
        <v>5</v>
      </c>
      <c r="S38" s="279" t="str">
        <f t="shared" ref="S38:S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5.0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VENDA'!A:A,'DADOS DE VENDA'!D:D,"SEM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P39" s="274" t="str">
        <f t="shared" si="114"/>
        <v>#REF!</v>
      </c>
      <c r="Q39" s="275" t="str">
        <f t="shared" si="115"/>
        <v>#REF!</v>
      </c>
      <c r="R39" s="276">
        <f t="shared" si="116"/>
        <v>5</v>
      </c>
      <c r="S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3.0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VENDA'!A:A,'DADOS DE VENDA'!D:D,"SEM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P40" s="274" t="str">
        <f t="shared" si="114"/>
        <v>#REF!</v>
      </c>
      <c r="Q40" s="275" t="str">
        <f t="shared" si="115"/>
        <v>#REF!</v>
      </c>
      <c r="R40" s="276">
        <f t="shared" si="116"/>
        <v>3</v>
      </c>
      <c r="S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8">'[2]ESCALA DE PRODUÇÃO'!B36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('[2]ESCALA DE PRODUÇÃO'!D36)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VENDA'!A:A,'DADOS DE VENDA'!D:D,"SEM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7">A42</f>
        <v>#REF!</v>
      </c>
      <c r="Q42" s="275" t="str">
        <f t="shared" ref="Q42:Q44" si="128">XLOOKUP(P42,'[1]ESCALA DE PRODUÇÃO'!$AL$1:$AL$1048566,'[1]ESCALA DE PRODUÇÃO'!$AJ$1:$AJ$1048566,"NÃO ENCOTRADO")</f>
        <v>#REF!</v>
      </c>
      <c r="R42" s="276">
        <f t="shared" ref="R42:R44" si="129">C42</f>
        <v>0</v>
      </c>
      <c r="S42" s="279" t="str">
        <f t="shared" ref="S42:S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VENDA'!A:A,'DADOS DE VENDA'!D:D,"SEM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si="127"/>
        <v>#REF!</v>
      </c>
      <c r="Q43" s="275" t="str">
        <f t="shared" si="128"/>
        <v>#REF!</v>
      </c>
      <c r="R43" s="276">
        <f t="shared" si="129"/>
        <v>0</v>
      </c>
      <c r="S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326" t="str">
        <f t="array" ref="I44">XLOOKUP(A44,'DADOS DE VENDA'!A:A,'DADOS DE VENDA'!D:D,"SEM VENDA")</f>
        <v>#REF!</v>
      </c>
      <c r="J44" s="327" t="str">
        <f t="shared" si="125"/>
        <v>0</v>
      </c>
      <c r="K44" s="328" t="str">
        <f t="shared" si="126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P44" s="274" t="str">
        <f t="shared" si="127"/>
        <v>#REF!</v>
      </c>
      <c r="Q44" s="302" t="str">
        <f t="shared" si="128"/>
        <v>#REF!</v>
      </c>
      <c r="R44" s="276">
        <f t="shared" si="129"/>
        <v>0</v>
      </c>
      <c r="S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307" t="s">
        <v>1165</v>
      </c>
      <c r="J45" s="309" t="str">
        <f>SUM(K21+K22+K24+K26+K27+K28+K30+K31+K33+K34+K36+K37+K38+K40+K41+K43+K44)</f>
        <v>#VALUE!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C46" s="315"/>
      <c r="F46" s="316"/>
      <c r="G46" s="42"/>
      <c r="H46" s="42"/>
      <c r="I46" s="317"/>
      <c r="J46" s="318"/>
      <c r="K46" s="319"/>
      <c r="M46" s="331"/>
      <c r="R46" s="315"/>
      <c r="S46" s="316"/>
    </row>
    <row r="47" ht="14.25" customHeight="1">
      <c r="A47" s="249" t="s">
        <v>1147</v>
      </c>
      <c r="B47" s="250"/>
      <c r="C47" s="251"/>
      <c r="D47" s="252"/>
      <c r="E47" s="252"/>
      <c r="F47" s="252"/>
      <c r="G47" s="252"/>
      <c r="H47" s="252"/>
      <c r="I47" s="253" t="s">
        <v>1148</v>
      </c>
      <c r="J47" s="250"/>
      <c r="K47" s="250"/>
      <c r="L47" s="250"/>
      <c r="M47" s="254"/>
      <c r="P47" s="255" t="str">
        <f>P31</f>
        <v>SEGUNDA (LOJA 1 BENDITO-ROTISSERIA)</v>
      </c>
      <c r="Q47" s="256"/>
      <c r="R47" s="257" t="s">
        <v>12</v>
      </c>
      <c r="S47" s="258">
        <f>S31</f>
        <v>46048</v>
      </c>
    </row>
    <row r="48" ht="14.25" customHeight="1">
      <c r="A48" s="259" t="s">
        <v>1170</v>
      </c>
      <c r="B48" s="260"/>
      <c r="C48" s="261" t="s">
        <v>1164</v>
      </c>
      <c r="D48" s="262" t="s">
        <v>1149</v>
      </c>
      <c r="E48" s="263"/>
      <c r="F48" s="263"/>
      <c r="G48" s="263"/>
      <c r="H48" s="264"/>
      <c r="I48" s="262" t="s">
        <v>1150</v>
      </c>
      <c r="J48" s="263"/>
      <c r="K48" s="263"/>
      <c r="L48" s="263"/>
      <c r="M48" s="265"/>
      <c r="P48" s="259" t="s">
        <v>1170</v>
      </c>
      <c r="Q48" s="260"/>
      <c r="R48" s="266" t="s">
        <v>1149</v>
      </c>
      <c r="S48" s="267"/>
    </row>
    <row r="49" ht="14.25" customHeight="1">
      <c r="A49" s="268" t="s">
        <v>271</v>
      </c>
      <c r="B49" s="269" t="s">
        <v>289</v>
      </c>
      <c r="C49" s="270" t="s">
        <v>1151</v>
      </c>
      <c r="D49" s="270" t="s">
        <v>1152</v>
      </c>
      <c r="E49" s="270" t="s">
        <v>1153</v>
      </c>
      <c r="F49" s="270" t="s">
        <v>1154</v>
      </c>
      <c r="G49" s="271" t="s">
        <v>1155</v>
      </c>
      <c r="H49" s="270" t="s">
        <v>1156</v>
      </c>
      <c r="I49" s="272" t="s">
        <v>1157</v>
      </c>
      <c r="J49" s="272" t="s">
        <v>1158</v>
      </c>
      <c r="K49" s="272" t="s">
        <v>1159</v>
      </c>
      <c r="L49" s="270" t="s">
        <v>1160</v>
      </c>
      <c r="M49" s="273" t="s">
        <v>1161</v>
      </c>
      <c r="P49" s="268" t="s">
        <v>271</v>
      </c>
      <c r="Q49" s="269" t="s">
        <v>289</v>
      </c>
      <c r="R49" s="270" t="s">
        <v>1151</v>
      </c>
      <c r="S49" s="270" t="s">
        <v>1154</v>
      </c>
    </row>
    <row r="50" ht="14.25" customHeight="1">
      <c r="A50" s="274" t="str">
        <f t="shared" ref="A50:A53" si="131">('[1]ESCALA DE PRODUÇÃO'!B41)</f>
        <v>#REF!</v>
      </c>
      <c r="B50" s="275" t="str">
        <f t="shared" ref="B50:B53" si="132">XLOOKUP(A50,'[1]ESCALA DE PRODUÇÃO'!$AL$1:$AL$1048566,'[1]ESCALA DE PRODUÇÃO'!$AJ$1:$AJ$1048566,"NÃO ENCOTRADO")</f>
        <v>#REF!</v>
      </c>
      <c r="C50" s="276">
        <v>2.0</v>
      </c>
      <c r="D50" s="277" t="str">
        <f t="shared" ref="D50:D53" si="133">XLOOKUP(A50,'[1]ESCALA DE PRODUÇÃO'!$AL$1:$AL$1048566,'[1]ESCALA DE PRODUÇÃO'!$AK$1:$AK$1048566,"0")</f>
        <v>#REF!</v>
      </c>
      <c r="E50" s="278" t="str">
        <f t="shared" ref="E50:E53" si="134">('[2]ESCALA DE PRODUÇÃO'!D40)</f>
        <v>#REF!</v>
      </c>
      <c r="F50" s="279" t="str">
        <f t="shared" ref="F50:F53" si="135">IFERROR(C50/E50,"0")</f>
        <v>0</v>
      </c>
      <c r="G50" s="280" t="str">
        <f t="shared" ref="G50:G53" si="136">XLOOKUP(A50,'[1]ESCALA DE PRODUÇÃO'!$AL$1:$AL$1048566,'[1]ESCALA DE PRODUÇÃO'!$AM$1:$AM$1048566,"SEM PREÇO")</f>
        <v>#REF!</v>
      </c>
      <c r="H50" s="287" t="str">
        <f t="shared" ref="H50:H53" si="137">IFERROR(C50*G50,"0")</f>
        <v>0</v>
      </c>
      <c r="I50" s="288" t="str">
        <f t="array" ref="I50">XLOOKUP(A50,'DADOS DE VENDA'!A:A,'DADOS DE VENDA'!D:D,"SEM VENDA")</f>
        <v>#REF!</v>
      </c>
      <c r="J50" s="289" t="str">
        <f t="shared" ref="J50:J53" si="138">IFERROR(I50/E50,"0")</f>
        <v>0</v>
      </c>
      <c r="K50" s="290" t="str">
        <f t="shared" ref="K50:K53" si="139">IFERROR(I50*G50,"0")</f>
        <v>0</v>
      </c>
      <c r="L50" s="291" t="str">
        <f t="array" ref="L50">XLOOKUP(A50,'DADOS DE VENDA'!A:A,'DADOS DE VENDA'!E:E,"RUPTURA NO PERIODO")</f>
        <v>#REF!</v>
      </c>
      <c r="M50" s="286" t="str">
        <f t="array" ref="M50">IFS(C50&lt;I50,"ABAIXO",C50&gt;I50,"ACIMA",C50=I50,"OK")</f>
        <v>#REF!</v>
      </c>
      <c r="P50" s="274" t="str">
        <f t="shared" ref="P50:P53" si="140">A50</f>
        <v>#REF!</v>
      </c>
      <c r="Q50" s="275" t="str">
        <f t="shared" ref="Q50:Q53" si="141">XLOOKUP(P50,'[1]ESCALA DE PRODUÇÃO'!$AL$1:$AL$1048566,'[1]ESCALA DE PRODUÇÃO'!$AJ$1:$AJ$1048566,"NÃO ENCOTRADO")</f>
        <v>#REF!</v>
      </c>
      <c r="R50" s="276">
        <f t="shared" ref="R50:R53" si="142">(C50)</f>
        <v>2</v>
      </c>
      <c r="S50" s="279" t="str">
        <f t="shared" ref="S50:S53" si="143">F50</f>
        <v>0</v>
      </c>
    </row>
    <row r="51" ht="14.25" customHeight="1">
      <c r="A51" s="274" t="str">
        <f t="shared" si="131"/>
        <v>#REF!</v>
      </c>
      <c r="B51" s="275" t="str">
        <f t="shared" si="132"/>
        <v>#REF!</v>
      </c>
      <c r="C51" s="276">
        <v>2.0</v>
      </c>
      <c r="D51" s="277" t="str">
        <f t="shared" si="133"/>
        <v>#REF!</v>
      </c>
      <c r="E51" s="278" t="str">
        <f t="shared" si="134"/>
        <v>#REF!</v>
      </c>
      <c r="F51" s="279" t="str">
        <f t="shared" si="135"/>
        <v>0</v>
      </c>
      <c r="G51" s="280" t="str">
        <f t="shared" si="136"/>
        <v>#REF!</v>
      </c>
      <c r="H51" s="287" t="str">
        <f t="shared" si="137"/>
        <v>0</v>
      </c>
      <c r="I51" s="288" t="str">
        <f t="array" ref="I51">XLOOKUP(A51,'DADOS DE VENDA'!A:A,'DADOS DE VENDA'!D:D,"SEM VENDA")</f>
        <v>#REF!</v>
      </c>
      <c r="J51" s="289" t="str">
        <f t="shared" si="138"/>
        <v>0</v>
      </c>
      <c r="K51" s="290" t="str">
        <f t="shared" si="139"/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si="140"/>
        <v>#REF!</v>
      </c>
      <c r="Q51" s="275" t="str">
        <f t="shared" si="141"/>
        <v>#REF!</v>
      </c>
      <c r="R51" s="276">
        <f t="shared" si="142"/>
        <v>2</v>
      </c>
      <c r="S51" s="279" t="str">
        <f t="shared" si="143"/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2.0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VENDA'!A:A,'DADOS DE VENDA'!D:D,"SEM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40"/>
        <v>#REF!</v>
      </c>
      <c r="Q52" s="275" t="str">
        <f t="shared" si="141"/>
        <v>#REF!</v>
      </c>
      <c r="R52" s="276">
        <f t="shared" si="142"/>
        <v>2</v>
      </c>
      <c r="S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3.0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VENDA'!A:A,'DADOS DE VENDA'!D:D,"SEM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40"/>
        <v>#REF!</v>
      </c>
      <c r="Q53" s="275" t="str">
        <f t="shared" si="141"/>
        <v>#REF!</v>
      </c>
      <c r="R53" s="276">
        <f t="shared" si="142"/>
        <v>3</v>
      </c>
      <c r="S53" s="279" t="str">
        <f t="shared" si="143"/>
        <v>0</v>
      </c>
    </row>
    <row r="54" ht="14.25" customHeight="1">
      <c r="A54" s="268" t="s">
        <v>271</v>
      </c>
      <c r="B54" s="269" t="s">
        <v>1171</v>
      </c>
      <c r="C54" s="270" t="s">
        <v>1151</v>
      </c>
      <c r="D54" s="270" t="s">
        <v>1152</v>
      </c>
      <c r="E54" s="270" t="s">
        <v>1153</v>
      </c>
      <c r="F54" s="270" t="s">
        <v>1154</v>
      </c>
      <c r="G54" s="271" t="s">
        <v>1155</v>
      </c>
      <c r="H54" s="270" t="s">
        <v>1156</v>
      </c>
      <c r="I54" s="272" t="s">
        <v>1157</v>
      </c>
      <c r="J54" s="272" t="s">
        <v>1158</v>
      </c>
      <c r="K54" s="272" t="s">
        <v>1159</v>
      </c>
      <c r="L54" s="270" t="s">
        <v>1160</v>
      </c>
      <c r="M54" s="273" t="s">
        <v>1161</v>
      </c>
      <c r="P54" s="268" t="s">
        <v>271</v>
      </c>
      <c r="Q54" s="269" t="s">
        <v>289</v>
      </c>
      <c r="R54" s="270" t="s">
        <v>1151</v>
      </c>
      <c r="S54" s="270" t="s">
        <v>1154</v>
      </c>
    </row>
    <row r="55" ht="14.25" customHeight="1">
      <c r="A55" s="274" t="str">
        <f t="shared" ref="A55:A58" si="144">('[1]ESCALA DE PRODUÇÃO'!B46)</f>
        <v>#REF!</v>
      </c>
      <c r="B55" s="275" t="str">
        <f t="shared" ref="B55:B58" si="145">XLOOKUP(A55,'[1]ESCALA DE PRODUÇÃO'!$AL$1:$AL$1048566,'[1]ESCALA DE PRODUÇÃO'!$AJ$1:$AJ$1048566,"NÃO ENCOTRADO")</f>
        <v>#REF!</v>
      </c>
      <c r="C55" s="276">
        <v>1.15</v>
      </c>
      <c r="D55" s="277" t="str">
        <f t="shared" ref="D55:D58" si="146">XLOOKUP(A55,'[1]ESCALA DE PRODUÇÃO'!$AL$1:$AL$1048566,'[1]ESCALA DE PRODUÇÃO'!$AK$1:$AK$1048566,"0")</f>
        <v>#REF!</v>
      </c>
      <c r="E55" s="278" t="str">
        <f t="shared" ref="E55:E58" si="147">('[2]ESCALA DE PRODUÇÃO'!D45)</f>
        <v>#REF!</v>
      </c>
      <c r="F55" s="279" t="str">
        <f t="shared" ref="F55:F58" si="148">IFERROR(C55/E55,"0")</f>
        <v>0</v>
      </c>
      <c r="G55" s="280" t="str">
        <f t="shared" ref="G55:G58" si="149">XLOOKUP(A55,'[1]ESCALA DE PRODUÇÃO'!$AL$1:$AL$1048566,'[1]ESCALA DE PRODUÇÃO'!$AM$1:$AM$1048566,"SEM PREÇO")</f>
        <v>#REF!</v>
      </c>
      <c r="H55" s="287" t="str">
        <f t="shared" ref="H55:H58" si="150">IFERROR(C55*G55,"0")</f>
        <v>0</v>
      </c>
      <c r="I55" s="288" t="str">
        <f t="array" ref="I55">XLOOKUP(A55,'DADOS DE VENDA'!A:A,'DADOS DE VENDA'!D:D,"SEM VENDA")</f>
        <v>#REF!</v>
      </c>
      <c r="J55" s="289" t="str">
        <f t="shared" ref="J55:J58" si="151">IFERROR(I55/E55,"0")</f>
        <v>0</v>
      </c>
      <c r="K55" s="290" t="str">
        <f t="shared" ref="K55:K58" si="152">IFERROR(I55*G55,"0")</f>
        <v>0</v>
      </c>
      <c r="L55" s="291" t="str">
        <f t="array" ref="L55">XLOOKUP(A55,'DADOS DE VENDA'!A:A,'DADOS DE VENDA'!E:E,"RUPTURA NO PERIODO")</f>
        <v>#REF!</v>
      </c>
      <c r="M55" s="286" t="str">
        <f t="array" ref="M55">IFS(C55&lt;I55,"ABAIXO",C55&gt;I55,"ACIMA",C55=I55,"OK")</f>
        <v>#REF!</v>
      </c>
      <c r="P55" s="274" t="str">
        <f t="shared" ref="P55:P58" si="153">A55</f>
        <v>#REF!</v>
      </c>
      <c r="Q55" s="275" t="str">
        <f t="shared" ref="Q55:Q58" si="154">XLOOKUP(P55,'[1]ESCALA DE PRODUÇÃO'!$AL$1:$AL$1048566,'[1]ESCALA DE PRODUÇÃO'!$AJ$1:$AJ$1048566,"NÃO ENCOTRADO")</f>
        <v>#REF!</v>
      </c>
      <c r="R55" s="276">
        <f t="shared" ref="R55:R58" si="155">(C55)</f>
        <v>1.15</v>
      </c>
      <c r="S55" s="279" t="str">
        <f t="shared" ref="S55:S58" si="156">F55</f>
        <v>0</v>
      </c>
    </row>
    <row r="56" ht="14.25" customHeight="1">
      <c r="A56" s="274" t="str">
        <f t="shared" si="144"/>
        <v>#REF!</v>
      </c>
      <c r="B56" s="275" t="str">
        <f t="shared" si="145"/>
        <v>#REF!</v>
      </c>
      <c r="C56" s="276">
        <v>1.15</v>
      </c>
      <c r="D56" s="277" t="str">
        <f t="shared" si="146"/>
        <v>#REF!</v>
      </c>
      <c r="E56" s="278" t="str">
        <f t="shared" si="147"/>
        <v>#REF!</v>
      </c>
      <c r="F56" s="279" t="str">
        <f t="shared" si="148"/>
        <v>0</v>
      </c>
      <c r="G56" s="280" t="str">
        <f t="shared" si="149"/>
        <v>#REF!</v>
      </c>
      <c r="H56" s="287" t="str">
        <f t="shared" si="150"/>
        <v>0</v>
      </c>
      <c r="I56" s="288" t="str">
        <f t="array" ref="I56">XLOOKUP(A56,'DADOS DE VENDA'!A:A,'DADOS DE VENDA'!D:D,"SEM VENDA")</f>
        <v>#REF!</v>
      </c>
      <c r="J56" s="289" t="str">
        <f t="shared" si="151"/>
        <v>0</v>
      </c>
      <c r="K56" s="290" t="str">
        <f t="shared" si="152"/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si="153"/>
        <v>#REF!</v>
      </c>
      <c r="Q56" s="275" t="str">
        <f t="shared" si="154"/>
        <v>#REF!</v>
      </c>
      <c r="R56" s="276">
        <f t="shared" si="155"/>
        <v>1.15</v>
      </c>
      <c r="S56" s="279" t="str">
        <f t="shared" si="156"/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1.0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VENDA'!A:A,'DADOS DE VENDA'!D:D,"SEM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53"/>
        <v>#REF!</v>
      </c>
      <c r="Q57" s="275" t="str">
        <f t="shared" si="154"/>
        <v>#REF!</v>
      </c>
      <c r="R57" s="276">
        <f t="shared" si="155"/>
        <v>1</v>
      </c>
      <c r="S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0.0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VENDA'!A:A,'DADOS DE VENDA'!D:D,"SEM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53"/>
        <v>#REF!</v>
      </c>
      <c r="Q58" s="275" t="str">
        <f t="shared" si="154"/>
        <v>#REF!</v>
      </c>
      <c r="R58" s="276">
        <f t="shared" si="155"/>
        <v>0</v>
      </c>
      <c r="S58" s="279" t="str">
        <f t="shared" si="156"/>
        <v>0</v>
      </c>
    </row>
    <row r="59" ht="14.25" customHeight="1">
      <c r="A59" s="274"/>
      <c r="B59" s="304" t="s">
        <v>1162</v>
      </c>
      <c r="C59" s="304" t="s">
        <v>1163</v>
      </c>
      <c r="D59" s="305"/>
      <c r="E59" s="306"/>
      <c r="F59" s="307" t="s">
        <v>1164</v>
      </c>
      <c r="G59" s="308">
        <f>SUM(H50,H51,H52,H53,H55,H56,H57,H58)</f>
        <v>0</v>
      </c>
      <c r="H59" s="306"/>
      <c r="I59" s="307" t="s">
        <v>1165</v>
      </c>
      <c r="J59" s="309" t="str">
        <f>SUM(K36+K37+K38+K40+K41+K42+K44+K45+K47+K48+K50+K51+K52+K54+K55+K57+K58)</f>
        <v>#VALUE!</v>
      </c>
      <c r="K59" s="306"/>
      <c r="L59" s="310"/>
      <c r="M59" s="311"/>
      <c r="P59" s="312" t="s">
        <v>1156</v>
      </c>
      <c r="Q59" s="313"/>
      <c r="R59" s="314">
        <f>G59</f>
        <v>0</v>
      </c>
      <c r="S59" s="313"/>
    </row>
    <row r="60" ht="14.25" customHeight="1">
      <c r="G60" s="42"/>
    </row>
    <row r="61" ht="14.25" customHeight="1">
      <c r="G61" s="42"/>
    </row>
    <row r="62" ht="14.25" customHeight="1">
      <c r="G62" s="42"/>
      <c r="P62" s="332" t="s">
        <v>1172</v>
      </c>
      <c r="Q62" s="333"/>
      <c r="R62" s="334">
        <f>SUM(R28,R45,R59)</f>
        <v>0</v>
      </c>
      <c r="S62" s="335"/>
    </row>
    <row r="63" ht="14.25" customHeight="1">
      <c r="G63" s="42"/>
      <c r="P63" s="336"/>
      <c r="R63" s="336"/>
      <c r="S63" s="337"/>
    </row>
    <row r="64" ht="14.25" customHeight="1">
      <c r="G64" s="42"/>
      <c r="P64" s="338"/>
      <c r="Q64" s="339"/>
      <c r="R64" s="338"/>
      <c r="S64" s="340"/>
    </row>
    <row r="65" ht="14.25" customHeight="1">
      <c r="G65" s="42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8:H48"/>
    <mergeCell ref="D59:E59"/>
    <mergeCell ref="G59:H59"/>
    <mergeCell ref="J59:K59"/>
    <mergeCell ref="P59:Q59"/>
    <mergeCell ref="R59:S59"/>
    <mergeCell ref="P62:Q64"/>
    <mergeCell ref="R62:S64"/>
    <mergeCell ref="A47:C47"/>
    <mergeCell ref="I47:M47"/>
    <mergeCell ref="P47:Q47"/>
    <mergeCell ref="A48:B48"/>
    <mergeCell ref="I48:M48"/>
    <mergeCell ref="P48:Q48"/>
    <mergeCell ref="R48:S48"/>
  </mergeCells>
  <conditionalFormatting sqref="I4:I6 I8:I10 I12:I13 I15:I16 I18:I20 I22:I24 I26:I27 I29:I30 I34:I36 I38:I40 I42:I44 I46">
    <cfRule type="containsText" dxfId="0" priority="1" operator="containsText" text="SEM VENDA">
      <formula>NOT(ISERROR(SEARCH(("SEM VENDA"),(I4))))</formula>
    </cfRule>
  </conditionalFormatting>
  <conditionalFormatting sqref="I50:I53 I55:I58">
    <cfRule type="containsText" dxfId="0" priority="2" operator="containsText" text="SEM VENDA">
      <formula>NOT(ISERROR(SEARCH(("SEM VENDA"),(I50))))</formula>
    </cfRule>
  </conditionalFormatting>
  <conditionalFormatting sqref="L4:L6 L8:L10 L12:L13 L15:L16 L18:L20 L22:L24 L26:L30 L34:L36 L38:L40 L42:L46">
    <cfRule type="containsText" dxfId="0" priority="3" operator="containsText" text="RUPTURA NO PERIODO">
      <formula>NOT(ISERROR(SEARCH(("RUPTURA NO PERIODO"),(L4))))</formula>
    </cfRule>
  </conditionalFormatting>
  <conditionalFormatting sqref="L50:L53">
    <cfRule type="containsText" dxfId="0" priority="4" operator="containsText" text="RUPTURA NO PERIODO">
      <formula>NOT(ISERROR(SEARCH(("RUPTURA NO PERIODO"),(L50))))</formula>
    </cfRule>
  </conditionalFormatting>
  <conditionalFormatting sqref="L55:L59">
    <cfRule type="containsText" dxfId="0" priority="5" operator="containsText" text="RUPTURA NO PERIODO">
      <formula>NOT(ISERROR(SEARCH(("RUPTURA NO PERIODO"),(L55))))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C6D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43"/>
    <col customWidth="1" min="3" max="3" width="8.43"/>
    <col customWidth="1" min="4" max="4" width="8.14"/>
    <col customWidth="1" min="5" max="5" width="7.0"/>
    <col customWidth="1" min="6" max="6" width="9.29"/>
    <col customWidth="1" min="7" max="7" width="11.29"/>
    <col customWidth="1" min="8" max="8" width="11.14"/>
    <col customWidth="1" min="9" max="9" width="13.57"/>
    <col customWidth="1" min="10" max="11" width="10.86"/>
    <col customWidth="1" min="12" max="12" width="20.14"/>
    <col customWidth="1" min="13" max="14" width="8.71"/>
    <col customWidth="1" min="15" max="15" width="6.57"/>
    <col customWidth="1" min="16" max="16" width="67.14"/>
    <col customWidth="1" min="17" max="17" width="8.71"/>
    <col customWidth="1" min="18" max="18" width="11.86"/>
    <col customWidth="1" min="19" max="26" width="8.71"/>
  </cols>
  <sheetData>
    <row r="1" ht="14.25" customHeight="1">
      <c r="A1" s="341" t="s">
        <v>1173</v>
      </c>
      <c r="B1" s="342"/>
      <c r="C1" s="343"/>
      <c r="D1" s="344"/>
      <c r="E1" s="344"/>
      <c r="F1" s="344"/>
      <c r="G1" s="344"/>
      <c r="H1" s="344"/>
      <c r="I1" s="345" t="s">
        <v>1148</v>
      </c>
      <c r="J1" s="250"/>
      <c r="K1" s="250"/>
      <c r="L1" s="250"/>
      <c r="M1" s="254"/>
      <c r="O1" s="255" t="s">
        <v>1174</v>
      </c>
      <c r="P1" s="256"/>
      <c r="Q1" s="257" t="s">
        <v>12</v>
      </c>
      <c r="R1" s="258">
        <v>46048.0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N2" s="347"/>
      <c r="O2" s="259" t="s">
        <v>270</v>
      </c>
      <c r="P2" s="260"/>
      <c r="Q2" s="266" t="s">
        <v>1149</v>
      </c>
      <c r="R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O3" s="268" t="s">
        <v>271</v>
      </c>
      <c r="P3" s="269" t="s">
        <v>276</v>
      </c>
      <c r="Q3" s="270" t="s">
        <v>1151</v>
      </c>
      <c r="R3" s="270" t="s">
        <v>1154</v>
      </c>
    </row>
    <row r="4" ht="14.25" customHeight="1">
      <c r="A4" s="277" t="str">
        <f t="shared" ref="A4:A6" si="1">'[1]ESCALA DE PRODUÇÃO'!G3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7.0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PRODUÇÃO'!I3)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VENDA'!G:G,'DADOS DE VENDA'!J:J,"SEM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O4" s="274" t="str">
        <f t="shared" ref="O4:O6" si="10">A4</f>
        <v>#REF!</v>
      </c>
      <c r="P4" s="275" t="str">
        <f t="shared" ref="P4:P6" si="11">XLOOKUP(O4,'[1]ESCALA DE PRODUÇÃO'!$AL$1:$AL$1048566,'[1]ESCALA DE PRODUÇÃO'!$AJ$1:$AJ$1048566,"NÃO ENCOTRADO")</f>
        <v>#REF!</v>
      </c>
      <c r="Q4" s="276">
        <f t="shared" ref="Q4:Q6" si="12">C4</f>
        <v>7</v>
      </c>
      <c r="R4" s="279" t="str">
        <f t="shared" ref="R4:R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13.0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VENDA'!G:G,'DADOS DE VENDA'!J:J,"SEM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O5" s="274" t="str">
        <f t="shared" si="10"/>
        <v>#REF!</v>
      </c>
      <c r="P5" s="275" t="str">
        <f t="shared" si="11"/>
        <v>#REF!</v>
      </c>
      <c r="Q5" s="276">
        <f t="shared" si="12"/>
        <v>13</v>
      </c>
      <c r="R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VENDA'!G:G,'DADOS DE VENDA'!J:J,"SEM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O6" s="274" t="str">
        <f t="shared" si="10"/>
        <v>#REF!</v>
      </c>
      <c r="P6" s="275" t="str">
        <f t="shared" si="11"/>
        <v>#REF!</v>
      </c>
      <c r="Q6" s="276">
        <f t="shared" si="12"/>
        <v>0</v>
      </c>
      <c r="R6" s="279" t="str">
        <f t="shared" si="13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O7" s="268" t="s">
        <v>271</v>
      </c>
      <c r="P7" s="269" t="s">
        <v>298</v>
      </c>
      <c r="Q7" s="270" t="s">
        <v>1151</v>
      </c>
      <c r="R7" s="270" t="s">
        <v>1154</v>
      </c>
    </row>
    <row r="8" ht="14.25" customHeight="1">
      <c r="A8" s="277" t="str">
        <f t="shared" ref="A8:A10" si="14">'[1]ESCALA DE PRODUÇÃO'!G7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2.0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('[1]ESCALA DE PRODUÇÃO'!I7)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2" t="str">
        <f t="array" ref="I8">XLOOKUP(A8,'DADOS DE VENDA'!G:G,'DADOS DE VENDA'!J:J,"SEM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O8" s="274" t="str">
        <f t="shared" ref="O8:O10" si="23">A8</f>
        <v>#REF!</v>
      </c>
      <c r="P8" s="275" t="str">
        <f t="shared" ref="P8:P10" si="24">XLOOKUP(O8,'[1]ESCALA DE PRODUÇÃO'!$AL$1:$AL$1048566,'[1]ESCALA DE PRODUÇÃO'!$AJ$1:$AJ$1048566,"NÃO ENCOTRADO")</f>
        <v>#REF!</v>
      </c>
      <c r="Q8" s="276">
        <f t="shared" ref="Q8:Q10" si="25">C8</f>
        <v>2</v>
      </c>
      <c r="R8" s="279" t="str">
        <f t="shared" ref="R8:R10" si="26">(F8)</f>
        <v>0</v>
      </c>
    </row>
    <row r="9" ht="14.25" customHeight="1">
      <c r="A9" s="277" t="str">
        <f t="shared" si="14"/>
        <v>#REF!</v>
      </c>
      <c r="B9" s="275" t="str">
        <f t="shared" si="15"/>
        <v>#REF!</v>
      </c>
      <c r="C9" s="276">
        <v>2.0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2" t="str">
        <f t="array" ref="I9">XLOOKUP(A9,'DADOS DE VENDA'!G:G,'DADOS DE VENDA'!J:J,"SEM VENDA")</f>
        <v>#REF!</v>
      </c>
      <c r="J9" s="289" t="str">
        <f t="shared" si="21"/>
        <v>0</v>
      </c>
      <c r="K9" s="290" t="str">
        <f t="shared" si="22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O9" s="274" t="str">
        <f t="shared" si="23"/>
        <v>#REF!</v>
      </c>
      <c r="P9" s="275" t="str">
        <f t="shared" si="24"/>
        <v>#REF!</v>
      </c>
      <c r="Q9" s="276">
        <f t="shared" si="25"/>
        <v>2</v>
      </c>
      <c r="R9" s="279" t="str">
        <f t="shared" si="26"/>
        <v>0</v>
      </c>
    </row>
    <row r="10" ht="14.25" customHeight="1">
      <c r="A10" s="277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2" t="str">
        <f t="array" ref="I10">XLOOKUP(A10,'DADOS DE VENDA'!G:G,'DADOS DE VENDA'!J:J,"SEM VENDA")</f>
        <v>#REF!</v>
      </c>
      <c r="J10" s="289" t="str">
        <f t="shared" si="21"/>
        <v>0</v>
      </c>
      <c r="K10" s="290" t="str">
        <f t="shared" si="22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O10" s="274" t="str">
        <f t="shared" si="23"/>
        <v>#REF!</v>
      </c>
      <c r="P10" s="275" t="str">
        <f t="shared" si="24"/>
        <v>#REF!</v>
      </c>
      <c r="Q10" s="276">
        <f t="shared" si="25"/>
        <v>0</v>
      </c>
      <c r="R10" s="279" t="str">
        <f t="shared" si="26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O11" s="268" t="s">
        <v>271</v>
      </c>
      <c r="P11" s="269" t="s">
        <v>304</v>
      </c>
      <c r="Q11" s="270" t="s">
        <v>1151</v>
      </c>
      <c r="R11" s="270" t="s">
        <v>1154</v>
      </c>
    </row>
    <row r="12" ht="14.25" customHeight="1">
      <c r="A12" s="277" t="str">
        <f t="shared" ref="A12:A13" si="27">'[1]ESCALA DE PRODUÇÃO'!G11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2.5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('[1]ESCALA DE PRODUÇÃO'!I11)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2" t="str">
        <f t="array" ref="I12">XLOOKUP(A12,'DADOS DE VENDA'!G:G,'DADOS DE VENDA'!J:J,"SEM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O12" s="274" t="str">
        <f t="shared" ref="O12:O13" si="36">A12</f>
        <v>#REF!</v>
      </c>
      <c r="P12" s="275" t="str">
        <f t="shared" ref="P12:P13" si="37">XLOOKUP(O12,'[1]ESCALA DE PRODUÇÃO'!$AL$1:$AL$1048566,'[1]ESCALA DE PRODUÇÃO'!$AJ$1:$AJ$1048566,"NÃO ENCOTRADO")</f>
        <v>#REF!</v>
      </c>
      <c r="Q12" s="276">
        <f t="shared" ref="Q12:Q13" si="38">C12</f>
        <v>2.5</v>
      </c>
      <c r="R12" s="279" t="str">
        <f t="shared" ref="R12:R13" si="39">(F12)</f>
        <v>0</v>
      </c>
    </row>
    <row r="13" ht="14.25" customHeight="1">
      <c r="A13" s="277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2" t="str">
        <f t="array" ref="I13">XLOOKUP(A13,'DADOS DE VENDA'!G:G,'DADOS DE VENDA'!J:J,"SEM VENDA")</f>
        <v>#REF!</v>
      </c>
      <c r="J13" s="289" t="str">
        <f t="shared" si="34"/>
        <v>0</v>
      </c>
      <c r="K13" s="290" t="str">
        <f t="shared" si="35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O13" s="274" t="str">
        <f t="shared" si="36"/>
        <v>#REF!</v>
      </c>
      <c r="P13" s="275" t="str">
        <f t="shared" si="37"/>
        <v>#REF!</v>
      </c>
      <c r="Q13" s="276">
        <f t="shared" si="38"/>
        <v>0</v>
      </c>
      <c r="R13" s="279" t="str">
        <f t="shared" si="39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O14" s="268" t="s">
        <v>271</v>
      </c>
      <c r="P14" s="269" t="s">
        <v>316</v>
      </c>
      <c r="Q14" s="270" t="s">
        <v>1151</v>
      </c>
      <c r="R14" s="270" t="s">
        <v>1154</v>
      </c>
    </row>
    <row r="15" ht="14.25" customHeight="1">
      <c r="A15" s="277" t="str">
        <f t="shared" ref="A15:A16" si="40">'[1]ESCALA DE PRODUÇÃO'!G14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1.2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('[1]ESCALA DE PRODUÇÃO'!I14)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2" t="str">
        <f t="array" ref="I15">XLOOKUP(A15,'DADOS DE VENDA'!G:G,'DADOS DE VENDA'!J:J,"SEM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O15" s="274" t="str">
        <f t="shared" ref="O15:O16" si="49">A15</f>
        <v>#REF!</v>
      </c>
      <c r="P15" s="275" t="str">
        <f t="shared" ref="P15:P16" si="50">XLOOKUP(O15,'[1]ESCALA DE PRODUÇÃO'!$AL$1:$AL$1048566,'[1]ESCALA DE PRODUÇÃO'!$AJ$1:$AJ$1048566,"NÃO ENCOTRADO")</f>
        <v>#REF!</v>
      </c>
      <c r="Q15" s="276">
        <f t="shared" ref="Q15:Q16" si="51">C15</f>
        <v>1.2</v>
      </c>
      <c r="R15" s="279" t="str">
        <f t="shared" ref="R15:R16" si="52">(F15)</f>
        <v>0</v>
      </c>
    </row>
    <row r="16" ht="14.25" customHeight="1">
      <c r="A16" s="277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2" t="str">
        <f t="array" ref="I16">XLOOKUP(A16,'DADOS DE VENDA'!G:G,'DADOS DE VENDA'!J:J,"SEM VENDA")</f>
        <v>#REF!</v>
      </c>
      <c r="J16" s="289" t="str">
        <f t="shared" si="47"/>
        <v>0</v>
      </c>
      <c r="K16" s="290" t="str">
        <f t="shared" si="48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O16" s="274" t="str">
        <f t="shared" si="49"/>
        <v>#REF!</v>
      </c>
      <c r="P16" s="275" t="str">
        <f t="shared" si="50"/>
        <v>#REF!</v>
      </c>
      <c r="Q16" s="276">
        <f t="shared" si="51"/>
        <v>0</v>
      </c>
      <c r="R16" s="279" t="str">
        <f t="shared" si="52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O17" s="268" t="s">
        <v>271</v>
      </c>
      <c r="P17" s="269" t="s">
        <v>323</v>
      </c>
      <c r="Q17" s="270" t="s">
        <v>1151</v>
      </c>
      <c r="R17" s="270" t="s">
        <v>1154</v>
      </c>
    </row>
    <row r="18" ht="14.25" customHeight="1">
      <c r="A18" s="277" t="str">
        <f t="shared" ref="A18:A20" si="53">'[1]ESCALA DE PRODUÇÃO'!G17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0.5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('[1]ESCALA DE PRODUÇÃO'!I17)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2" t="str">
        <f t="array" ref="I18">XLOOKUP(A18,'DADOS DE VENDA'!G:G,'DADOS DE VENDA'!J:J,"SEM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O18" s="274" t="str">
        <f t="shared" ref="O18:O20" si="62">A18</f>
        <v>#REF!</v>
      </c>
      <c r="P18" s="275" t="str">
        <f t="shared" ref="P18:P20" si="63">XLOOKUP(O18,'[1]ESCALA DE PRODUÇÃO'!$AL$1:$AL$1048566,'[1]ESCALA DE PRODUÇÃO'!$AJ$1:$AJ$1048566,"NÃO ENCOTRADO")</f>
        <v>#REF!</v>
      </c>
      <c r="Q18" s="276">
        <f t="shared" ref="Q18:Q20" si="64">C18</f>
        <v>0.5</v>
      </c>
      <c r="R18" s="279" t="str">
        <f t="shared" ref="R18:R20" si="65">(F18)</f>
        <v>0</v>
      </c>
    </row>
    <row r="19" ht="14.25" customHeight="1">
      <c r="A19" s="277" t="str">
        <f t="shared" si="53"/>
        <v>#REF!</v>
      </c>
      <c r="B19" s="275" t="str">
        <f t="shared" si="54"/>
        <v>#REF!</v>
      </c>
      <c r="C19" s="276">
        <v>0.5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2" t="str">
        <f t="array" ref="I19">XLOOKUP(A19,'DADOS DE VENDA'!G:G,'DADOS DE VENDA'!J:J,"SEM VENDA")</f>
        <v>#REF!</v>
      </c>
      <c r="J19" s="289" t="str">
        <f t="shared" si="60"/>
        <v>0</v>
      </c>
      <c r="K19" s="290" t="str">
        <f t="shared" si="61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O19" s="274" t="str">
        <f t="shared" si="62"/>
        <v>#REF!</v>
      </c>
      <c r="P19" s="275" t="str">
        <f t="shared" si="63"/>
        <v>#REF!</v>
      </c>
      <c r="Q19" s="276">
        <f t="shared" si="64"/>
        <v>0.5</v>
      </c>
      <c r="R19" s="279" t="str">
        <f t="shared" si="65"/>
        <v>0</v>
      </c>
    </row>
    <row r="20" ht="14.25" customHeight="1">
      <c r="A20" s="277" t="str">
        <f t="shared" si="53"/>
        <v>#REF!</v>
      </c>
      <c r="B20" s="275" t="str">
        <f t="shared" si="54"/>
        <v>#REF!</v>
      </c>
      <c r="C20" s="276">
        <v>0.5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2" t="str">
        <f t="array" ref="I20">XLOOKUP(A20,'DADOS DE VENDA'!G:G,'DADOS DE VENDA'!J:J,"SEM VENDA")</f>
        <v>#REF!</v>
      </c>
      <c r="J20" s="289" t="str">
        <f t="shared" si="60"/>
        <v>0</v>
      </c>
      <c r="K20" s="290" t="str">
        <f t="shared" si="61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O20" s="274" t="str">
        <f t="shared" si="62"/>
        <v>#REF!</v>
      </c>
      <c r="P20" s="275" t="str">
        <f t="shared" si="63"/>
        <v>#REF!</v>
      </c>
      <c r="Q20" s="276">
        <f t="shared" si="64"/>
        <v>0.5</v>
      </c>
      <c r="R20" s="279" t="str">
        <f t="shared" si="65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O21" s="268" t="s">
        <v>271</v>
      </c>
      <c r="P21" s="269" t="s">
        <v>338</v>
      </c>
      <c r="Q21" s="270" t="s">
        <v>1151</v>
      </c>
      <c r="R21" s="270" t="s">
        <v>1154</v>
      </c>
    </row>
    <row r="22" ht="14.25" customHeight="1">
      <c r="A22" s="277" t="str">
        <f t="shared" ref="A22:A24" si="66">'[1]ESCALA DE PRODUÇÃO'!G21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2.0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('[1]ESCALA DE PRODUÇÃO'!I21)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2" t="str">
        <f t="array" ref="I22">XLOOKUP(A22,'DADOS DE VENDA'!G:G,'DADOS DE VENDA'!J:J,"SEM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O22" s="274" t="str">
        <f t="shared" ref="O22:O24" si="75">A22</f>
        <v>#REF!</v>
      </c>
      <c r="P22" s="275" t="str">
        <f t="shared" ref="P22:P24" si="76">XLOOKUP(O22,'[1]ESCALA DE PRODUÇÃO'!$AL$1:$AL$1048566,'[1]ESCALA DE PRODUÇÃO'!$AJ$1:$AJ$1048566,"NÃO ENCOTRADO")</f>
        <v>#REF!</v>
      </c>
      <c r="Q22" s="276">
        <f t="shared" ref="Q22:Q24" si="77">C22</f>
        <v>2</v>
      </c>
      <c r="R22" s="279" t="str">
        <f t="shared" ref="R22:R24" si="78">(F22)</f>
        <v>0</v>
      </c>
    </row>
    <row r="23" ht="14.25" customHeight="1">
      <c r="A23" s="277" t="str">
        <f t="shared" si="66"/>
        <v>#REF!</v>
      </c>
      <c r="B23" s="275" t="str">
        <f t="shared" si="67"/>
        <v>#REF!</v>
      </c>
      <c r="C23" s="276">
        <v>2.0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2" t="str">
        <f t="array" ref="I23">XLOOKUP(A23,'DADOS DE VENDA'!G:G,'DADOS DE VENDA'!J:J,"SEM VENDA")</f>
        <v>#REF!</v>
      </c>
      <c r="J23" s="289" t="str">
        <f t="shared" si="73"/>
        <v>0</v>
      </c>
      <c r="K23" s="290" t="str">
        <f t="shared" si="74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O23" s="274" t="str">
        <f t="shared" si="75"/>
        <v>#REF!</v>
      </c>
      <c r="P23" s="275" t="str">
        <f t="shared" si="76"/>
        <v>#REF!</v>
      </c>
      <c r="Q23" s="276">
        <f t="shared" si="77"/>
        <v>2</v>
      </c>
      <c r="R23" s="279" t="str">
        <f t="shared" si="78"/>
        <v>0</v>
      </c>
    </row>
    <row r="24" ht="14.25" customHeight="1">
      <c r="A24" s="277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2" t="str">
        <f t="array" ref="I24">XLOOKUP(A24,'DADOS DE VENDA'!G:G,'DADOS DE VENDA'!J:J,"SEM VENDA")</f>
        <v>#REF!</v>
      </c>
      <c r="J24" s="289" t="str">
        <f t="shared" si="73"/>
        <v>0</v>
      </c>
      <c r="K24" s="290" t="str">
        <f t="shared" si="74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O24" s="274" t="str">
        <f t="shared" si="75"/>
        <v>#REF!</v>
      </c>
      <c r="P24" s="275" t="str">
        <f t="shared" si="76"/>
        <v>#REF!</v>
      </c>
      <c r="Q24" s="276">
        <f t="shared" si="77"/>
        <v>0</v>
      </c>
      <c r="R24" s="279" t="str">
        <f t="shared" si="78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O25" s="268" t="s">
        <v>271</v>
      </c>
      <c r="P25" s="269" t="s">
        <v>313</v>
      </c>
      <c r="Q25" s="270" t="s">
        <v>1151</v>
      </c>
      <c r="R25" s="270" t="s">
        <v>1154</v>
      </c>
    </row>
    <row r="26" ht="14.25" customHeight="1">
      <c r="A26" s="277" t="str">
        <f t="shared" ref="A26:A27" si="79">'[1]ESCALA DE PRODUÇÃO'!G25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3.5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('[1]ESCALA DE PRODUÇÃO'!I25)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2" t="str">
        <f t="array" ref="I26">XLOOKUP(A26,'DADOS DE VENDA'!G:G,'DADOS DE VENDA'!J:J,"SEM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O26" s="274" t="str">
        <f t="shared" ref="O26:O27" si="88">A26</f>
        <v>#REF!</v>
      </c>
      <c r="P26" s="275" t="str">
        <f t="shared" ref="P26:P27" si="89">XLOOKUP(O26,'[1]ESCALA DE PRODUÇÃO'!$AL$1:$AL$1048566,'[1]ESCALA DE PRODUÇÃO'!$AJ$1:$AJ$1048566,"NÃO ENCOTRADO")</f>
        <v>#REF!</v>
      </c>
      <c r="Q26" s="276">
        <f t="shared" ref="Q26:Q27" si="90">C26</f>
        <v>3.5</v>
      </c>
      <c r="R26" s="279" t="str">
        <f t="shared" ref="R26:R27" si="91">(F26)</f>
        <v>0</v>
      </c>
    </row>
    <row r="27" ht="14.25" customHeight="1">
      <c r="A27" s="277" t="str">
        <f t="shared" si="79"/>
        <v>#REF!</v>
      </c>
      <c r="B27" s="349" t="str">
        <f t="shared" si="80"/>
        <v>#REF!</v>
      </c>
      <c r="C27" s="292">
        <v>2.0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82" t="str">
        <f t="array" ref="I27">XLOOKUP(A27,'DADOS DE VENDA'!G:G,'DADOS DE VENDA'!J:J,"SEM VENDA")</f>
        <v>#REF!</v>
      </c>
      <c r="J27" s="298" t="str">
        <f t="shared" si="86"/>
        <v>0</v>
      </c>
      <c r="K27" s="299" t="str">
        <f t="shared" si="87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O27" s="274" t="str">
        <f t="shared" si="88"/>
        <v>#REF!</v>
      </c>
      <c r="P27" s="302" t="str">
        <f t="shared" si="89"/>
        <v>#REF!</v>
      </c>
      <c r="Q27" s="292">
        <f t="shared" si="90"/>
        <v>2</v>
      </c>
      <c r="R27" s="279" t="str">
        <f t="shared" si="91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356"/>
      <c r="J28" s="357">
        <f>SUM(K4+K5+K6+K8+K9+K10+K12+K13+K15+K16+K18+K19+K20+K22+K24+K26+K27)</f>
        <v>0</v>
      </c>
      <c r="K28" s="353"/>
      <c r="L28" s="358"/>
      <c r="M28" s="359"/>
      <c r="O28" s="360" t="s">
        <v>1156</v>
      </c>
      <c r="P28" s="361"/>
      <c r="Q28" s="362">
        <f>G28</f>
        <v>0</v>
      </c>
      <c r="R28" s="361"/>
    </row>
    <row r="29" ht="14.25" customHeight="1">
      <c r="C29" s="315"/>
      <c r="F29" s="316"/>
      <c r="G29" s="42"/>
      <c r="H29" s="42"/>
      <c r="I29" s="317"/>
      <c r="J29" s="318"/>
      <c r="K29" s="319"/>
      <c r="M29" s="331"/>
      <c r="Q29" s="315"/>
      <c r="R29" s="316"/>
    </row>
    <row r="30" ht="14.25" customHeight="1">
      <c r="C30" s="315"/>
      <c r="F30" s="316"/>
      <c r="G30" s="42"/>
      <c r="H30" s="42"/>
      <c r="I30" s="317"/>
      <c r="J30" s="318"/>
      <c r="K30" s="319"/>
      <c r="M30" s="331"/>
      <c r="Q30" s="315"/>
      <c r="R30" s="316"/>
    </row>
    <row r="31" ht="14.25" customHeight="1">
      <c r="A31" s="341" t="s">
        <v>1173</v>
      </c>
      <c r="B31" s="342"/>
      <c r="C31" s="343"/>
      <c r="D31" s="363"/>
      <c r="E31" s="363"/>
      <c r="F31" s="363"/>
      <c r="G31" s="363"/>
      <c r="H31" s="363"/>
      <c r="I31" s="345" t="s">
        <v>1148</v>
      </c>
      <c r="J31" s="250"/>
      <c r="K31" s="250"/>
      <c r="L31" s="250"/>
      <c r="M31" s="254"/>
      <c r="O31" s="255" t="str">
        <f>O1</f>
        <v>TERÇA FEIRA (LOJA 1 BENDITO-ROTISSERIA)</v>
      </c>
      <c r="P31" s="256"/>
      <c r="Q31" s="257" t="s">
        <v>12</v>
      </c>
      <c r="R31" s="258">
        <f>R1</f>
        <v>46048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O32" s="259" t="s">
        <v>1166</v>
      </c>
      <c r="P32" s="260"/>
      <c r="Q32" s="266" t="s">
        <v>1149</v>
      </c>
      <c r="R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O33" s="268" t="s">
        <v>271</v>
      </c>
      <c r="P33" s="269" t="s">
        <v>1168</v>
      </c>
      <c r="Q33" s="270" t="s">
        <v>1151</v>
      </c>
      <c r="R33" s="270" t="s">
        <v>1154</v>
      </c>
    </row>
    <row r="34" ht="14.25" customHeight="1">
      <c r="A34" s="274" t="str">
        <f t="shared" ref="A34:A36" si="92">'[1]ESCALA DE PRODUÇÃO'!G28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('[1]ESCALA DE PRODUÇÃO'!I28)</f>
        <v>#REF!</v>
      </c>
      <c r="F34" s="279" t="str">
        <f t="shared" ref="F34:F36" si="96">IFERROR(C34/E34,"0")</f>
        <v>0</v>
      </c>
      <c r="G34" s="280" t="str">
        <f t="shared" ref="G34:G36" si="97">XLOOKUP(A34,'[1]ESCALA DE PRODUÇÃO'!$AL$1:$AL$1048566,'[1]ESCALA DE PRODUÇÃO'!$AM$1:$AM$1048566,"SEM PREÇO")</f>
        <v>#REF!</v>
      </c>
      <c r="H34" s="287" t="str">
        <f t="shared" ref="H34:H36" si="98">IFERROR(C34*G34,"0")</f>
        <v>0</v>
      </c>
      <c r="I34" s="288" t="str">
        <f t="array" ref="I34">XLOOKUP(A34,'DADOS DE VENDA'!G:G,'DADOS DE VENDA'!J:J,"SEM VENDA")</f>
        <v>#REF!</v>
      </c>
      <c r="J34" s="289" t="str">
        <f t="shared" ref="J34:J36" si="99">IFERROR(I34/E34,"0")</f>
        <v>0</v>
      </c>
      <c r="K34" s="290" t="str">
        <f t="shared" ref="K34:K36" si="100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O34" s="274" t="str">
        <f t="shared" ref="O34:O36" si="101">A34</f>
        <v>#REF!</v>
      </c>
      <c r="P34" s="275" t="str">
        <f t="shared" ref="P34:P36" si="102">XLOOKUP(O34,'[1]ESCALA DE PRODUÇÃO'!$AL$1:$AL$1048566,'[1]ESCALA DE PRODUÇÃO'!$AJ$1:$AJ$1048566,"NÃO ENCOTRADO")</f>
        <v>#REF!</v>
      </c>
      <c r="Q34" s="276">
        <f t="shared" ref="Q34:Q36" si="103">C34</f>
        <v>0</v>
      </c>
      <c r="R34" s="279" t="str">
        <f t="shared" ref="R34:R36" si="104">F34</f>
        <v>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9.0</v>
      </c>
      <c r="D35" s="277" t="str">
        <f t="shared" si="94"/>
        <v>#REF!</v>
      </c>
      <c r="E35" s="278" t="str">
        <f t="shared" si="95"/>
        <v>#REF!</v>
      </c>
      <c r="F35" s="279" t="str">
        <f t="shared" si="96"/>
        <v>0</v>
      </c>
      <c r="G35" s="280" t="str">
        <f t="shared" si="97"/>
        <v>#REF!</v>
      </c>
      <c r="H35" s="287" t="str">
        <f t="shared" si="98"/>
        <v>0</v>
      </c>
      <c r="I35" s="288" t="str">
        <f t="array" ref="I35">XLOOKUP(A35,'DADOS DE VENDA'!G:G,'DADOS DE VENDA'!J:J,"SEM VENDA")</f>
        <v>#REF!</v>
      </c>
      <c r="J35" s="289" t="str">
        <f t="shared" si="99"/>
        <v>0</v>
      </c>
      <c r="K35" s="290" t="str">
        <f t="shared" si="100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O35" s="274" t="str">
        <f t="shared" si="101"/>
        <v>#REF!</v>
      </c>
      <c r="P35" s="275" t="str">
        <f t="shared" si="102"/>
        <v>#REF!</v>
      </c>
      <c r="Q35" s="276">
        <f t="shared" si="103"/>
        <v>9</v>
      </c>
      <c r="R35" s="279" t="str">
        <f t="shared" si="104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96"/>
        <v>0</v>
      </c>
      <c r="G36" s="280" t="str">
        <f t="shared" si="97"/>
        <v>#REF!</v>
      </c>
      <c r="H36" s="287" t="str">
        <f t="shared" si="98"/>
        <v>0</v>
      </c>
      <c r="I36" s="288" t="str">
        <f t="array" ref="I36">XLOOKUP(A36,'DADOS DE VENDA'!G:G,'DADOS DE VENDA'!J:J,"SEM VENDA")</f>
        <v>#REF!</v>
      </c>
      <c r="J36" s="289" t="str">
        <f t="shared" si="99"/>
        <v>0</v>
      </c>
      <c r="K36" s="290" t="str">
        <f t="shared" si="100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O36" s="274" t="str">
        <f t="shared" si="101"/>
        <v>#REF!</v>
      </c>
      <c r="P36" s="275" t="str">
        <f t="shared" si="102"/>
        <v>#REF!</v>
      </c>
      <c r="Q36" s="276">
        <f t="shared" si="103"/>
        <v>0</v>
      </c>
      <c r="R36" s="279" t="str">
        <f t="shared" si="104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O37" s="268" t="s">
        <v>271</v>
      </c>
      <c r="P37" s="269" t="s">
        <v>385</v>
      </c>
      <c r="Q37" s="270" t="s">
        <v>1151</v>
      </c>
      <c r="R37" s="270" t="s">
        <v>1154</v>
      </c>
    </row>
    <row r="38" ht="14.25" customHeight="1">
      <c r="A38" s="274" t="str">
        <f t="shared" ref="A38:A40" si="105">'[1]ESCALA DE PRODUÇÃO'!G32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('[1]ESCALA DE PRODUÇÃO'!I32)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VENDA'!G:G,'DADOS DE VENDA'!J:J,"SEM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O38" s="274" t="str">
        <f t="shared" ref="O38:O40" si="114">A38</f>
        <v>#REF!</v>
      </c>
      <c r="P38" s="275" t="str">
        <f t="shared" ref="P38:P40" si="115">XLOOKUP(O38,'[1]ESCALA DE PRODUÇÃO'!$AL$1:$AL$1048566,'[1]ESCALA DE PRODUÇÃO'!$AJ$1:$AJ$1048566,"NÃO ENCOTRADO")</f>
        <v>#REF!</v>
      </c>
      <c r="Q38" s="276">
        <f t="shared" ref="Q38:Q40" si="116">C38</f>
        <v>0</v>
      </c>
      <c r="R38" s="279" t="str">
        <f t="shared" ref="R38:R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5.0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VENDA'!G:G,'DADOS DE VENDA'!J:J,"SEM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O39" s="274" t="str">
        <f t="shared" si="114"/>
        <v>#REF!</v>
      </c>
      <c r="P39" s="275" t="str">
        <f t="shared" si="115"/>
        <v>#REF!</v>
      </c>
      <c r="Q39" s="276">
        <f t="shared" si="116"/>
        <v>5</v>
      </c>
      <c r="R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0.0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VENDA'!G:G,'DADOS DE VENDA'!J:J,"SEM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O40" s="274" t="str">
        <f t="shared" si="114"/>
        <v>#REF!</v>
      </c>
      <c r="P40" s="275" t="str">
        <f t="shared" si="115"/>
        <v>#REF!</v>
      </c>
      <c r="Q40" s="276">
        <f t="shared" si="116"/>
        <v>0</v>
      </c>
      <c r="R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O41" s="268" t="s">
        <v>271</v>
      </c>
      <c r="P41" s="269" t="s">
        <v>1169</v>
      </c>
      <c r="Q41" s="270" t="s">
        <v>1151</v>
      </c>
      <c r="R41" s="270" t="s">
        <v>1154</v>
      </c>
    </row>
    <row r="42" ht="14.25" customHeight="1">
      <c r="A42" s="274" t="str">
        <f t="shared" ref="A42:A44" si="118">'[1]ESCALA DE PRODUÇÃO'!G36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('[1]ESCALA DE PRODUÇÃO'!I36)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VENDA'!G:G,'DADOS DE VENDA'!J:J,"SEM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O42" s="274" t="str">
        <f t="shared" ref="O42:O44" si="127">A42</f>
        <v>#REF!</v>
      </c>
      <c r="P42" s="275" t="str">
        <f t="shared" ref="P42:P44" si="128">XLOOKUP(O42,'[1]ESCALA DE PRODUÇÃO'!$AL$1:$AL$1048566,'[1]ESCALA DE PRODUÇÃO'!$AJ$1:$AJ$1048566,"NÃO ENCOTRADO")</f>
        <v>#REF!</v>
      </c>
      <c r="Q42" s="276">
        <f t="shared" ref="Q42:Q44" si="129">C42</f>
        <v>0</v>
      </c>
      <c r="R42" s="279" t="str">
        <f t="shared" ref="R42:R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VENDA'!G:G,'DADOS DE VENDA'!J:J,"SEM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O43" s="274" t="str">
        <f t="shared" si="127"/>
        <v>#REF!</v>
      </c>
      <c r="P43" s="275" t="str">
        <f t="shared" si="128"/>
        <v>#REF!</v>
      </c>
      <c r="Q43" s="276">
        <f t="shared" si="129"/>
        <v>0</v>
      </c>
      <c r="R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288" t="str">
        <f t="array" ref="I44">XLOOKUP(A44,'DADOS DE VENDA'!G:G,'DADOS DE VENDA'!J:J,"SEM VENDA")</f>
        <v>#REF!</v>
      </c>
      <c r="J44" s="327" t="str">
        <f t="shared" si="125"/>
        <v>0</v>
      </c>
      <c r="K44" s="328" t="str">
        <f t="shared" si="126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O44" s="274" t="str">
        <f t="shared" si="127"/>
        <v>#REF!</v>
      </c>
      <c r="P44" s="302" t="str">
        <f t="shared" si="128"/>
        <v>#REF!</v>
      </c>
      <c r="Q44" s="276">
        <f t="shared" si="129"/>
        <v>0</v>
      </c>
      <c r="R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VENDA'!G:G,'DADOS DE VENDA'!J:J,"SEM VENDA")</f>
        <v>SEM VENDA</v>
      </c>
      <c r="J45" s="309">
        <f>SUM(K34,K35,K36,K38,K39,K40,K42,K43,K44)</f>
        <v>0</v>
      </c>
      <c r="K45" s="306"/>
      <c r="L45" s="310"/>
      <c r="M45" s="311"/>
      <c r="O45" s="312" t="s">
        <v>1156</v>
      </c>
      <c r="P45" s="313"/>
      <c r="Q45" s="314">
        <f>G45</f>
        <v>0</v>
      </c>
      <c r="R45" s="313"/>
    </row>
    <row r="46" ht="14.25" customHeight="1">
      <c r="G46" s="42"/>
      <c r="O46" s="364"/>
      <c r="P46" s="364"/>
      <c r="Q46" s="365"/>
      <c r="R46" s="365"/>
    </row>
    <row r="47" ht="14.25" customHeight="1">
      <c r="G47" s="42"/>
      <c r="Q47" s="315"/>
      <c r="R47" s="316"/>
    </row>
    <row r="48" ht="14.25" customHeight="1">
      <c r="A48" s="341" t="s">
        <v>1173</v>
      </c>
      <c r="B48" s="342"/>
      <c r="C48" s="343"/>
      <c r="D48" s="363"/>
      <c r="E48" s="363"/>
      <c r="F48" s="363"/>
      <c r="G48" s="363"/>
      <c r="H48" s="363"/>
      <c r="I48" s="345" t="s">
        <v>1148</v>
      </c>
      <c r="J48" s="250"/>
      <c r="K48" s="250"/>
      <c r="L48" s="250"/>
      <c r="M48" s="254"/>
      <c r="O48" s="255" t="str">
        <f>O31</f>
        <v>TERÇA FEIRA (LOJA 1 BENDITO-ROTISSERIA)</v>
      </c>
      <c r="P48" s="256"/>
      <c r="Q48" s="257" t="s">
        <v>12</v>
      </c>
      <c r="R48" s="258">
        <f>R31</f>
        <v>46048</v>
      </c>
    </row>
    <row r="49" ht="14.25" customHeight="1">
      <c r="A49" s="259" t="s">
        <v>1170</v>
      </c>
      <c r="B49" s="260"/>
      <c r="C49" s="261" t="s">
        <v>1164</v>
      </c>
      <c r="D49" s="262" t="s">
        <v>1149</v>
      </c>
      <c r="E49" s="263"/>
      <c r="F49" s="263"/>
      <c r="G49" s="263"/>
      <c r="H49" s="264"/>
      <c r="I49" s="266" t="s">
        <v>1150</v>
      </c>
      <c r="J49" s="263"/>
      <c r="K49" s="263"/>
      <c r="L49" s="263"/>
      <c r="M49" s="265"/>
      <c r="O49" s="366" t="s">
        <v>1170</v>
      </c>
      <c r="P49" s="367"/>
      <c r="Q49" s="368" t="s">
        <v>1149</v>
      </c>
      <c r="R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O50" s="268" t="s">
        <v>271</v>
      </c>
      <c r="P50" s="269" t="s">
        <v>289</v>
      </c>
      <c r="Q50" s="270" t="s">
        <v>1151</v>
      </c>
      <c r="R50" s="270" t="s">
        <v>1154</v>
      </c>
    </row>
    <row r="51" ht="14.25" customHeight="1">
      <c r="A51" s="274" t="str">
        <f t="shared" ref="A51:A54" si="131">'[1]ESCALA DE PRODUÇÃO'!G40</f>
        <v>#REF!</v>
      </c>
      <c r="B51" s="275" t="str">
        <f t="shared" ref="B51:B54" si="132">XLOOKUP(A51,'[1]ESCALA DE PRODUÇÃO'!$AL$1:$AL$1048566,'[1]ESCALA DE PRODUÇÃO'!$AJ$1:$AJ$1048566,"NÃO ENCOTRADO")</f>
        <v>#REF!</v>
      </c>
      <c r="C51" s="276">
        <v>0.0</v>
      </c>
      <c r="D51" s="277" t="str">
        <f t="shared" ref="D51:D54" si="133">XLOOKUP(A51,'[1]ESCALA DE PRODUÇÃO'!$AL$1:$AL$1048566,'[1]ESCALA DE PRODUÇÃO'!$AK$1:$AK$1048566,"0")</f>
        <v>#REF!</v>
      </c>
      <c r="E51" s="278" t="str">
        <f t="shared" ref="E51:E54" si="134">('[1]ESCALA DE PRODUÇÃO'!I40)</f>
        <v>#REF!</v>
      </c>
      <c r="F51" s="279" t="str">
        <f t="shared" ref="F51:F54" si="135">IFERROR(C51/E51,"0")</f>
        <v>0</v>
      </c>
      <c r="G51" s="280" t="str">
        <f t="shared" ref="G51:G54" si="136">XLOOKUP(A51,'[1]ESCALA DE PRODUÇÃO'!$AL$1:$AL$1048566,'[1]ESCALA DE PRODUÇÃO'!$AM$1:$AM$1048566,"SEM PREÇO")</f>
        <v>#REF!</v>
      </c>
      <c r="H51" s="287" t="str">
        <f t="shared" ref="H51:H54" si="137">IFERROR(C51*G51,"0")</f>
        <v>0</v>
      </c>
      <c r="I51" s="288" t="str">
        <f t="array" ref="I51">XLOOKUP(A51,'DADOS DE VENDA'!G:G,'DADOS DE VENDA'!J:J,"SEM VENDA")</f>
        <v>#REF!</v>
      </c>
      <c r="J51" s="289" t="str">
        <f t="shared" ref="J51:J54" si="138">IFERROR(I51/E51,"0")</f>
        <v>0</v>
      </c>
      <c r="K51" s="290" t="str">
        <f t="shared" ref="K51:K54" si="139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O51" s="274" t="str">
        <f t="shared" ref="O51:O54" si="140">A51</f>
        <v>#REF!</v>
      </c>
      <c r="P51" s="275" t="str">
        <f t="shared" ref="P51:P54" si="141">XLOOKUP(O51,'[1]ESCALA DE PRODUÇÃO'!$AL$1:$AL$1048566,'[1]ESCALA DE PRODUÇÃO'!$AJ$1:$AJ$1048566,"NÃO ENCOTRADO")</f>
        <v>#REF!</v>
      </c>
      <c r="Q51" s="276">
        <f t="shared" ref="Q51:Q54" si="142">C51</f>
        <v>0</v>
      </c>
      <c r="R51" s="279" t="str">
        <f t="shared" ref="R51:R54" si="143">(F51)</f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7.0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VENDA'!G:G,'DADOS DE VENDA'!J:J,"SEM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O52" s="274" t="str">
        <f t="shared" si="140"/>
        <v>#REF!</v>
      </c>
      <c r="P52" s="275" t="str">
        <f t="shared" si="141"/>
        <v>#REF!</v>
      </c>
      <c r="Q52" s="276">
        <f t="shared" si="142"/>
        <v>7</v>
      </c>
      <c r="R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7.0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VENDA'!G:G,'DADOS DE VENDA'!J:J,"SEM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O53" s="274" t="str">
        <f t="shared" si="140"/>
        <v>#REF!</v>
      </c>
      <c r="P53" s="275" t="str">
        <f t="shared" si="141"/>
        <v>#REF!</v>
      </c>
      <c r="Q53" s="276">
        <f t="shared" si="142"/>
        <v>7</v>
      </c>
      <c r="R53" s="279" t="str">
        <f t="shared" si="143"/>
        <v>0</v>
      </c>
    </row>
    <row r="54" ht="14.25" customHeight="1">
      <c r="A54" s="274" t="str">
        <f t="shared" si="131"/>
        <v>#REF!</v>
      </c>
      <c r="B54" s="275" t="str">
        <f t="shared" si="132"/>
        <v>#REF!</v>
      </c>
      <c r="C54" s="276">
        <v>0.0</v>
      </c>
      <c r="D54" s="277" t="str">
        <f t="shared" si="133"/>
        <v>#REF!</v>
      </c>
      <c r="E54" s="278" t="str">
        <f t="shared" si="134"/>
        <v>#REF!</v>
      </c>
      <c r="F54" s="279" t="str">
        <f t="shared" si="135"/>
        <v>0</v>
      </c>
      <c r="G54" s="280" t="str">
        <f t="shared" si="136"/>
        <v>#REF!</v>
      </c>
      <c r="H54" s="287" t="str">
        <f t="shared" si="137"/>
        <v>0</v>
      </c>
      <c r="I54" s="288" t="str">
        <f t="array" ref="I54">XLOOKUP(A54,'DADOS DE VENDA'!G:G,'DADOS DE VENDA'!J:J,"SEM VENDA")</f>
        <v>#REF!</v>
      </c>
      <c r="J54" s="289" t="str">
        <f t="shared" si="138"/>
        <v>0</v>
      </c>
      <c r="K54" s="290" t="str">
        <f t="shared" si="139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O54" s="274" t="str">
        <f t="shared" si="140"/>
        <v>#REF!</v>
      </c>
      <c r="P54" s="275" t="str">
        <f t="shared" si="141"/>
        <v>#REF!</v>
      </c>
      <c r="Q54" s="276">
        <f t="shared" si="142"/>
        <v>0</v>
      </c>
      <c r="R54" s="279" t="str">
        <f t="shared" si="143"/>
        <v>0</v>
      </c>
    </row>
    <row r="55" ht="14.25" customHeight="1">
      <c r="A55" s="268" t="s">
        <v>271</v>
      </c>
      <c r="B55" s="269" t="s">
        <v>1171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O55" s="268" t="s">
        <v>271</v>
      </c>
      <c r="P55" s="269" t="s">
        <v>289</v>
      </c>
      <c r="Q55" s="270" t="s">
        <v>1151</v>
      </c>
      <c r="R55" s="270" t="s">
        <v>1154</v>
      </c>
    </row>
    <row r="56" ht="14.25" customHeight="1">
      <c r="A56" s="274" t="str">
        <f t="shared" ref="A56:A59" si="144">'[1]ESCALA DE PRODUÇÃO'!G46</f>
        <v>#REF!</v>
      </c>
      <c r="B56" s="275" t="str">
        <f t="shared" ref="B56:B59" si="145">XLOOKUP(A56,'[1]ESCALA DE PRODUÇÃO'!$AL$1:$AL$1048566,'[1]ESCALA DE PRODUÇÃO'!$AJ$1:$AJ$1048566,"NÃO ENCOTRADO")</f>
        <v>#REF!</v>
      </c>
      <c r="C56" s="276">
        <v>7.0</v>
      </c>
      <c r="D56" s="277" t="str">
        <f t="shared" ref="D56:D59" si="146">XLOOKUP(A56,'[1]ESCALA DE PRODUÇÃO'!$AL$1:$AL$1048566,'[1]ESCALA DE PRODUÇÃO'!$AK$1:$AK$1048566,"0")</f>
        <v>#REF!</v>
      </c>
      <c r="E56" s="278" t="str">
        <f t="shared" ref="E56:E59" si="147">('[1]ESCALA DE PRODUÇÃO'!I45)</f>
        <v>#REF!</v>
      </c>
      <c r="F56" s="279" t="str">
        <f t="shared" ref="F56:F59" si="148">IFERROR(C56/E56,"0")</f>
        <v>0</v>
      </c>
      <c r="G56" s="280" t="str">
        <f t="shared" ref="G56:G59" si="149">XLOOKUP(A56,'[1]ESCALA DE PRODUÇÃO'!$AL$1:$AL$1048566,'[1]ESCALA DE PRODUÇÃO'!$AM$1:$AM$1048566,"SEM PREÇO")</f>
        <v>#REF!</v>
      </c>
      <c r="H56" s="287" t="str">
        <f t="shared" ref="H56:H59" si="150">IFERROR(C56*G56,"0")</f>
        <v>0</v>
      </c>
      <c r="I56" s="288" t="str">
        <f t="array" ref="I56">XLOOKUP(A56,'DADOS DE VENDA'!G:G,'DADOS DE VENDA'!J:J,"SEM VENDA")</f>
        <v>#REF!</v>
      </c>
      <c r="J56" s="289" t="str">
        <f t="shared" ref="J56:J59" si="151">IFERROR(I56/E56,"0")</f>
        <v>0</v>
      </c>
      <c r="K56" s="290" t="str">
        <f t="shared" ref="K56:K59" si="152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O56" s="274" t="str">
        <f t="shared" ref="O56:O59" si="153">A56</f>
        <v>#REF!</v>
      </c>
      <c r="P56" s="275" t="str">
        <f t="shared" ref="P56:P59" si="154">XLOOKUP(O56,'[1]ESCALA DE PRODUÇÃO'!$AL$1:$AL$1048566,'[1]ESCALA DE PRODUÇÃO'!$AJ$1:$AJ$1048566,"NÃO ENCOTRADO")</f>
        <v>#REF!</v>
      </c>
      <c r="Q56" s="276">
        <f t="shared" ref="Q56:Q59" si="155">C56</f>
        <v>7</v>
      </c>
      <c r="R56" s="279" t="str">
        <f t="shared" ref="R56:R59" si="156">F56</f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0.0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VENDA'!G:G,'DADOS DE VENDA'!J:J,"SEM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O57" s="274" t="str">
        <f t="shared" si="153"/>
        <v>#REF!</v>
      </c>
      <c r="P57" s="275" t="str">
        <f t="shared" si="154"/>
        <v>#REF!</v>
      </c>
      <c r="Q57" s="276">
        <f t="shared" si="155"/>
        <v>0</v>
      </c>
      <c r="R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0.0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VENDA'!G:G,'DADOS DE VENDA'!J:J,"SEM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O58" s="274" t="str">
        <f t="shared" si="153"/>
        <v>#REF!</v>
      </c>
      <c r="P58" s="275" t="str">
        <f t="shared" si="154"/>
        <v>#REF!</v>
      </c>
      <c r="Q58" s="276">
        <f t="shared" si="155"/>
        <v>0</v>
      </c>
      <c r="R58" s="279" t="str">
        <f t="shared" si="156"/>
        <v>0</v>
      </c>
    </row>
    <row r="59" ht="14.25" customHeight="1">
      <c r="A59" s="274" t="str">
        <f t="shared" si="144"/>
        <v>#REF!</v>
      </c>
      <c r="B59" s="275" t="str">
        <f t="shared" si="145"/>
        <v>#REF!</v>
      </c>
      <c r="C59" s="276">
        <v>0.0</v>
      </c>
      <c r="D59" s="277" t="str">
        <f t="shared" si="146"/>
        <v>#REF!</v>
      </c>
      <c r="E59" s="278" t="str">
        <f t="shared" si="147"/>
        <v>#REF!</v>
      </c>
      <c r="F59" s="279" t="str">
        <f t="shared" si="148"/>
        <v>0</v>
      </c>
      <c r="G59" s="280" t="str">
        <f t="shared" si="149"/>
        <v>#REF!</v>
      </c>
      <c r="H59" s="287" t="str">
        <f t="shared" si="150"/>
        <v>0</v>
      </c>
      <c r="I59" s="288" t="str">
        <f t="array" ref="I59">XLOOKUP(A59,'DADOS DE VENDA'!G:G,'DADOS DE VENDA'!J:J,"SEM VENDA")</f>
        <v>#REF!</v>
      </c>
      <c r="J59" s="289" t="str">
        <f t="shared" si="151"/>
        <v>0</v>
      </c>
      <c r="K59" s="290" t="str">
        <f t="shared" si="152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O59" s="274" t="str">
        <f t="shared" si="153"/>
        <v>#REF!</v>
      </c>
      <c r="P59" s="275" t="str">
        <f t="shared" si="154"/>
        <v>#REF!</v>
      </c>
      <c r="Q59" s="276">
        <f t="shared" si="155"/>
        <v>0</v>
      </c>
      <c r="R59" s="279" t="str">
        <f t="shared" si="156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VENDA'!G:G,'DADOS DE VENDA'!J:J,"SEM VENDA")</f>
        <v>SEM VENDA</v>
      </c>
      <c r="J60" s="309">
        <f>SUM(K51,K52,K53,K54,K56,K57,K58,K59)</f>
        <v>0</v>
      </c>
      <c r="K60" s="306"/>
      <c r="L60" s="310"/>
      <c r="M60" s="311"/>
      <c r="O60" s="312" t="s">
        <v>1156</v>
      </c>
      <c r="P60" s="313"/>
      <c r="Q60" s="314">
        <f>G60</f>
        <v>0</v>
      </c>
      <c r="R60" s="313"/>
    </row>
    <row r="61" ht="14.25" customHeight="1">
      <c r="G61" s="42"/>
    </row>
    <row r="62" ht="14.25" customHeight="1">
      <c r="G62" s="42"/>
    </row>
    <row r="63" ht="14.25" customHeight="1">
      <c r="G63" s="42"/>
      <c r="O63" s="332" t="s">
        <v>1172</v>
      </c>
      <c r="P63" s="333"/>
      <c r="Q63" s="334">
        <f>SUM(Q28,Q45,Q60)</f>
        <v>0</v>
      </c>
      <c r="R63" s="335"/>
    </row>
    <row r="64" ht="14.25" customHeight="1">
      <c r="G64" s="42"/>
      <c r="O64" s="336"/>
      <c r="Q64" s="336"/>
      <c r="R64" s="337"/>
    </row>
    <row r="65" ht="14.25" customHeight="1">
      <c r="G65" s="42"/>
      <c r="O65" s="338"/>
      <c r="P65" s="339"/>
      <c r="Q65" s="338"/>
      <c r="R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O1:P1"/>
    <mergeCell ref="A2:B2"/>
    <mergeCell ref="I2:M2"/>
    <mergeCell ref="O2:P2"/>
    <mergeCell ref="Q2:R2"/>
    <mergeCell ref="A32:B32"/>
    <mergeCell ref="D32:H32"/>
    <mergeCell ref="I32:M32"/>
    <mergeCell ref="O32:P32"/>
    <mergeCell ref="Q32:R32"/>
    <mergeCell ref="D2:H2"/>
    <mergeCell ref="D28:E28"/>
    <mergeCell ref="G28:H28"/>
    <mergeCell ref="J28:K28"/>
    <mergeCell ref="O28:P28"/>
    <mergeCell ref="Q28:R28"/>
    <mergeCell ref="A31:C31"/>
    <mergeCell ref="I31:M31"/>
    <mergeCell ref="O31:P31"/>
    <mergeCell ref="D45:E45"/>
    <mergeCell ref="G45:H45"/>
    <mergeCell ref="J45:K45"/>
    <mergeCell ref="O45:P45"/>
    <mergeCell ref="Q45:R45"/>
    <mergeCell ref="D49:H49"/>
    <mergeCell ref="D60:E60"/>
    <mergeCell ref="G60:H60"/>
    <mergeCell ref="J60:K60"/>
    <mergeCell ref="O60:P60"/>
    <mergeCell ref="Q60:R60"/>
    <mergeCell ref="O63:P65"/>
    <mergeCell ref="Q63:R65"/>
    <mergeCell ref="A48:C48"/>
    <mergeCell ref="I48:M48"/>
    <mergeCell ref="O48:P48"/>
    <mergeCell ref="A49:B49"/>
    <mergeCell ref="I49:M49"/>
    <mergeCell ref="O49:P49"/>
    <mergeCell ref="Q49:R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34:I36 I38:I40 I42:I45">
    <cfRule type="containsText" dxfId="0" priority="2" operator="containsText" text="SEM VENDA">
      <formula>NOT(ISERROR(SEARCH(("SEM VENDA"),(I34))))</formula>
    </cfRule>
  </conditionalFormatting>
  <conditionalFormatting sqref="I51:I54 I56:I60">
    <cfRule type="containsText" dxfId="0" priority="3" operator="containsText" text="SEM VENDA">
      <formula>NOT(ISERROR(SEARCH(("SEM VENDA"),(I51))))</formula>
    </cfRule>
  </conditionalFormatting>
  <conditionalFormatting sqref="L4:L6 L8:L10 L12:L13 L15:L16 L18:L20 L22:L24 L26:L28">
    <cfRule type="containsText" dxfId="0" priority="4" operator="containsText" text="RUPTURA NO PERIODO">
      <formula>NOT(ISERROR(SEARCH(("RUPTURA NO PERIODO"),(L4))))</formula>
    </cfRule>
  </conditionalFormatting>
  <conditionalFormatting sqref="L34:L36 L38:L40 L42:L45">
    <cfRule type="containsText" dxfId="0" priority="5" operator="containsText" text="RUPTURA NO PERIODO">
      <formula>NOT(ISERROR(SEARCH(("RUPTURA NO PERIODO"),(L34))))</formula>
    </cfRule>
  </conditionalFormatting>
  <conditionalFormatting sqref="L51:L54">
    <cfRule type="containsText" dxfId="0" priority="6" operator="containsText" text="RUPTURA NO PERIODO">
      <formula>NOT(ISERROR(SEARCH(("RUPTURA NO PERIODO"),(L51))))</formula>
    </cfRule>
  </conditionalFormatting>
  <conditionalFormatting sqref="L56:L60">
    <cfRule type="containsText" dxfId="0" priority="7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7.14"/>
    <col customWidth="1" min="3" max="3" width="8.43"/>
    <col customWidth="1" min="4" max="4" width="8.14"/>
    <col customWidth="1" min="5" max="5" width="9.57"/>
    <col customWidth="1" min="6" max="6" width="9.43"/>
    <col customWidth="1" min="7" max="7" width="11.29"/>
    <col customWidth="1" min="8" max="8" width="11.14"/>
    <col customWidth="1" min="9" max="9" width="14.57"/>
    <col customWidth="1" min="10" max="11" width="10.86"/>
    <col customWidth="1" min="12" max="12" width="20.14"/>
    <col customWidth="1" min="13" max="15" width="8.71"/>
    <col customWidth="1" min="16" max="16" width="6.57"/>
    <col customWidth="1" min="17" max="17" width="67.14"/>
    <col customWidth="1" min="18" max="18" width="8.71"/>
    <col customWidth="1" min="19" max="19" width="11.86"/>
    <col customWidth="1" min="20" max="26" width="8.71"/>
  </cols>
  <sheetData>
    <row r="1" ht="14.25" customHeight="1">
      <c r="A1" s="370" t="s">
        <v>1176</v>
      </c>
      <c r="B1" s="342"/>
      <c r="C1" s="343"/>
      <c r="D1" s="371"/>
      <c r="E1" s="371"/>
      <c r="F1" s="371"/>
      <c r="G1" s="371"/>
      <c r="H1" s="371"/>
      <c r="I1" s="372" t="s">
        <v>1148</v>
      </c>
      <c r="J1" s="250"/>
      <c r="K1" s="250"/>
      <c r="L1" s="250"/>
      <c r="M1" s="254"/>
      <c r="P1" s="255" t="s">
        <v>1176</v>
      </c>
      <c r="Q1" s="256"/>
      <c r="R1" s="257" t="s">
        <v>12</v>
      </c>
      <c r="S1" s="258">
        <v>44954.0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22" si="1">('[1]ESCALA DE PRODUÇÃO'!L3)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16.0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PRODUÇÃO'!N3)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VENDA'!M:M,'DADOS DE VENDA'!P:P,"SEM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A4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16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VENDA'!M:M,'DADOS DE VENDA'!P:P,"SEM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12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VENDA'!M:M,'DADOS DE VENDA'!P:P,"SEM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77" t="str">
        <f t="shared" si="1"/>
        <v>#REF!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si="1"/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4.0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PRODUÇÃO'!N7)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VENDA'!M:M,'DADOS DE VENDA'!P:P,"SEM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A8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4</v>
      </c>
      <c r="S8" s="279" t="str">
        <f t="shared" ref="S8:S10" si="25">(F8)</f>
        <v>0</v>
      </c>
    </row>
    <row r="9" ht="14.25" customHeight="1">
      <c r="A9" s="277" t="str">
        <f t="shared" si="1"/>
        <v>#REF!</v>
      </c>
      <c r="B9" s="275" t="str">
        <f t="shared" si="14"/>
        <v>#REF!</v>
      </c>
      <c r="C9" s="276">
        <v>4.0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VENDA'!M:M,'DADOS DE VENDA'!P:P,"SEM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4</v>
      </c>
      <c r="S9" s="279" t="str">
        <f t="shared" si="25"/>
        <v>0</v>
      </c>
    </row>
    <row r="10" ht="14.25" customHeight="1">
      <c r="A10" s="277" t="str">
        <f t="shared" si="1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VENDA'!M:M,'DADOS DE VENDA'!P:P,"SEM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277" t="str">
        <f t="shared" si="1"/>
        <v>#REF!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si="1"/>
        <v>#REF!</v>
      </c>
      <c r="B12" s="275" t="str">
        <f t="shared" ref="B12:B13" si="26">XLOOKUP(A12,'[1]ESCALA DE PRODUÇÃO'!$AL$1:$AL$1048566,'[1]ESCALA DE PRODUÇÃO'!$AJ$1:$AJ$1048566,"NÃO ENCOTRADO")</f>
        <v>#REF!</v>
      </c>
      <c r="C12" s="276">
        <v>1.45</v>
      </c>
      <c r="D12" s="277" t="str">
        <f t="shared" ref="D12:D13" si="27">XLOOKUP(A12,'[1]ESCALA DE PRODUÇÃO'!$AL$1:$AL$1048566,'[1]ESCALA DE PRODUÇÃO'!$AK$1:$AK$1048566,"0")</f>
        <v>#REF!</v>
      </c>
      <c r="E12" s="278" t="str">
        <f t="shared" ref="E12:E13" si="28">('[1]ESCALA DE PRODUÇÃO'!N11)</f>
        <v>#REF!</v>
      </c>
      <c r="F12" s="279" t="str">
        <f t="shared" ref="F12:F13" si="29">IFERROR(C12/E12,"0")</f>
        <v>0</v>
      </c>
      <c r="G12" s="280" t="str">
        <f t="shared" ref="G12:G13" si="30">XLOOKUP(A12,'[1]ESCALA DE PRODUÇÃO'!$AL$1:$AL$1048566,'[1]ESCALA DE PRODUÇÃO'!$AM$1:$AM$1048566,"SEM PREÇO")</f>
        <v>#REF!</v>
      </c>
      <c r="H12" s="287" t="str">
        <f t="shared" ref="H12:H13" si="31">IFERROR(C12*G12,"0")</f>
        <v>0</v>
      </c>
      <c r="I12" s="282" t="str">
        <f t="array" ref="I12">XLOOKUP(A12,'DADOS DE VENDA'!M:M,'DADOS DE VENDA'!P:P,"SEM VENDA")</f>
        <v>#REF!</v>
      </c>
      <c r="J12" s="289" t="str">
        <f t="shared" ref="J12:J13" si="32">IFERROR(I12/E12,"0")</f>
        <v>0</v>
      </c>
      <c r="K12" s="290" t="str">
        <f t="shared" ref="K12:K13" si="33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4">A12</f>
        <v>#REF!</v>
      </c>
      <c r="Q12" s="275" t="str">
        <f t="shared" ref="Q12:Q13" si="35">XLOOKUP(P12,'[1]ESCALA DE PRODUÇÃO'!$AL$1:$AL$1048566,'[1]ESCALA DE PRODUÇÃO'!$AJ$1:$AJ$1048566,"NÃO ENCOTRADO")</f>
        <v>#REF!</v>
      </c>
      <c r="R12" s="276">
        <f t="shared" ref="R12:R13" si="36">C12</f>
        <v>1.45</v>
      </c>
      <c r="S12" s="279" t="str">
        <f t="shared" ref="S12:S13" si="37">(F12)</f>
        <v>0</v>
      </c>
    </row>
    <row r="13" ht="14.25" customHeight="1">
      <c r="A13" s="277" t="str">
        <f t="shared" si="1"/>
        <v>#REF!</v>
      </c>
      <c r="B13" s="275" t="str">
        <f t="shared" si="26"/>
        <v>#REF!</v>
      </c>
      <c r="C13" s="276">
        <v>0.0</v>
      </c>
      <c r="D13" s="277" t="str">
        <f t="shared" si="27"/>
        <v>#REF!</v>
      </c>
      <c r="E13" s="278" t="str">
        <f t="shared" si="28"/>
        <v>#REF!</v>
      </c>
      <c r="F13" s="279" t="str">
        <f t="shared" si="29"/>
        <v>0</v>
      </c>
      <c r="G13" s="280" t="str">
        <f t="shared" si="30"/>
        <v>#REF!</v>
      </c>
      <c r="H13" s="287" t="str">
        <f t="shared" si="31"/>
        <v>0</v>
      </c>
      <c r="I13" s="282" t="str">
        <f t="array" ref="I13">XLOOKUP(A13,'DADOS DE VENDA'!M:M,'DADOS DE VENDA'!P:P,"SEM VENDA")</f>
        <v>#REF!</v>
      </c>
      <c r="J13" s="289" t="str">
        <f t="shared" si="32"/>
        <v>0</v>
      </c>
      <c r="K13" s="290" t="str">
        <f t="shared" si="33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4"/>
        <v>#REF!</v>
      </c>
      <c r="Q13" s="275" t="str">
        <f t="shared" si="35"/>
        <v>#REF!</v>
      </c>
      <c r="R13" s="276">
        <f t="shared" si="36"/>
        <v>0</v>
      </c>
      <c r="S13" s="279" t="str">
        <f t="shared" si="37"/>
        <v>0</v>
      </c>
    </row>
    <row r="14" ht="14.25" customHeight="1">
      <c r="A14" s="277" t="str">
        <f t="shared" si="1"/>
        <v>#REF!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si="1"/>
        <v>#REF!</v>
      </c>
      <c r="B15" s="275" t="str">
        <f t="shared" ref="B15:B16" si="38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39">XLOOKUP(A15,'[1]ESCALA DE PRODUÇÃO'!$AL$1:$AL$1048566,'[1]ESCALA DE PRODUÇÃO'!$AK$1:$AK$1048566,"0")</f>
        <v>#REF!</v>
      </c>
      <c r="E15" s="278" t="str">
        <f t="shared" ref="E15:E16" si="40">('[1]ESCALA DE PRODUÇÃO'!N14)</f>
        <v>#REF!</v>
      </c>
      <c r="F15" s="279" t="str">
        <f t="shared" ref="F15:F16" si="41">IFERROR(C15/E15,"0")</f>
        <v>0</v>
      </c>
      <c r="G15" s="280" t="str">
        <f t="shared" ref="G15:G16" si="42">XLOOKUP(A15,'[1]ESCALA DE PRODUÇÃO'!$AL$1:$AL$1048566,'[1]ESCALA DE PRODUÇÃO'!$AM$1:$AM$1048566,"SEM PREÇO")</f>
        <v>#REF!</v>
      </c>
      <c r="H15" s="287" t="str">
        <f t="shared" ref="H15:H16" si="43">IFERROR(C15*G15,"0")</f>
        <v>0</v>
      </c>
      <c r="I15" s="282" t="str">
        <f t="array" ref="I15">XLOOKUP(A15,'DADOS DE VENDA'!M:M,'DADOS DE VENDA'!P:P,"SEM VENDA")</f>
        <v>#REF!</v>
      </c>
      <c r="J15" s="289" t="str">
        <f t="shared" ref="J15:J16" si="44">IFERROR(I15/E15,"0")</f>
        <v>0</v>
      </c>
      <c r="K15" s="290" t="str">
        <f t="shared" ref="K15:K16" si="45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6">A15</f>
        <v>#REF!</v>
      </c>
      <c r="Q15" s="275" t="str">
        <f t="shared" ref="Q15:Q16" si="47">XLOOKUP(P15,'[1]ESCALA DE PRODUÇÃO'!$AL$1:$AL$1048566,'[1]ESCALA DE PRODUÇÃO'!$AJ$1:$AJ$1048566,"NÃO ENCOTRADO")</f>
        <v>#REF!</v>
      </c>
      <c r="R15" s="276">
        <f t="shared" ref="R15:R16" si="48">C15</f>
        <v>1</v>
      </c>
      <c r="S15" s="279" t="str">
        <f t="shared" ref="S15:S16" si="49">(F15)</f>
        <v>0</v>
      </c>
    </row>
    <row r="16" ht="14.25" customHeight="1">
      <c r="A16" s="277" t="str">
        <f t="shared" si="1"/>
        <v>#REF!</v>
      </c>
      <c r="B16" s="275" t="str">
        <f t="shared" si="38"/>
        <v>#REF!</v>
      </c>
      <c r="C16" s="276">
        <v>0.0</v>
      </c>
      <c r="D16" s="277" t="str">
        <f t="shared" si="39"/>
        <v>#REF!</v>
      </c>
      <c r="E16" s="278" t="str">
        <f t="shared" si="40"/>
        <v>#REF!</v>
      </c>
      <c r="F16" s="279" t="str">
        <f t="shared" si="41"/>
        <v>0</v>
      </c>
      <c r="G16" s="280" t="str">
        <f t="shared" si="42"/>
        <v>#REF!</v>
      </c>
      <c r="H16" s="287" t="str">
        <f t="shared" si="43"/>
        <v>0</v>
      </c>
      <c r="I16" s="282" t="str">
        <f t="array" ref="I16">XLOOKUP(A16,'DADOS DE VENDA'!M:M,'DADOS DE VENDA'!P:P,"SEM VENDA")</f>
        <v>#REF!</v>
      </c>
      <c r="J16" s="289" t="str">
        <f t="shared" si="44"/>
        <v>0</v>
      </c>
      <c r="K16" s="290" t="str">
        <f t="shared" si="45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6"/>
        <v>#REF!</v>
      </c>
      <c r="Q16" s="275" t="str">
        <f t="shared" si="47"/>
        <v>#REF!</v>
      </c>
      <c r="R16" s="276">
        <f t="shared" si="48"/>
        <v>0</v>
      </c>
      <c r="S16" s="279" t="str">
        <f t="shared" si="49"/>
        <v>0</v>
      </c>
    </row>
    <row r="17" ht="14.25" customHeight="1">
      <c r="A17" s="277" t="str">
        <f t="shared" si="1"/>
        <v>#REF!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si="1"/>
        <v>#REF!</v>
      </c>
      <c r="B18" s="373" t="str">
        <f t="shared" ref="B18:B20" si="50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1">XLOOKUP(A18,'[1]ESCALA DE PRODUÇÃO'!$AL$1:$AL$1048566,'[1]ESCALA DE PRODUÇÃO'!$AK$1:$AK$1048566,"0")</f>
        <v>#REF!</v>
      </c>
      <c r="E18" s="278" t="str">
        <f t="shared" ref="E18:E20" si="52">('[1]ESCALA DE PRODUÇÃO'!N17)</f>
        <v>#REF!</v>
      </c>
      <c r="F18" s="279" t="str">
        <f t="shared" ref="F18:F20" si="53">IFERROR(C18/E18,"0")</f>
        <v>0</v>
      </c>
      <c r="G18" s="280" t="str">
        <f t="shared" ref="G18:G20" si="54">XLOOKUP(A18,'[1]ESCALA DE PRODUÇÃO'!$AL$1:$AL$1048566,'[1]ESCALA DE PRODUÇÃO'!$AM$1:$AM$1048566,"SEM PREÇO")</f>
        <v>#REF!</v>
      </c>
      <c r="H18" s="287" t="str">
        <f t="shared" ref="H18:H20" si="55">IFERROR(C18*G18,"0")</f>
        <v>0</v>
      </c>
      <c r="I18" s="282" t="str">
        <f t="array" ref="I18">XLOOKUP(A18,'DADOS DE VENDA'!M:M,'DADOS DE VENDA'!P:P,"SEM VENDA")</f>
        <v>#REF!</v>
      </c>
      <c r="J18" s="289" t="str">
        <f t="shared" ref="J18:J20" si="56">IFERROR(I18/E18,"0")</f>
        <v>0</v>
      </c>
      <c r="K18" s="290" t="str">
        <f t="shared" ref="K18:K20" si="57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58">A18</f>
        <v>#REF!</v>
      </c>
      <c r="Q18" s="275" t="str">
        <f t="shared" ref="Q18:Q20" si="59">XLOOKUP(P18,'[1]ESCALA DE PRODUÇÃO'!$AL$1:$AL$1048566,'[1]ESCALA DE PRODUÇÃO'!$AJ$1:$AJ$1048566,"NÃO ENCOTRADO")</f>
        <v>#REF!</v>
      </c>
      <c r="R18" s="276">
        <f t="shared" ref="R18:R20" si="60">C18</f>
        <v>1</v>
      </c>
      <c r="S18" s="279" t="str">
        <f t="shared" ref="S18:S20" si="61">(F18)</f>
        <v>0</v>
      </c>
    </row>
    <row r="19" ht="14.25" customHeight="1">
      <c r="A19" s="277" t="str">
        <f t="shared" si="1"/>
        <v>#REF!</v>
      </c>
      <c r="B19" s="275" t="str">
        <f t="shared" si="50"/>
        <v>#REF!</v>
      </c>
      <c r="C19" s="276">
        <v>0.8</v>
      </c>
      <c r="D19" s="277" t="str">
        <f t="shared" si="51"/>
        <v>#REF!</v>
      </c>
      <c r="E19" s="278" t="str">
        <f t="shared" si="52"/>
        <v>#REF!</v>
      </c>
      <c r="F19" s="279" t="str">
        <f t="shared" si="53"/>
        <v>0</v>
      </c>
      <c r="G19" s="280" t="str">
        <f t="shared" si="54"/>
        <v>#REF!</v>
      </c>
      <c r="H19" s="287" t="str">
        <f t="shared" si="55"/>
        <v>0</v>
      </c>
      <c r="I19" s="282" t="str">
        <f t="array" ref="I19">XLOOKUP(A19,'DADOS DE VENDA'!M:M,'DADOS DE VENDA'!P:P,"SEM VENDA")</f>
        <v>#REF!</v>
      </c>
      <c r="J19" s="289" t="str">
        <f t="shared" si="56"/>
        <v>0</v>
      </c>
      <c r="K19" s="290" t="str">
        <f t="shared" si="57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58"/>
        <v>#REF!</v>
      </c>
      <c r="Q19" s="275" t="str">
        <f t="shared" si="59"/>
        <v>#REF!</v>
      </c>
      <c r="R19" s="276">
        <f t="shared" si="60"/>
        <v>0.8</v>
      </c>
      <c r="S19" s="279" t="str">
        <f t="shared" si="61"/>
        <v>0</v>
      </c>
    </row>
    <row r="20" ht="14.25" customHeight="1">
      <c r="A20" s="277" t="str">
        <f t="shared" si="1"/>
        <v>#REF!</v>
      </c>
      <c r="B20" s="275" t="str">
        <f t="shared" si="50"/>
        <v>#REF!</v>
      </c>
      <c r="C20" s="276">
        <v>1.0</v>
      </c>
      <c r="D20" s="277" t="str">
        <f t="shared" si="51"/>
        <v>#REF!</v>
      </c>
      <c r="E20" s="278" t="str">
        <f t="shared" si="52"/>
        <v>#REF!</v>
      </c>
      <c r="F20" s="279" t="str">
        <f t="shared" si="53"/>
        <v>0</v>
      </c>
      <c r="G20" s="280" t="str">
        <f t="shared" si="54"/>
        <v>#REF!</v>
      </c>
      <c r="H20" s="287" t="str">
        <f t="shared" si="55"/>
        <v>0</v>
      </c>
      <c r="I20" s="282" t="str">
        <f t="array" ref="I20">XLOOKUP(A20,'DADOS DE VENDA'!M:M,'DADOS DE VENDA'!P:P,"SEM VENDA")</f>
        <v>#REF!</v>
      </c>
      <c r="J20" s="289" t="str">
        <f t="shared" si="56"/>
        <v>0</v>
      </c>
      <c r="K20" s="290" t="str">
        <f t="shared" si="57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58"/>
        <v>#REF!</v>
      </c>
      <c r="Q20" s="275" t="str">
        <f t="shared" si="59"/>
        <v>#REF!</v>
      </c>
      <c r="R20" s="276">
        <f t="shared" si="60"/>
        <v>1</v>
      </c>
      <c r="S20" s="279" t="str">
        <f t="shared" si="61"/>
        <v>0</v>
      </c>
    </row>
    <row r="21" ht="14.25" customHeight="1">
      <c r="A21" s="277" t="str">
        <f t="shared" si="1"/>
        <v>#REF!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si="1"/>
        <v>#REF!</v>
      </c>
      <c r="B22" s="275" t="str">
        <f t="shared" ref="B22:B24" si="62">XLOOKUP(A22,'[1]ESCALA DE PRODUÇÃO'!$AL$1:$AL$1048566,'[1]ESCALA DE PRODUÇÃO'!$AJ$1:$AJ$1048566,"NÃO ENCOTRADO")</f>
        <v>#REF!</v>
      </c>
      <c r="C22" s="276">
        <v>8.0</v>
      </c>
      <c r="D22" s="277" t="str">
        <f t="shared" ref="D22:D24" si="63">XLOOKUP(A22,'[1]ESCALA DE PRODUÇÃO'!$AL$1:$AL$1048566,'[1]ESCALA DE PRODUÇÃO'!$AK$1:$AK$1048566,"0")</f>
        <v>#REF!</v>
      </c>
      <c r="E22" s="278" t="str">
        <f>('[1]ESCALA DE PRODUÇÃO'!N21)</f>
        <v>#REF!</v>
      </c>
      <c r="F22" s="279" t="str">
        <f t="shared" ref="F22:F24" si="64">IFERROR(C22/E22,"0")</f>
        <v>0</v>
      </c>
      <c r="G22" s="280" t="str">
        <f t="shared" ref="G22:G24" si="65">XLOOKUP(A22,'[1]ESCALA DE PRODUÇÃO'!$AL$1:$AL$1048566,'[1]ESCALA DE PRODUÇÃO'!$AM$1:$AM$1048566,"SEM PREÇO")</f>
        <v>#REF!</v>
      </c>
      <c r="H22" s="287" t="str">
        <f t="shared" ref="H22:H24" si="66">IFERROR(C22*G22,"0")</f>
        <v>0</v>
      </c>
      <c r="I22" s="282" t="str">
        <f t="array" ref="I22">XLOOKUP(A22,'DADOS DE VENDA'!M:M,'DADOS DE VENDA'!P:P,"SEM VENDA")</f>
        <v>#REF!</v>
      </c>
      <c r="J22" s="289" t="str">
        <f t="shared" ref="J22:J24" si="67">IFERROR(I22/E22,"0")</f>
        <v>0</v>
      </c>
      <c r="K22" s="290" t="str">
        <f t="shared" ref="K22:K24" si="68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69">A22</f>
        <v>#REF!</v>
      </c>
      <c r="Q22" s="275" t="str">
        <f t="shared" ref="Q22:Q24" si="70">XLOOKUP(P22,'[1]ESCALA DE PRODUÇÃO'!$AL$1:$AL$1048566,'[1]ESCALA DE PRODUÇÃO'!$AJ$1:$AJ$1048566,"NÃO ENCOTRADO")</f>
        <v>#REF!</v>
      </c>
      <c r="R22" s="276">
        <f t="shared" ref="R22:R24" si="71">C22</f>
        <v>8</v>
      </c>
      <c r="S22" s="279" t="str">
        <f t="shared" ref="S22:S24" si="72">(F22)</f>
        <v>0</v>
      </c>
    </row>
    <row r="23" ht="14.25" customHeight="1">
      <c r="A23" s="277" t="str">
        <f t="shared" ref="A23:A26" si="73">('[1]ESCALA DE PRODUÇÃO'!L23)</f>
        <v>#REF!</v>
      </c>
      <c r="B23" s="275" t="str">
        <f t="shared" si="62"/>
        <v>#REF!</v>
      </c>
      <c r="C23" s="276">
        <v>2.0</v>
      </c>
      <c r="D23" s="277" t="str">
        <f t="shared" si="63"/>
        <v>#REF!</v>
      </c>
      <c r="E23" s="278" t="str">
        <f t="shared" ref="E23:E24" si="74">('[1]ESCALA DE PRODUÇÃO'!N23)</f>
        <v>#REF!</v>
      </c>
      <c r="F23" s="279" t="str">
        <f t="shared" si="64"/>
        <v>0</v>
      </c>
      <c r="G23" s="280" t="str">
        <f t="shared" si="65"/>
        <v>#REF!</v>
      </c>
      <c r="H23" s="287" t="str">
        <f t="shared" si="66"/>
        <v>0</v>
      </c>
      <c r="I23" s="282" t="str">
        <f t="array" ref="I23">XLOOKUP(A23,'DADOS DE VENDA'!M:M,'DADOS DE VENDA'!P:P,"SEM VENDA")</f>
        <v>#REF!</v>
      </c>
      <c r="J23" s="289" t="str">
        <f t="shared" si="67"/>
        <v>0</v>
      </c>
      <c r="K23" s="290" t="str">
        <f t="shared" si="68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69"/>
        <v>#REF!</v>
      </c>
      <c r="Q23" s="275" t="str">
        <f t="shared" si="70"/>
        <v>#REF!</v>
      </c>
      <c r="R23" s="276">
        <f t="shared" si="71"/>
        <v>2</v>
      </c>
      <c r="S23" s="279" t="str">
        <f t="shared" si="72"/>
        <v>0</v>
      </c>
    </row>
    <row r="24" ht="14.25" customHeight="1">
      <c r="A24" s="277" t="str">
        <f t="shared" si="73"/>
        <v>#REF!</v>
      </c>
      <c r="B24" s="275" t="str">
        <f t="shared" si="62"/>
        <v>#REF!</v>
      </c>
      <c r="C24" s="276">
        <v>3.0</v>
      </c>
      <c r="D24" s="277" t="str">
        <f t="shared" si="63"/>
        <v>#REF!</v>
      </c>
      <c r="E24" s="278" t="str">
        <f t="shared" si="74"/>
        <v>#REF!</v>
      </c>
      <c r="F24" s="279" t="str">
        <f t="shared" si="64"/>
        <v>0</v>
      </c>
      <c r="G24" s="280" t="str">
        <f t="shared" si="65"/>
        <v>#REF!</v>
      </c>
      <c r="H24" s="287" t="str">
        <f t="shared" si="66"/>
        <v>0</v>
      </c>
      <c r="I24" s="282" t="str">
        <f t="array" ref="I24">XLOOKUP(A24,'DADOS DE VENDA'!M:M,'DADOS DE VENDA'!P:P,"SEM VENDA")</f>
        <v>#REF!</v>
      </c>
      <c r="J24" s="289" t="str">
        <f t="shared" si="67"/>
        <v>0</v>
      </c>
      <c r="K24" s="290" t="str">
        <f t="shared" si="68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69"/>
        <v>#REF!</v>
      </c>
      <c r="Q24" s="275" t="str">
        <f t="shared" si="70"/>
        <v>#REF!</v>
      </c>
      <c r="R24" s="276">
        <f t="shared" si="71"/>
        <v>3</v>
      </c>
      <c r="S24" s="279" t="str">
        <f t="shared" si="72"/>
        <v>0</v>
      </c>
    </row>
    <row r="25" ht="14.25" customHeight="1">
      <c r="A25" s="277" t="str">
        <f t="shared" si="73"/>
        <v>#REF!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si="73"/>
        <v>#REF!</v>
      </c>
      <c r="B26" s="275" t="str">
        <f t="shared" ref="B26:B27" si="75">XLOOKUP(A26,'[1]ESCALA DE PRODUÇÃO'!$AL$1:$AL$1048566,'[1]ESCALA DE PRODUÇÃO'!$AJ$1:$AJ$1048566,"NÃO ENCOTRADO")</f>
        <v>#REF!</v>
      </c>
      <c r="C26" s="276">
        <v>2.0</v>
      </c>
      <c r="D26" s="277" t="str">
        <f t="shared" ref="D26:D27" si="76">XLOOKUP(A26,'[1]ESCALA DE PRODUÇÃO'!$AL$1:$AL$1048566,'[1]ESCALA DE PRODUÇÃO'!$AK$1:$AK$1048566,"0")</f>
        <v>#REF!</v>
      </c>
      <c r="E26" s="278" t="str">
        <f t="shared" ref="E26:E27" si="77">('[1]ESCALA DE PRODUÇÃO'!N26)</f>
        <v>#REF!</v>
      </c>
      <c r="F26" s="279" t="str">
        <f t="shared" ref="F26:F27" si="78">IFERROR(C26/E26,"0")</f>
        <v>0</v>
      </c>
      <c r="G26" s="280" t="str">
        <f t="shared" ref="G26:G27" si="79">XLOOKUP(A26,'[1]ESCALA DE PRODUÇÃO'!$AL$1:$AL$1048566,'[1]ESCALA DE PRODUÇÃO'!$AM$1:$AM$1048566,"SEM PREÇO")</f>
        <v>#REF!</v>
      </c>
      <c r="H26" s="287" t="str">
        <f t="shared" ref="H26:H27" si="80">IFERROR(C26*G26,"0")</f>
        <v>0</v>
      </c>
      <c r="I26" s="282" t="str">
        <f t="array" ref="I26">XLOOKUP(A26,'DADOS DE VENDA'!M:M,'DADOS DE VENDA'!P:P,"SEM VENDA")</f>
        <v>#REF!</v>
      </c>
      <c r="J26" s="289" t="str">
        <f t="shared" ref="J26:J27" si="81">IFERROR(I26/E26,"0")</f>
        <v>0</v>
      </c>
      <c r="K26" s="290" t="str">
        <f t="shared" ref="K26:K27" si="82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3">A26</f>
        <v>#REF!</v>
      </c>
      <c r="Q26" s="275" t="str">
        <f t="shared" ref="Q26:Q27" si="84">XLOOKUP(P26,'[1]ESCALA DE PRODUÇÃO'!$AL$1:$AL$1048566,'[1]ESCALA DE PRODUÇÃO'!$AJ$1:$AJ$1048566,"NÃO ENCOTRADO")</f>
        <v>#REF!</v>
      </c>
      <c r="R26" s="276">
        <f t="shared" ref="R26:R27" si="85">C26</f>
        <v>2</v>
      </c>
      <c r="S26" s="279" t="str">
        <f t="shared" ref="S26:S27" si="86">(F26)</f>
        <v>0</v>
      </c>
    </row>
    <row r="27" ht="14.25" customHeight="1">
      <c r="A27" s="293">
        <v>0.0</v>
      </c>
      <c r="B27" s="349" t="str">
        <f t="shared" si="75"/>
        <v>#REF!</v>
      </c>
      <c r="C27" s="292">
        <v>5.0</v>
      </c>
      <c r="D27" s="293" t="str">
        <f t="shared" si="76"/>
        <v>#REF!</v>
      </c>
      <c r="E27" s="278" t="str">
        <f t="shared" si="77"/>
        <v>#REF!</v>
      </c>
      <c r="F27" s="294" t="str">
        <f t="shared" si="78"/>
        <v>0</v>
      </c>
      <c r="G27" s="295" t="str">
        <f t="shared" si="79"/>
        <v>#REF!</v>
      </c>
      <c r="H27" s="296" t="str">
        <f t="shared" si="80"/>
        <v>0</v>
      </c>
      <c r="I27" s="282" t="str">
        <f t="array" ref="I27">XLOOKUP(A27,'DADOS DE VENDA'!M:M,'DADOS DE VENDA'!P:P,"SEM VENDA")</f>
        <v>SEM VENDA</v>
      </c>
      <c r="J27" s="298" t="str">
        <f t="shared" si="81"/>
        <v>0</v>
      </c>
      <c r="K27" s="299" t="str">
        <f t="shared" si="82"/>
        <v>0</v>
      </c>
      <c r="L27" s="300" t="str">
        <f t="array" ref="L27">XLOOKUP(A27,'DADOS DE VENDA'!A:A,'DADOS DE VENDA'!E:E,"RUPTURA NO PERIODO")</f>
        <v>RUPTURA NO PERIODO</v>
      </c>
      <c r="M27" s="301" t="str">
        <f t="array" ref="M27">IFS(C27&lt;I27,"ABAIXO",C27&gt;I27,"ACIMA",C27=I27,"OK")</f>
        <v>ABAIXO</v>
      </c>
      <c r="P27" s="274">
        <f t="shared" si="83"/>
        <v>0</v>
      </c>
      <c r="Q27" s="302" t="str">
        <f t="shared" si="84"/>
        <v>#REF!</v>
      </c>
      <c r="R27" s="292">
        <f t="shared" si="85"/>
        <v>5</v>
      </c>
      <c r="S27" s="279" t="str">
        <f t="shared" si="86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VENDA'!M:M,'DADOS DE VENDA'!P:P,"SEM VENDA")</f>
        <v>SEM VENDA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F29" s="316"/>
      <c r="G29" s="42"/>
      <c r="H29" s="42"/>
      <c r="I29" s="317"/>
      <c r="J29" s="318"/>
      <c r="K29" s="319"/>
      <c r="M29" s="331"/>
      <c r="R29" s="315"/>
      <c r="S29" s="316"/>
    </row>
    <row r="30" ht="14.25" customHeight="1">
      <c r="C30" s="315"/>
      <c r="F30" s="316"/>
      <c r="G30" s="42"/>
      <c r="H30" s="42"/>
      <c r="I30" s="317"/>
      <c r="J30" s="318"/>
      <c r="K30" s="319"/>
      <c r="M30" s="331"/>
      <c r="R30" s="315"/>
      <c r="S30" s="316"/>
    </row>
    <row r="31" ht="14.25" customHeight="1">
      <c r="A31" s="370" t="s">
        <v>1176</v>
      </c>
      <c r="B31" s="342"/>
      <c r="C31" s="343"/>
      <c r="D31" s="374"/>
      <c r="E31" s="374"/>
      <c r="F31" s="374"/>
      <c r="G31" s="374"/>
      <c r="H31" s="374"/>
      <c r="I31" s="372" t="s">
        <v>1148</v>
      </c>
      <c r="J31" s="250"/>
      <c r="K31" s="250"/>
      <c r="L31" s="250"/>
      <c r="M31" s="254"/>
      <c r="P31" s="255" t="str">
        <f>P1</f>
        <v>QUARTA (LOJA 1 BENDITO-ROTISSERIA)</v>
      </c>
      <c r="Q31" s="256"/>
      <c r="R31" s="257" t="s">
        <v>12</v>
      </c>
      <c r="S31" s="258">
        <f>S1</f>
        <v>44954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93" t="str">
        <f t="shared" ref="A34:A36" si="87">('[1]ESCALA DE PRODUÇÃO'!L29)</f>
        <v>#REF!</v>
      </c>
      <c r="B34" s="275" t="str">
        <f t="shared" ref="B34:B36" si="88">XLOOKUP(A34,'[1]ESCALA DE PRODUÇÃO'!$AL$1:$AL$1048566,'[1]ESCALA DE PRODUÇÃO'!$AJ$1:$AJ$1048566,"NÃO ENCOTRADO")</f>
        <v>#REF!</v>
      </c>
      <c r="C34" s="276">
        <v>5.0</v>
      </c>
      <c r="D34" s="277" t="str">
        <f t="shared" ref="D34:D36" si="89">XLOOKUP(A34,'[1]ESCALA DE PRODUÇÃO'!$AL$1:$AL$1048566,'[1]ESCALA DE PRODUÇÃO'!$AK$1:$AK$1048566,"0")</f>
        <v>#REF!</v>
      </c>
      <c r="E34" s="278" t="str">
        <f t="shared" ref="E34:E36" si="90">('[1]ESCALA DE PRODUÇÃO'!N29)</f>
        <v>#REF!</v>
      </c>
      <c r="F34" s="279" t="str">
        <f t="shared" ref="F34:F36" si="91">IFERROR(C34/E34,"0")</f>
        <v>0</v>
      </c>
      <c r="G34" s="280" t="str">
        <f t="shared" ref="G34:G36" si="92">XLOOKUP(A34,'[1]ESCALA DE PRODUÇÃO'!$AL$1:$AL$1048566,'[1]ESCALA DE PRODUÇÃO'!$AM$1:$AM$1048566,"SEM PREÇO")</f>
        <v>#REF!</v>
      </c>
      <c r="H34" s="287" t="str">
        <f t="shared" ref="H34:H36" si="93">IFERROR(C34*G34,"0")</f>
        <v>0</v>
      </c>
      <c r="I34" s="288" t="str">
        <f t="array" ref="I34">XLOOKUP(A34,'DADOS DE VENDA'!M:M,'DADOS DE VENDA'!P:P,"SEM VENDA")</f>
        <v>#REF!</v>
      </c>
      <c r="J34" s="289" t="str">
        <f t="shared" ref="J34:J36" si="94">IFERROR(I34/E34,"0")</f>
        <v>0</v>
      </c>
      <c r="K34" s="290" t="str">
        <f t="shared" ref="K34:K36" si="95">IFERROR(I34*G34,"0")</f>
        <v>0</v>
      </c>
      <c r="L34" s="291" t="str">
        <f t="array" ref="L34">XLOOKUP(A34,'DADOS DE VENDA'!A:A,'DADOS DE VENDA'!E:E,"RUPTURA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96">A34</f>
        <v>#REF!</v>
      </c>
      <c r="Q34" s="275" t="str">
        <f t="shared" ref="Q34:Q36" si="97">XLOOKUP(P34,'[1]ESCALA DE PRODUÇÃO'!$AL$1:$AL$1048566,'[1]ESCALA DE PRODUÇÃO'!$AJ$1:$AJ$1048566,"NÃO ENCOTRADO")</f>
        <v>#REF!</v>
      </c>
      <c r="R34" s="276">
        <f t="shared" ref="R34:R36" si="98">C34</f>
        <v>5</v>
      </c>
      <c r="S34" s="279" t="str">
        <f t="shared" ref="S34:S36" si="99">F34</f>
        <v>0</v>
      </c>
    </row>
    <row r="35" ht="14.25" customHeight="1">
      <c r="A35" s="293" t="str">
        <f t="shared" si="87"/>
        <v>#REF!</v>
      </c>
      <c r="B35" s="275" t="str">
        <f t="shared" si="88"/>
        <v>#REF!</v>
      </c>
      <c r="C35" s="276">
        <v>0.0</v>
      </c>
      <c r="D35" s="277" t="str">
        <f t="shared" si="89"/>
        <v>#REF!</v>
      </c>
      <c r="E35" s="278" t="str">
        <f t="shared" si="90"/>
        <v>#REF!</v>
      </c>
      <c r="F35" s="279" t="str">
        <f t="shared" si="91"/>
        <v>0</v>
      </c>
      <c r="G35" s="280" t="str">
        <f t="shared" si="92"/>
        <v>#REF!</v>
      </c>
      <c r="H35" s="287" t="str">
        <f t="shared" si="93"/>
        <v>0</v>
      </c>
      <c r="I35" s="288" t="str">
        <f t="array" ref="I35">XLOOKUP(A35,'DADOS DE VENDA'!M:M,'DADOS DE VENDA'!P:P,"SEM VENDA")</f>
        <v>#REF!</v>
      </c>
      <c r="J35" s="289" t="str">
        <f t="shared" si="94"/>
        <v>0</v>
      </c>
      <c r="K35" s="290" t="str">
        <f t="shared" si="95"/>
        <v>0</v>
      </c>
      <c r="L35" s="291" t="str">
        <f t="array" ref="L35">XLOOKUP(A35,'DADOS DE VENDA'!A:A,'DADOS DE VENDA'!E:E,"RUPTURA NO PERIODO")</f>
        <v>#REF!</v>
      </c>
      <c r="M35" s="286" t="str">
        <f t="array" ref="M35">IFS(C35&lt;I35,"ABAIXO",C35&gt;I35,"ACIMA",C35=I35,"OK")</f>
        <v>#REF!</v>
      </c>
      <c r="P35" s="274" t="str">
        <f t="shared" si="96"/>
        <v>#REF!</v>
      </c>
      <c r="Q35" s="275" t="str">
        <f t="shared" si="97"/>
        <v>#REF!</v>
      </c>
      <c r="R35" s="276">
        <f t="shared" si="98"/>
        <v>0</v>
      </c>
      <c r="S35" s="279" t="str">
        <f t="shared" si="99"/>
        <v>0</v>
      </c>
    </row>
    <row r="36" ht="14.25" customHeight="1">
      <c r="A36" s="293" t="str">
        <f t="shared" si="87"/>
        <v>#REF!</v>
      </c>
      <c r="B36" s="275" t="str">
        <f t="shared" si="88"/>
        <v>#REF!</v>
      </c>
      <c r="C36" s="276">
        <v>0.0</v>
      </c>
      <c r="D36" s="277" t="str">
        <f t="shared" si="89"/>
        <v>#REF!</v>
      </c>
      <c r="E36" s="278" t="str">
        <f t="shared" si="90"/>
        <v>#REF!</v>
      </c>
      <c r="F36" s="279" t="str">
        <f t="shared" si="91"/>
        <v>0</v>
      </c>
      <c r="G36" s="280" t="str">
        <f t="shared" si="92"/>
        <v>#REF!</v>
      </c>
      <c r="H36" s="287" t="str">
        <f t="shared" si="93"/>
        <v>0</v>
      </c>
      <c r="I36" s="288" t="str">
        <f t="array" ref="I36">XLOOKUP(A36,'DADOS DE VENDA'!M:M,'DADOS DE VENDA'!P:P,"SEM VENDA")</f>
        <v>#REF!</v>
      </c>
      <c r="J36" s="289" t="str">
        <f t="shared" si="94"/>
        <v>0</v>
      </c>
      <c r="K36" s="290" t="str">
        <f t="shared" si="95"/>
        <v>0</v>
      </c>
      <c r="L36" s="291" t="str">
        <f t="array" ref="L36">XLOOKUP(A36,'DADOS DE VENDA'!A:A,'DADOS DE VENDA'!E:E,"RUPTURA NO PERIODO")</f>
        <v>#REF!</v>
      </c>
      <c r="M36" s="286" t="str">
        <f t="array" ref="M36">IFS(C36&lt;I36,"ABAIXO",C36&gt;I36,"ACIMA",C36=I36,"OK")</f>
        <v>#REF!</v>
      </c>
      <c r="P36" s="274" t="str">
        <f t="shared" si="96"/>
        <v>#REF!</v>
      </c>
      <c r="Q36" s="275" t="str">
        <f t="shared" si="97"/>
        <v>#REF!</v>
      </c>
      <c r="R36" s="276">
        <f t="shared" si="98"/>
        <v>0</v>
      </c>
      <c r="S36" s="279" t="str">
        <f t="shared" si="99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93" t="str">
        <f t="shared" ref="A38:A40" si="100">'[1]ESCALA DE PRODUÇÃO'!L32</f>
        <v>#REF!</v>
      </c>
      <c r="B38" s="275" t="str">
        <f t="shared" ref="B38:B40" si="101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2">XLOOKUP(A38,'[1]ESCALA DE PRODUÇÃO'!$AL$1:$AL$1048566,'[1]ESCALA DE PRODUÇÃO'!$AK$1:$AK$1048566,"0")</f>
        <v>#REF!</v>
      </c>
      <c r="E38" s="278" t="str">
        <f t="shared" ref="E38:E40" si="103">('[1]ESCALA DE PRODUÇÃO'!N33)</f>
        <v>#REF!</v>
      </c>
      <c r="F38" s="279" t="str">
        <f t="shared" ref="F38:F40" si="104">IFERROR(C38/E38,"0")</f>
        <v>0</v>
      </c>
      <c r="G38" s="280" t="str">
        <f t="shared" ref="G38:G40" si="105">XLOOKUP(A38,'[1]ESCALA DE PRODUÇÃO'!$AL$1:$AL$1048566,'[1]ESCALA DE PRODUÇÃO'!$AM$1:$AM$1048566,"SEM PREÇO")</f>
        <v>#REF!</v>
      </c>
      <c r="H38" s="287" t="str">
        <f t="shared" ref="H38:H40" si="106">IFERROR(C38*G38,"0")</f>
        <v>0</v>
      </c>
      <c r="I38" s="288" t="str">
        <f t="array" ref="I38">XLOOKUP(A38,'DADOS DE VENDA'!M:M,'DADOS DE VENDA'!P:P,"SEM VENDA")</f>
        <v>#REF!</v>
      </c>
      <c r="J38" s="289" t="str">
        <f t="shared" ref="J38:J40" si="107">IFERROR(I38/E38,"0")</f>
        <v>0</v>
      </c>
      <c r="K38" s="290" t="str">
        <f t="shared" ref="K38:K40" si="108">IFERROR(I38*G38,"0")</f>
        <v>0</v>
      </c>
      <c r="L38" s="291" t="str">
        <f t="array" ref="L38">XLOOKUP(A38,'DADOS DE VENDA'!A:A,'DADOS DE VENDA'!E:E,"RUPTURA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09">A38</f>
        <v>#REF!</v>
      </c>
      <c r="Q38" s="275" t="str">
        <f t="shared" ref="Q38:Q40" si="110">XLOOKUP(P38,'[1]ESCALA DE PRODUÇÃO'!$AL$1:$AL$1048566,'[1]ESCALA DE PRODUÇÃO'!$AJ$1:$AJ$1048566,"NÃO ENCOTRADO")</f>
        <v>#REF!</v>
      </c>
      <c r="R38" s="276">
        <f t="shared" ref="R38:R40" si="111">C38</f>
        <v>0</v>
      </c>
      <c r="S38" s="279" t="str">
        <f t="shared" ref="S38:S40" si="112">F38</f>
        <v>0</v>
      </c>
    </row>
    <row r="39" ht="14.25" customHeight="1">
      <c r="A39" s="293" t="str">
        <f t="shared" si="100"/>
        <v>#REF!</v>
      </c>
      <c r="B39" s="275" t="str">
        <f t="shared" si="101"/>
        <v>#REF!</v>
      </c>
      <c r="C39" s="276">
        <v>4.0</v>
      </c>
      <c r="D39" s="277" t="str">
        <f t="shared" si="102"/>
        <v>#REF!</v>
      </c>
      <c r="E39" s="278" t="str">
        <f t="shared" si="103"/>
        <v>#REF!</v>
      </c>
      <c r="F39" s="279" t="str">
        <f t="shared" si="104"/>
        <v>0</v>
      </c>
      <c r="G39" s="280" t="str">
        <f t="shared" si="105"/>
        <v>#REF!</v>
      </c>
      <c r="H39" s="287" t="str">
        <f t="shared" si="106"/>
        <v>0</v>
      </c>
      <c r="I39" s="288" t="str">
        <f t="array" ref="I39">XLOOKUP(A39,'DADOS DE VENDA'!M:M,'DADOS DE VENDA'!P:P,"SEM VENDA")</f>
        <v>#REF!</v>
      </c>
      <c r="J39" s="289" t="str">
        <f t="shared" si="107"/>
        <v>0</v>
      </c>
      <c r="K39" s="290" t="str">
        <f t="shared" si="108"/>
        <v>0</v>
      </c>
      <c r="L39" s="291" t="str">
        <f t="array" ref="L39">XLOOKUP(A39,'DADOS DE VENDA'!A:A,'DADOS DE VENDA'!E:E,"RUPTURA NO PERIODO")</f>
        <v>#REF!</v>
      </c>
      <c r="M39" s="286" t="str">
        <f t="array" ref="M39">IFS(C39&lt;I39,"ABAIXO",C39&gt;I39,"ACIMA",C39=I39,"OK")</f>
        <v>#REF!</v>
      </c>
      <c r="P39" s="274" t="str">
        <f t="shared" si="109"/>
        <v>#REF!</v>
      </c>
      <c r="Q39" s="275" t="str">
        <f t="shared" si="110"/>
        <v>#REF!</v>
      </c>
      <c r="R39" s="276">
        <f t="shared" si="111"/>
        <v>4</v>
      </c>
      <c r="S39" s="279" t="str">
        <f t="shared" si="112"/>
        <v>0</v>
      </c>
    </row>
    <row r="40" ht="14.25" customHeight="1">
      <c r="A40" s="293" t="str">
        <f t="shared" si="100"/>
        <v>#REF!</v>
      </c>
      <c r="B40" s="275" t="str">
        <f t="shared" si="101"/>
        <v>#REF!</v>
      </c>
      <c r="C40" s="276">
        <v>0.0</v>
      </c>
      <c r="D40" s="277" t="str">
        <f t="shared" si="102"/>
        <v>#REF!</v>
      </c>
      <c r="E40" s="278" t="str">
        <f t="shared" si="103"/>
        <v>#REF!</v>
      </c>
      <c r="F40" s="279" t="str">
        <f t="shared" si="104"/>
        <v>0</v>
      </c>
      <c r="G40" s="280" t="str">
        <f t="shared" si="105"/>
        <v>#REF!</v>
      </c>
      <c r="H40" s="287" t="str">
        <f t="shared" si="106"/>
        <v>0</v>
      </c>
      <c r="I40" s="288" t="str">
        <f t="array" ref="I40">XLOOKUP(A40,'DADOS DE VENDA'!M:M,'DADOS DE VENDA'!P:P,"SEM VENDA")</f>
        <v>#REF!</v>
      </c>
      <c r="J40" s="289" t="str">
        <f t="shared" si="107"/>
        <v>0</v>
      </c>
      <c r="K40" s="290" t="str">
        <f t="shared" si="108"/>
        <v>0</v>
      </c>
      <c r="L40" s="291" t="str">
        <f t="array" ref="L40">XLOOKUP(A40,'DADOS DE VENDA'!A:A,'DADOS DE VENDA'!E:E,"RUPTURA NO PERIODO")</f>
        <v>#REF!</v>
      </c>
      <c r="M40" s="286" t="str">
        <f t="array" ref="M40">IFS(C40&lt;I40,"ABAIXO",C40&gt;I40,"ACIMA",C40=I40,"OK")</f>
        <v>#REF!</v>
      </c>
      <c r="P40" s="274" t="str">
        <f t="shared" si="109"/>
        <v>#REF!</v>
      </c>
      <c r="Q40" s="275" t="str">
        <f t="shared" si="110"/>
        <v>#REF!</v>
      </c>
      <c r="R40" s="276">
        <f t="shared" si="111"/>
        <v>0</v>
      </c>
      <c r="S40" s="279" t="str">
        <f t="shared" si="112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93" t="str">
        <f t="shared" ref="A42:A44" si="113">'[1]ESCALA DE PRODUÇÃO'!L36</f>
        <v>#REF!</v>
      </c>
      <c r="B42" s="275" t="str">
        <f t="shared" ref="B42:B44" si="114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15">XLOOKUP(A42,'[1]ESCALA DE PRODUÇÃO'!$AL$1:$AL$1048566,'[1]ESCALA DE PRODUÇÃO'!$AK$1:$AK$1048566,"0")</f>
        <v>#REF!</v>
      </c>
      <c r="E42" s="278" t="str">
        <f t="shared" ref="E42:E44" si="116">('[1]ESCALA DE PRODUÇÃO'!N37)</f>
        <v>#REF!</v>
      </c>
      <c r="F42" s="279" t="str">
        <f t="shared" ref="F42:F44" si="117">IFERROR(C42/E42,"0")</f>
        <v>0</v>
      </c>
      <c r="G42" s="280" t="str">
        <f t="shared" ref="G42:G44" si="118">XLOOKUP(A42,'[1]ESCALA DE PRODUÇÃO'!$AL$1:$AL$1048566,'[1]ESCALA DE PRODUÇÃO'!$AM$1:$AM$1048566,"SEM PREÇO")</f>
        <v>#REF!</v>
      </c>
      <c r="H42" s="287" t="str">
        <f t="shared" ref="H42:H44" si="119">IFERROR(C42*G42,"0")</f>
        <v>0</v>
      </c>
      <c r="I42" s="288" t="str">
        <f t="array" ref="I42">XLOOKUP(A42,'DADOS DE VENDA'!M:M,'DADOS DE VENDA'!P:P,"SEM VENDA")</f>
        <v>#REF!</v>
      </c>
      <c r="J42" s="289" t="str">
        <f t="shared" ref="J42:J44" si="120">IFERROR(I42/E42,"0")</f>
        <v>0</v>
      </c>
      <c r="K42" s="290" t="str">
        <f t="shared" ref="K42:K44" si="121">IFERROR(I42*G42,"0")</f>
        <v>0</v>
      </c>
      <c r="L42" s="291" t="str">
        <f t="array" ref="L42">XLOOKUP(A42,'DADOS DE VENDA'!A:A,'DADOS DE VENDA'!E:E,"RUPTURA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2">A42</f>
        <v>#REF!</v>
      </c>
      <c r="Q42" s="275" t="str">
        <f t="shared" ref="Q42:Q44" si="123">XLOOKUP(P42,'[1]ESCALA DE PRODUÇÃO'!$AL$1:$AL$1048566,'[1]ESCALA DE PRODUÇÃO'!$AJ$1:$AJ$1048566,"NÃO ENCOTRADO")</f>
        <v>#REF!</v>
      </c>
      <c r="R42" s="276">
        <f t="shared" ref="R42:R44" si="124">C42</f>
        <v>0</v>
      </c>
      <c r="S42" s="279" t="str">
        <f t="shared" ref="S42:S44" si="125">F42</f>
        <v>0</v>
      </c>
    </row>
    <row r="43" ht="14.25" customHeight="1">
      <c r="A43" s="293" t="str">
        <f t="shared" si="113"/>
        <v>#REF!</v>
      </c>
      <c r="B43" s="275" t="str">
        <f t="shared" si="114"/>
        <v>#REF!</v>
      </c>
      <c r="C43" s="276">
        <v>0.0</v>
      </c>
      <c r="D43" s="277" t="str">
        <f t="shared" si="115"/>
        <v>#REF!</v>
      </c>
      <c r="E43" s="278" t="str">
        <f t="shared" si="116"/>
        <v>#REF!</v>
      </c>
      <c r="F43" s="279" t="str">
        <f t="shared" si="117"/>
        <v>0</v>
      </c>
      <c r="G43" s="280" t="str">
        <f t="shared" si="118"/>
        <v>#REF!</v>
      </c>
      <c r="H43" s="287" t="str">
        <f t="shared" si="119"/>
        <v>0</v>
      </c>
      <c r="I43" s="288" t="str">
        <f t="array" ref="I43">XLOOKUP(A43,'DADOS DE VENDA'!M:M,'DADOS DE VENDA'!P:P,"SEM VENDA")</f>
        <v>#REF!</v>
      </c>
      <c r="J43" s="289" t="str">
        <f t="shared" si="120"/>
        <v>0</v>
      </c>
      <c r="K43" s="290" t="str">
        <f t="shared" si="121"/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si="122"/>
        <v>#REF!</v>
      </c>
      <c r="Q43" s="275" t="str">
        <f t="shared" si="123"/>
        <v>#REF!</v>
      </c>
      <c r="R43" s="276">
        <f t="shared" si="124"/>
        <v>0</v>
      </c>
      <c r="S43" s="279" t="str">
        <f t="shared" si="125"/>
        <v>0</v>
      </c>
    </row>
    <row r="44" ht="14.25" customHeight="1">
      <c r="A44" s="293" t="str">
        <f t="shared" si="113"/>
        <v>#REF!</v>
      </c>
      <c r="B44" s="302" t="str">
        <f t="shared" si="114"/>
        <v>#REF!</v>
      </c>
      <c r="C44" s="321">
        <v>7.0</v>
      </c>
      <c r="D44" s="322" t="str">
        <f t="shared" si="115"/>
        <v>#REF!</v>
      </c>
      <c r="E44" s="278" t="str">
        <f t="shared" si="116"/>
        <v>#REF!</v>
      </c>
      <c r="F44" s="323" t="str">
        <f t="shared" si="117"/>
        <v>0</v>
      </c>
      <c r="G44" s="324" t="str">
        <f t="shared" si="118"/>
        <v>#REF!</v>
      </c>
      <c r="H44" s="325" t="str">
        <f t="shared" si="119"/>
        <v>0</v>
      </c>
      <c r="I44" s="288" t="str">
        <f t="array" ref="I44">XLOOKUP(A44,'DADOS DE VENDA'!M:M,'DADOS DE VENDA'!P:P,"SEM VENDA")</f>
        <v>#REF!</v>
      </c>
      <c r="J44" s="327" t="str">
        <f t="shared" si="120"/>
        <v>0</v>
      </c>
      <c r="K44" s="328" t="str">
        <f t="shared" si="121"/>
        <v>0</v>
      </c>
      <c r="L44" s="329" t="str">
        <f t="array" ref="L44">XLOOKUP(A44,'DADOS DE VENDA'!A:A,'DADOS DE VENDA'!E:E,"RUPTURA NO PERIODO")</f>
        <v>#REF!</v>
      </c>
      <c r="M44" s="330" t="str">
        <f t="array" ref="M44">IFS(C44&lt;I44,"ABAIXO",C44&gt;I44,"ACIMA",C44=I44,"OK")</f>
        <v>#REF!</v>
      </c>
      <c r="P44" s="274" t="str">
        <f t="shared" si="122"/>
        <v>#REF!</v>
      </c>
      <c r="Q44" s="302" t="str">
        <f t="shared" si="123"/>
        <v>#REF!</v>
      </c>
      <c r="R44" s="276">
        <f t="shared" si="124"/>
        <v>7</v>
      </c>
      <c r="S44" s="279" t="str">
        <f t="shared" si="125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VENDA'!M:M,'DADOS DE VENDA'!P:P,"SEM VENDA")</f>
        <v>SEM VENDA</v>
      </c>
      <c r="J45" s="309">
        <f>SUM(K34,K35,K36,K38,K39,K40,K42,K43,K44)</f>
        <v>0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70" t="s">
        <v>1176</v>
      </c>
      <c r="B48" s="342"/>
      <c r="C48" s="343"/>
      <c r="D48" s="374"/>
      <c r="E48" s="374"/>
      <c r="F48" s="374"/>
      <c r="G48" s="374"/>
      <c r="H48" s="374"/>
      <c r="I48" s="372" t="s">
        <v>1148</v>
      </c>
      <c r="J48" s="250"/>
      <c r="K48" s="250"/>
      <c r="L48" s="250"/>
      <c r="M48" s="254"/>
      <c r="P48" s="255" t="str">
        <f>P31</f>
        <v>QUARTA (LOJA 1 BENDITO-ROTISSERIA)</v>
      </c>
      <c r="Q48" s="256"/>
      <c r="R48" s="257" t="s">
        <v>12</v>
      </c>
      <c r="S48" s="258">
        <f>S31</f>
        <v>44954</v>
      </c>
    </row>
    <row r="49" ht="14.25" customHeight="1">
      <c r="A49" s="259" t="s">
        <v>1170</v>
      </c>
      <c r="B49" s="260"/>
      <c r="C49" s="261" t="s">
        <v>1164</v>
      </c>
      <c r="D49" s="262" t="s">
        <v>1149</v>
      </c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274" t="str">
        <f t="shared" ref="A51:A53" si="126">('[1]ESCALA DE PRODUÇÃO'!L41)</f>
        <v>#REF!</v>
      </c>
      <c r="B51" s="275" t="str">
        <f t="shared" ref="B51:B54" si="127">XLOOKUP(A51,'[1]ESCALA DE PRODUÇÃO'!$AL$1:$AL$1048566,'[1]ESCALA DE PRODUÇÃO'!$AJ$1:$AJ$1048566,"NÃO ENCOTRADO")</f>
        <v>#REF!</v>
      </c>
      <c r="C51" s="276">
        <v>1.0</v>
      </c>
      <c r="D51" s="277" t="str">
        <f t="shared" ref="D51:D54" si="128">XLOOKUP(A51,'[1]ESCALA DE PRODUÇÃO'!$AL$1:$AL$1048566,'[1]ESCALA DE PRODUÇÃO'!$AK$1:$AK$1048566,"0")</f>
        <v>#REF!</v>
      </c>
      <c r="E51" s="278" t="str">
        <f t="shared" ref="E51:E54" si="129">('[1]ESCALA DE PRODUÇÃO'!N41)</f>
        <v>#REF!</v>
      </c>
      <c r="F51" s="279" t="str">
        <f t="shared" ref="F51:F54" si="130">IFERROR(C51/E51,"0")</f>
        <v>0</v>
      </c>
      <c r="G51" s="280" t="str">
        <f t="shared" ref="G51:G54" si="131">XLOOKUP(A51,'[1]ESCALA DE PRODUÇÃO'!$AL$1:$AL$1048566,'[1]ESCALA DE PRODUÇÃO'!$AM$1:$AM$1048566,"SEM PREÇO")</f>
        <v>#REF!</v>
      </c>
      <c r="H51" s="287" t="str">
        <f t="shared" ref="H51:H54" si="132">IFERROR(C51*G51,"0")</f>
        <v>0</v>
      </c>
      <c r="I51" s="288" t="str">
        <f t="array" ref="I51">XLOOKUP(A51,'DADOS DE VENDA'!M:M,'DADOS DE VENDA'!P:P,"SEM VENDA")</f>
        <v>#REF!</v>
      </c>
      <c r="J51" s="289" t="str">
        <f t="shared" ref="J51:J54" si="133">IFERROR(I51/E51,"0")</f>
        <v>0</v>
      </c>
      <c r="K51" s="290" t="str">
        <f t="shared" ref="K51:K54" si="134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35">A51</f>
        <v>#REF!</v>
      </c>
      <c r="Q51" s="275" t="str">
        <f t="shared" ref="Q51:Q54" si="136">XLOOKUP(P51,'[1]ESCALA DE PRODUÇÃO'!$AL$1:$AL$1048566,'[1]ESCALA DE PRODUÇÃO'!$AJ$1:$AJ$1048566,"NÃO ENCOTRADO")</f>
        <v>#REF!</v>
      </c>
      <c r="R51" s="276">
        <f t="shared" ref="R51:R54" si="137">C51</f>
        <v>1</v>
      </c>
      <c r="S51" s="279" t="str">
        <f t="shared" ref="S51:S54" si="138">(F51)</f>
        <v>0</v>
      </c>
    </row>
    <row r="52" ht="14.25" customHeight="1">
      <c r="A52" s="274" t="str">
        <f t="shared" si="126"/>
        <v>#REF!</v>
      </c>
      <c r="B52" s="275" t="str">
        <f t="shared" si="127"/>
        <v>#REF!</v>
      </c>
      <c r="C52" s="276">
        <v>1.5</v>
      </c>
      <c r="D52" s="277" t="str">
        <f t="shared" si="128"/>
        <v>#REF!</v>
      </c>
      <c r="E52" s="278" t="str">
        <f t="shared" si="129"/>
        <v>#REF!</v>
      </c>
      <c r="F52" s="279" t="str">
        <f t="shared" si="130"/>
        <v>0</v>
      </c>
      <c r="G52" s="280" t="str">
        <f t="shared" si="131"/>
        <v>#REF!</v>
      </c>
      <c r="H52" s="287" t="str">
        <f t="shared" si="132"/>
        <v>0</v>
      </c>
      <c r="I52" s="288" t="str">
        <f t="array" ref="I52">XLOOKUP(A52,'DADOS DE VENDA'!M:M,'DADOS DE VENDA'!P:P,"SEM VENDA")</f>
        <v>#REF!</v>
      </c>
      <c r="J52" s="289" t="str">
        <f t="shared" si="133"/>
        <v>0</v>
      </c>
      <c r="K52" s="290" t="str">
        <f t="shared" si="134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5"/>
        <v>#REF!</v>
      </c>
      <c r="Q52" s="275" t="str">
        <f t="shared" si="136"/>
        <v>#REF!</v>
      </c>
      <c r="R52" s="276">
        <f t="shared" si="137"/>
        <v>1.5</v>
      </c>
      <c r="S52" s="279" t="str">
        <f t="shared" si="138"/>
        <v>0</v>
      </c>
    </row>
    <row r="53" ht="14.25" customHeight="1">
      <c r="A53" s="274" t="str">
        <f t="shared" si="126"/>
        <v>#REF!</v>
      </c>
      <c r="B53" s="275" t="str">
        <f t="shared" si="127"/>
        <v>#REF!</v>
      </c>
      <c r="C53" s="276">
        <v>2.0</v>
      </c>
      <c r="D53" s="277" t="str">
        <f t="shared" si="128"/>
        <v>#REF!</v>
      </c>
      <c r="E53" s="278" t="str">
        <f t="shared" si="129"/>
        <v>#REF!</v>
      </c>
      <c r="F53" s="279" t="str">
        <f t="shared" si="130"/>
        <v>0</v>
      </c>
      <c r="G53" s="280" t="str">
        <f t="shared" si="131"/>
        <v>#REF!</v>
      </c>
      <c r="H53" s="287" t="str">
        <f t="shared" si="132"/>
        <v>0</v>
      </c>
      <c r="I53" s="288" t="str">
        <f t="array" ref="I53">XLOOKUP(A53,'DADOS DE VENDA'!M:M,'DADOS DE VENDA'!P:P,"SEM VENDA")</f>
        <v>#REF!</v>
      </c>
      <c r="J53" s="289" t="str">
        <f t="shared" si="133"/>
        <v>0</v>
      </c>
      <c r="K53" s="290" t="str">
        <f t="shared" si="134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35"/>
        <v>#REF!</v>
      </c>
      <c r="Q53" s="275" t="str">
        <f t="shared" si="136"/>
        <v>#REF!</v>
      </c>
      <c r="R53" s="276">
        <f t="shared" si="137"/>
        <v>2</v>
      </c>
      <c r="S53" s="279" t="str">
        <f t="shared" si="138"/>
        <v>0</v>
      </c>
    </row>
    <row r="54" ht="14.25" customHeight="1">
      <c r="A54" s="274" t="str">
        <f>('[1]ESCALA DE PRODUÇÃO'!L43)</f>
        <v>#REF!</v>
      </c>
      <c r="B54" s="275" t="str">
        <f t="shared" si="127"/>
        <v>#REF!</v>
      </c>
      <c r="C54" s="276">
        <v>0.0</v>
      </c>
      <c r="D54" s="277" t="str">
        <f t="shared" si="128"/>
        <v>#REF!</v>
      </c>
      <c r="E54" s="278" t="str">
        <f t="shared" si="129"/>
        <v>#REF!</v>
      </c>
      <c r="F54" s="279" t="str">
        <f t="shared" si="130"/>
        <v>0</v>
      </c>
      <c r="G54" s="280" t="str">
        <f t="shared" si="131"/>
        <v>#REF!</v>
      </c>
      <c r="H54" s="287" t="str">
        <f t="shared" si="132"/>
        <v>0</v>
      </c>
      <c r="I54" s="288" t="str">
        <f t="array" ref="I54">XLOOKUP(A54,'DADOS DE VENDA'!M:M,'DADOS DE VENDA'!P:P,"SEM VENDA")</f>
        <v>#REF!</v>
      </c>
      <c r="J54" s="289" t="str">
        <f t="shared" si="133"/>
        <v>0</v>
      </c>
      <c r="K54" s="290" t="str">
        <f t="shared" si="134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P54" s="274" t="str">
        <f t="shared" si="135"/>
        <v>#REF!</v>
      </c>
      <c r="Q54" s="275" t="str">
        <f t="shared" si="136"/>
        <v>#REF!</v>
      </c>
      <c r="R54" s="276">
        <f t="shared" si="137"/>
        <v>0</v>
      </c>
      <c r="S54" s="279" t="str">
        <f t="shared" si="138"/>
        <v>0</v>
      </c>
    </row>
    <row r="55" ht="14.25" customHeight="1">
      <c r="A55" s="268" t="s">
        <v>271</v>
      </c>
      <c r="B55" s="269" t="s">
        <v>289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274" t="str">
        <f t="shared" ref="A56:A59" si="139">('[1]ESCALA DE PRODUÇÃO'!L44)</f>
        <v>#REF!</v>
      </c>
      <c r="B56" s="275" t="str">
        <f t="shared" ref="B56:B59" si="140">XLOOKUP(A56,'[1]ESCALA DE PRODUÇÃO'!$AL$1:$AL$1048566,'[1]ESCALA DE PRODUÇÃO'!$AJ$1:$AJ$1048566,"NÃO ENCOTRADO")</f>
        <v>#REF!</v>
      </c>
      <c r="C56" s="276">
        <v>0.0</v>
      </c>
      <c r="D56" s="277" t="str">
        <f t="shared" ref="D56:D59" si="141">XLOOKUP(A56,'[1]ESCALA DE PRODUÇÃO'!$AL$1:$AL$1048566,'[1]ESCALA DE PRODUÇÃO'!$AK$1:$AK$1048566,"0")</f>
        <v>#REF!</v>
      </c>
      <c r="E56" s="278" t="str">
        <f t="shared" ref="E56:E59" si="142">('[1]ESCALA DE PRODUÇÃO'!N46)</f>
        <v>#REF!</v>
      </c>
      <c r="F56" s="279" t="str">
        <f t="shared" ref="F56:F59" si="143">IFERROR(C56/E56,"0")</f>
        <v>0</v>
      </c>
      <c r="G56" s="280" t="str">
        <f t="shared" ref="G56:G59" si="144">XLOOKUP(A56,'[1]ESCALA DE PRODUÇÃO'!$AL$1:$AL$1048566,'[1]ESCALA DE PRODUÇÃO'!$AM$1:$AM$1048566,"SEM PREÇO")</f>
        <v>#REF!</v>
      </c>
      <c r="H56" s="287" t="str">
        <f t="shared" ref="H56:H59" si="145">IFERROR(C56*G56,"0")</f>
        <v>0</v>
      </c>
      <c r="I56" s="288" t="str">
        <f t="array" ref="I56">XLOOKUP(A56,'DADOS DE VENDA'!M:M,'DADOS DE VENDA'!P:P,"SEM VENDA")</f>
        <v>#REF!</v>
      </c>
      <c r="J56" s="289" t="str">
        <f t="shared" ref="J56:J59" si="146">IFERROR(I56/E56,"0")</f>
        <v>0</v>
      </c>
      <c r="K56" s="290" t="str">
        <f t="shared" ref="K56:K59" si="147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48">A56</f>
        <v>#REF!</v>
      </c>
      <c r="Q56" s="275" t="str">
        <f t="shared" ref="Q56:Q59" si="149">XLOOKUP(P56,'[1]ESCALA DE PRODUÇÃO'!$AL$1:$AL$1048566,'[1]ESCALA DE PRODUÇÃO'!$AJ$1:$AJ$1048566,"NÃO ENCOTRADO")</f>
        <v>#REF!</v>
      </c>
      <c r="R56" s="276">
        <f t="shared" ref="R56:R59" si="150">C56</f>
        <v>0</v>
      </c>
      <c r="S56" s="279" t="str">
        <f t="shared" ref="S56:S59" si="151">F56</f>
        <v>0</v>
      </c>
    </row>
    <row r="57" ht="14.25" customHeight="1">
      <c r="A57" s="274" t="str">
        <f t="shared" si="139"/>
        <v>#REF!</v>
      </c>
      <c r="B57" s="275" t="str">
        <f t="shared" si="140"/>
        <v>#REF!</v>
      </c>
      <c r="C57" s="276">
        <v>0.0</v>
      </c>
      <c r="D57" s="277" t="str">
        <f t="shared" si="141"/>
        <v>#REF!</v>
      </c>
      <c r="E57" s="278" t="str">
        <f t="shared" si="142"/>
        <v>#REF!</v>
      </c>
      <c r="F57" s="279" t="str">
        <f t="shared" si="143"/>
        <v>0</v>
      </c>
      <c r="G57" s="280" t="str">
        <f t="shared" si="144"/>
        <v>#REF!</v>
      </c>
      <c r="H57" s="287" t="str">
        <f t="shared" si="145"/>
        <v>0</v>
      </c>
      <c r="I57" s="288" t="str">
        <f t="array" ref="I57">XLOOKUP(A57,'DADOS DE VENDA'!M:M,'DADOS DE VENDA'!P:P,"SEM VENDA")</f>
        <v>#REF!</v>
      </c>
      <c r="J57" s="289" t="str">
        <f t="shared" si="146"/>
        <v>0</v>
      </c>
      <c r="K57" s="290" t="str">
        <f t="shared" si="147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48"/>
        <v>#REF!</v>
      </c>
      <c r="Q57" s="275" t="str">
        <f t="shared" si="149"/>
        <v>#REF!</v>
      </c>
      <c r="R57" s="276">
        <f t="shared" si="150"/>
        <v>0</v>
      </c>
      <c r="S57" s="279" t="str">
        <f t="shared" si="151"/>
        <v>0</v>
      </c>
    </row>
    <row r="58" ht="14.25" customHeight="1">
      <c r="A58" s="274" t="str">
        <f t="shared" si="139"/>
        <v>#REF!</v>
      </c>
      <c r="B58" s="275" t="str">
        <f t="shared" si="140"/>
        <v>#REF!</v>
      </c>
      <c r="C58" s="276">
        <v>0.0</v>
      </c>
      <c r="D58" s="277" t="str">
        <f t="shared" si="141"/>
        <v>#REF!</v>
      </c>
      <c r="E58" s="278" t="str">
        <f t="shared" si="142"/>
        <v>#REF!</v>
      </c>
      <c r="F58" s="279" t="str">
        <f t="shared" si="143"/>
        <v>0</v>
      </c>
      <c r="G58" s="280" t="str">
        <f t="shared" si="144"/>
        <v>#REF!</v>
      </c>
      <c r="H58" s="287" t="str">
        <f t="shared" si="145"/>
        <v>0</v>
      </c>
      <c r="I58" s="288" t="str">
        <f t="array" ref="I58">XLOOKUP(A58,'DADOS DE VENDA'!M:M,'DADOS DE VENDA'!P:P,"SEM VENDA")</f>
        <v>#REF!</v>
      </c>
      <c r="J58" s="289" t="str">
        <f t="shared" si="146"/>
        <v>0</v>
      </c>
      <c r="K58" s="290" t="str">
        <f t="shared" si="147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48"/>
        <v>#REF!</v>
      </c>
      <c r="Q58" s="275" t="str">
        <f t="shared" si="149"/>
        <v>#REF!</v>
      </c>
      <c r="R58" s="276">
        <f t="shared" si="150"/>
        <v>0</v>
      </c>
      <c r="S58" s="279" t="str">
        <f t="shared" si="151"/>
        <v>0</v>
      </c>
    </row>
    <row r="59" ht="14.25" customHeight="1">
      <c r="A59" s="274" t="str">
        <f t="shared" si="139"/>
        <v>#REF!</v>
      </c>
      <c r="B59" s="275" t="str">
        <f t="shared" si="140"/>
        <v>#REF!</v>
      </c>
      <c r="C59" s="276">
        <v>0.0</v>
      </c>
      <c r="D59" s="277" t="str">
        <f t="shared" si="141"/>
        <v>#REF!</v>
      </c>
      <c r="E59" s="278" t="str">
        <f t="shared" si="142"/>
        <v>#REF!</v>
      </c>
      <c r="F59" s="279" t="str">
        <f t="shared" si="143"/>
        <v>0</v>
      </c>
      <c r="G59" s="280" t="str">
        <f t="shared" si="144"/>
        <v>#REF!</v>
      </c>
      <c r="H59" s="287" t="str">
        <f t="shared" si="145"/>
        <v>0</v>
      </c>
      <c r="I59" s="288" t="str">
        <f t="array" ref="I59">XLOOKUP(A59,'DADOS DE VENDA'!M:M,'DADOS DE VENDA'!P:P,"SEM VENDA")</f>
        <v>#REF!</v>
      </c>
      <c r="J59" s="289" t="str">
        <f t="shared" si="146"/>
        <v>0</v>
      </c>
      <c r="K59" s="290" t="str">
        <f t="shared" si="147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P59" s="274" t="str">
        <f t="shared" si="148"/>
        <v>#REF!</v>
      </c>
      <c r="Q59" s="275" t="str">
        <f t="shared" si="149"/>
        <v>#REF!</v>
      </c>
      <c r="R59" s="276">
        <f t="shared" si="150"/>
        <v>0</v>
      </c>
      <c r="S59" s="279" t="str">
        <f t="shared" si="151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SUM(H51,H52,H53,H54,H56,H57,H58)</f>
        <v>0</v>
      </c>
      <c r="H60" s="306"/>
      <c r="I60" s="288" t="str">
        <f t="array" ref="I60">XLOOKUP(A60,'DADOS DE VENDA'!M:M,'DADOS DE VENDA'!P:P,"SEM VENDA")</f>
        <v>SEM VENDA</v>
      </c>
      <c r="J60" s="309">
        <f>SUM(K51,K52,K53,K54,K56,K57,K58,K59)</f>
        <v>0</v>
      </c>
      <c r="K60" s="306"/>
      <c r="L60" s="310"/>
      <c r="M60" s="311"/>
      <c r="P60" s="312" t="s">
        <v>1156</v>
      </c>
      <c r="Q60" s="313"/>
      <c r="R60" s="314">
        <f>G60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9:H49"/>
    <mergeCell ref="D60:E60"/>
    <mergeCell ref="G60:H60"/>
    <mergeCell ref="J60:K60"/>
    <mergeCell ref="P60:Q60"/>
    <mergeCell ref="R60:S60"/>
    <mergeCell ref="P63:Q65"/>
    <mergeCell ref="R63:S65"/>
    <mergeCell ref="A48:C48"/>
    <mergeCell ref="I48:M48"/>
    <mergeCell ref="P48:Q48"/>
    <mergeCell ref="A49:B49"/>
    <mergeCell ref="I49:M49"/>
    <mergeCell ref="P49:Q49"/>
    <mergeCell ref="R49:S49"/>
  </mergeCells>
  <conditionalFormatting sqref="I4:I6 I8:I10 I12:I13 I15:I16 I18:I20 I22:I24 I26:I30">
    <cfRule type="containsText" dxfId="0" priority="1" operator="containsText" text="SEM VENDA">
      <formula>NOT(ISERROR(SEARCH(("SEM VENDA"),(I4))))</formula>
    </cfRule>
  </conditionalFormatting>
  <conditionalFormatting sqref="I34:I36 I38:I40 I42:I45">
    <cfRule type="containsText" dxfId="0" priority="2" operator="containsText" text="SEM VENDA">
      <formula>NOT(ISERROR(SEARCH(("SEM VENDA"),(I34))))</formula>
    </cfRule>
  </conditionalFormatting>
  <conditionalFormatting sqref="I51:I54 I56:I60">
    <cfRule type="containsText" dxfId="0" priority="3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4" operator="containsText" text="RUPTURA NO PERIODO">
      <formula>NOT(ISERROR(SEARCH(("RUPTURA NO PERIODO"),(L4))))</formula>
    </cfRule>
  </conditionalFormatting>
  <conditionalFormatting sqref="L34:L36 L38:L40 L42:L45">
    <cfRule type="containsText" dxfId="0" priority="5" operator="containsText" text="RUPTURA NO PERIODO">
      <formula>NOT(ISERROR(SEARCH(("RUPTURA NO PERIODO"),(L34))))</formula>
    </cfRule>
  </conditionalFormatting>
  <conditionalFormatting sqref="L51:L54">
    <cfRule type="containsText" dxfId="0" priority="6" operator="containsText" text="RUPTURA NO PERIODO">
      <formula>NOT(ISERROR(SEARCH(("RUPTURA NO PERIODO"),(L51))))</formula>
    </cfRule>
  </conditionalFormatting>
  <conditionalFormatting sqref="L56:L60">
    <cfRule type="containsText" dxfId="0" priority="7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7.0"/>
    <col customWidth="1" min="6" max="6" width="5.86"/>
    <col customWidth="1" min="7" max="7" width="11.29"/>
    <col customWidth="1" min="8" max="8" width="11.86"/>
    <col customWidth="1" min="9" max="9" width="14.14"/>
    <col customWidth="1" min="10" max="10" width="9.57"/>
    <col customWidth="1" min="11" max="11" width="15.57"/>
    <col customWidth="1" min="12" max="12" width="20.14"/>
    <col customWidth="1" min="13" max="16" width="8.71"/>
    <col customWidth="1" min="17" max="17" width="65.86"/>
    <col customWidth="1" min="18" max="18" width="8.14"/>
    <col customWidth="1" min="19" max="19" width="12.14"/>
    <col customWidth="1" min="20" max="26" width="8.71"/>
  </cols>
  <sheetData>
    <row r="1" ht="14.25" customHeight="1">
      <c r="A1" s="375" t="s">
        <v>1177</v>
      </c>
      <c r="B1" s="250"/>
      <c r="C1" s="251"/>
      <c r="D1" s="376"/>
      <c r="E1" s="376"/>
      <c r="F1" s="376"/>
      <c r="G1" s="376"/>
      <c r="H1" s="376"/>
      <c r="I1" s="377" t="s">
        <v>1148</v>
      </c>
      <c r="J1" s="250"/>
      <c r="K1" s="250"/>
      <c r="L1" s="250"/>
      <c r="M1" s="254"/>
      <c r="P1" s="255" t="s">
        <v>1178</v>
      </c>
      <c r="Q1" s="256"/>
      <c r="R1" s="257" t="s">
        <v>12</v>
      </c>
      <c r="S1" s="258">
        <v>46044.0</v>
      </c>
    </row>
    <row r="2" ht="14.25" customHeight="1">
      <c r="A2" s="346" t="s">
        <v>1175</v>
      </c>
      <c r="B2" s="260"/>
      <c r="C2" s="261" t="s">
        <v>1164</v>
      </c>
      <c r="D2" s="262" t="s">
        <v>1149</v>
      </c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>
        <v>7625.0</v>
      </c>
      <c r="B4" s="275" t="str">
        <f t="shared" ref="B4:B6" si="1">XLOOKUP(A4,'[1]ESCALA DE PRODUÇÃO'!$AL$1:$AL$1048566,'[1]ESCALA DE PRODUÇÃO'!$AJ$1:$AJ$1048566,"NÃO ENCOTRADO")</f>
        <v>#REF!</v>
      </c>
      <c r="C4" s="276">
        <v>14.0</v>
      </c>
      <c r="D4" s="277" t="str">
        <f t="shared" ref="D4:D6" si="2">XLOOKUP(A4,'[1]ESCALA DE PRODUÇÃO'!$AL$1:$AL$1048566,'[1]ESCALA DE PRODUÇÃO'!$AK$1:$AK$1048566,"0")</f>
        <v>#REF!</v>
      </c>
      <c r="E4" s="278" t="str">
        <f t="shared" ref="E4:E6" si="3">('[1]ESCALA DE PRODUÇÃO'!S3)</f>
        <v>#REF!</v>
      </c>
      <c r="F4" s="279" t="str">
        <f t="shared" ref="F4:F6" si="4">IFERROR(C4/E4,"0")</f>
        <v>0</v>
      </c>
      <c r="G4" s="280" t="str">
        <f t="shared" ref="G4:G6" si="5">XLOOKUP(A4,'[1]ESCALA DE PRODUÇÃO'!$AL$1:$AL$1048566,'[1]ESCALA DE PRODUÇÃO'!$AM$1:$AM$1048566,"SEM PREÇO")</f>
        <v>#REF!</v>
      </c>
      <c r="H4" s="281" t="str">
        <f t="shared" ref="H4:H6" si="6">IFERROR(C4*G4,"0")</f>
        <v>0</v>
      </c>
      <c r="I4" s="282">
        <f t="array" ref="I4">XLOOKUP(A4,'DADOS DE VENDA'!S:S,'DADOS DE VENDA'!V:V,"SEM VENDA")</f>
        <v>15</v>
      </c>
      <c r="J4" s="283" t="str">
        <f t="shared" ref="J4:J6" si="7">IFERROR(I4/E4,"0")</f>
        <v>0</v>
      </c>
      <c r="K4" s="284" t="str">
        <f t="shared" ref="K4:K6" si="8">IFERROR(I4*G4,"0")</f>
        <v>0</v>
      </c>
      <c r="L4" s="378" t="str">
        <f t="array" ref="L4">XLOOKUP(A4,'DADOS DE VENDA'!S:S,'DADOS DE VENDA'!W:W,"RUPTURA NO PERIODO")</f>
        <v>15/01 a16/01</v>
      </c>
      <c r="M4" s="286" t="str">
        <f t="array" ref="M4">IFS(C4&lt;I4,"ABAIXO",C4&gt;I4,"ACIMA",C4=I4,"OK")</f>
        <v>ABAIXO</v>
      </c>
      <c r="P4" s="274">
        <f t="shared" ref="P4:P6" si="9">A4</f>
        <v>7625</v>
      </c>
      <c r="Q4" s="275" t="str">
        <f t="shared" ref="Q4:Q6" si="10">XLOOKUP(P4,'[1]ESCALA DE PRODUÇÃO'!$AL$1:$AL$1048566,'[1]ESCALA DE PRODUÇÃO'!$AJ$1:$AJ$1048566,"NÃO ENCOTRADO")</f>
        <v>#REF!</v>
      </c>
      <c r="R4" s="276">
        <f t="shared" ref="R4:R6" si="11">C4</f>
        <v>14</v>
      </c>
      <c r="S4" s="279" t="str">
        <f t="shared" ref="S4:S6" si="12">(F4)</f>
        <v>0</v>
      </c>
    </row>
    <row r="5" ht="14.25" customHeight="1">
      <c r="A5" s="277">
        <v>7796.0</v>
      </c>
      <c r="B5" s="275" t="str">
        <f t="shared" si="1"/>
        <v>#REF!</v>
      </c>
      <c r="C5" s="276">
        <v>14.0</v>
      </c>
      <c r="D5" s="277" t="str">
        <f t="shared" si="2"/>
        <v>#REF!</v>
      </c>
      <c r="E5" s="278" t="str">
        <f t="shared" si="3"/>
        <v>#REF!</v>
      </c>
      <c r="F5" s="279" t="str">
        <f t="shared" si="4"/>
        <v>0</v>
      </c>
      <c r="G5" s="280" t="str">
        <f t="shared" si="5"/>
        <v>#REF!</v>
      </c>
      <c r="H5" s="287" t="str">
        <f t="shared" si="6"/>
        <v>0</v>
      </c>
      <c r="I5" s="282">
        <f t="array" ref="I5">XLOOKUP(A5,'DADOS DE VENDA'!S:S,'DADOS DE VENDA'!V:V,"SEM VENDA")</f>
        <v>15</v>
      </c>
      <c r="J5" s="289" t="str">
        <f t="shared" si="7"/>
        <v>0</v>
      </c>
      <c r="K5" s="290" t="str">
        <f t="shared" si="8"/>
        <v>0</v>
      </c>
      <c r="L5" s="378" t="str">
        <f t="array" ref="L5">XLOOKUP(A5,'DADOS DE VENDA'!S:S,'DADOS DE VENDA'!W:W,"RUPTURA NO PERIODO")</f>
        <v>15/01 a16/01</v>
      </c>
      <c r="M5" s="286" t="str">
        <f t="array" ref="M5">IFS(C5&lt;I5,"ABAIXO",C5&gt;I5,"ACIMA",C5=I5,"OK")</f>
        <v>ABAIXO</v>
      </c>
      <c r="P5" s="274">
        <f t="shared" si="9"/>
        <v>7796</v>
      </c>
      <c r="Q5" s="275" t="str">
        <f t="shared" si="10"/>
        <v>#REF!</v>
      </c>
      <c r="R5" s="276">
        <f t="shared" si="11"/>
        <v>14</v>
      </c>
      <c r="S5" s="279" t="str">
        <f t="shared" si="12"/>
        <v>0</v>
      </c>
    </row>
    <row r="6" ht="14.25" customHeight="1">
      <c r="A6" s="277" t="str">
        <f>('[1]ESCALA DE PRODUÇÃO'!Q5)</f>
        <v>#REF!</v>
      </c>
      <c r="B6" s="275" t="str">
        <f t="shared" si="1"/>
        <v>#REF!</v>
      </c>
      <c r="C6" s="276">
        <v>0.0</v>
      </c>
      <c r="D6" s="277" t="str">
        <f t="shared" si="2"/>
        <v>#REF!</v>
      </c>
      <c r="E6" s="278" t="str">
        <f t="shared" si="3"/>
        <v>#REF!</v>
      </c>
      <c r="F6" s="279" t="str">
        <f t="shared" si="4"/>
        <v>0</v>
      </c>
      <c r="G6" s="280" t="str">
        <f t="shared" si="5"/>
        <v>#REF!</v>
      </c>
      <c r="H6" s="287" t="str">
        <f t="shared" si="6"/>
        <v>0</v>
      </c>
      <c r="I6" s="282" t="str">
        <f t="array" ref="I6">XLOOKUP(A6,'DADOS DE VENDA'!S:S,'DADOS DE VENDA'!V:V,"SEM VENDA")</f>
        <v>#REF!</v>
      </c>
      <c r="J6" s="289" t="str">
        <f t="shared" si="7"/>
        <v>0</v>
      </c>
      <c r="K6" s="290" t="str">
        <f t="shared" si="8"/>
        <v>0</v>
      </c>
      <c r="L6" s="285" t="str">
        <f t="array" ref="L6">XLOOKUP(A6,'DADOS DE VENDA'!S:S,'DADOS DE VENDA'!W:W,"RUPTURA NO PERIODO")</f>
        <v>#REF!</v>
      </c>
      <c r="M6" s="286" t="str">
        <f t="array" ref="M6">IFS(C6&lt;I6,"ABAIXO",C6&gt;I6,"ACIMA",C6=I6,"OK")</f>
        <v>#REF!</v>
      </c>
      <c r="P6" s="274" t="str">
        <f t="shared" si="9"/>
        <v>#REF!</v>
      </c>
      <c r="Q6" s="275" t="str">
        <f t="shared" si="10"/>
        <v>#REF!</v>
      </c>
      <c r="R6" s="276">
        <f t="shared" si="11"/>
        <v>0</v>
      </c>
      <c r="S6" s="279" t="str">
        <f t="shared" si="12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3">('[1]ESCALA DE PRODUÇÃO'!Q7)</f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2.5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PRODUÇÃO'!S7)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VENDA'!S:S,'DADOS DE VENDA'!V:V,"SEM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85" t="str">
        <f t="array" ref="L8">XLOOKUP(A8,'DADOS DE VENDA'!S:S,'DADOS DE VENDA'!W:W,"RUPTURA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A8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2.5</v>
      </c>
      <c r="S8" s="279" t="str">
        <f t="shared" ref="S8:S10" si="25">(F8)</f>
        <v>0</v>
      </c>
    </row>
    <row r="9" ht="14.25" customHeight="1">
      <c r="A9" s="277" t="str">
        <f t="shared" si="13"/>
        <v>#REF!</v>
      </c>
      <c r="B9" s="275" t="str">
        <f t="shared" si="14"/>
        <v>#REF!</v>
      </c>
      <c r="C9" s="276">
        <v>4.0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VENDA'!S:S,'DADOS DE VENDA'!V:V,"SEM VENDA")</f>
        <v>#REF!</v>
      </c>
      <c r="J9" s="289" t="str">
        <f t="shared" si="20"/>
        <v>0</v>
      </c>
      <c r="K9" s="290" t="str">
        <f t="shared" si="21"/>
        <v>0</v>
      </c>
      <c r="L9" s="285" t="str">
        <f t="array" ref="L9">XLOOKUP(A9,'DADOS DE VENDA'!S:S,'DADOS DE VENDA'!W:W,"RUPTURA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4</v>
      </c>
      <c r="S9" s="279" t="str">
        <f t="shared" si="25"/>
        <v>0</v>
      </c>
    </row>
    <row r="10" ht="14.25" customHeight="1">
      <c r="A10" s="277" t="str">
        <f t="shared" si="13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VENDA'!S:S,'DADOS DE VENDA'!V:V,"SEM VENDA")</f>
        <v>#REF!</v>
      </c>
      <c r="J10" s="289" t="str">
        <f t="shared" si="20"/>
        <v>0</v>
      </c>
      <c r="K10" s="290" t="str">
        <f t="shared" si="21"/>
        <v>0</v>
      </c>
      <c r="L10" s="285" t="str">
        <f t="array" ref="L10">XLOOKUP(A10,'DADOS DE VENDA'!S:S,'DADOS DE VENDA'!W:W,"RUPTURA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6">('[1]ESCALA DE PRODUÇÃO'!Q11)</f>
        <v>#REF!</v>
      </c>
      <c r="B12" s="275" t="str">
        <f t="shared" ref="B12:B13" si="27">XLOOKUP(A12,'[1]ESCALA DE PRODUÇÃO'!$AL$1:$AL$1048566,'[1]ESCALA DE PRODUÇÃO'!$AJ$1:$AJ$1048566,"NÃO ENCOTRADO")</f>
        <v>#REF!</v>
      </c>
      <c r="C12" s="276">
        <v>1.5</v>
      </c>
      <c r="D12" s="277" t="str">
        <f t="shared" ref="D12:D13" si="28">XLOOKUP(A12,'[1]ESCALA DE PRODUÇÃO'!$AL$1:$AL$1048566,'[1]ESCALA DE PRODUÇÃO'!$AK$1:$AK$1048566,"0")</f>
        <v>#REF!</v>
      </c>
      <c r="E12" s="278" t="str">
        <f t="shared" ref="E12:E13" si="29">('[1]ESCALA DE PRODUÇÃO'!S11)</f>
        <v>#REF!</v>
      </c>
      <c r="F12" s="279" t="str">
        <f t="shared" ref="F12:F13" si="30">IFERROR(C12/E12,"0")</f>
        <v>0</v>
      </c>
      <c r="G12" s="280" t="str">
        <f t="shared" ref="G12:G13" si="31">XLOOKUP(A12,'[1]ESCALA DE PRODUÇÃO'!$AL$1:$AL$1048566,'[1]ESCALA DE PRODUÇÃO'!$AM$1:$AM$1048566,"SEM PREÇO")</f>
        <v>#REF!</v>
      </c>
      <c r="H12" s="287" t="str">
        <f t="shared" ref="H12:H13" si="32">IFERROR(C12*G12,"0")</f>
        <v>0</v>
      </c>
      <c r="I12" s="282" t="str">
        <f t="array" ref="I12">XLOOKUP(A12,'DADOS DE VENDA'!S:S,'DADOS DE VENDA'!V:V,"SEM VENDA")</f>
        <v>#REF!</v>
      </c>
      <c r="J12" s="289" t="str">
        <f t="shared" ref="J12:J13" si="33">IFERROR(I12/E12,"0")</f>
        <v>0</v>
      </c>
      <c r="K12" s="290" t="str">
        <f t="shared" ref="K12:K13" si="34">IFERROR(I12*G12,"0")</f>
        <v>0</v>
      </c>
      <c r="L12" s="285" t="str">
        <f t="array" ref="L12">XLOOKUP(A12,'DADOS DE VENDA'!S:S,'DADOS DE VENDA'!W:W,"RUPTURA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5">A12</f>
        <v>#REF!</v>
      </c>
      <c r="Q12" s="275" t="str">
        <f t="shared" ref="Q12:Q13" si="36">XLOOKUP(P12,'[1]ESCALA DE PRODUÇÃO'!$AL$1:$AL$1048566,'[1]ESCALA DE PRODUÇÃO'!$AJ$1:$AJ$1048566,"NÃO ENCOTRADO")</f>
        <v>#REF!</v>
      </c>
      <c r="R12" s="276">
        <f t="shared" ref="R12:R13" si="37">C12</f>
        <v>1.5</v>
      </c>
      <c r="S12" s="279" t="str">
        <f t="shared" ref="S12:S13" si="38">(F12)</f>
        <v>0</v>
      </c>
    </row>
    <row r="13" ht="14.25" customHeight="1">
      <c r="A13" s="277" t="str">
        <f t="shared" si="26"/>
        <v>#REF!</v>
      </c>
      <c r="B13" s="275" t="str">
        <f t="shared" si="27"/>
        <v>#REF!</v>
      </c>
      <c r="C13" s="276">
        <v>0.0</v>
      </c>
      <c r="D13" s="277" t="str">
        <f t="shared" si="28"/>
        <v>#REF!</v>
      </c>
      <c r="E13" s="278" t="str">
        <f t="shared" si="29"/>
        <v>#REF!</v>
      </c>
      <c r="F13" s="279" t="str">
        <f t="shared" si="30"/>
        <v>0</v>
      </c>
      <c r="G13" s="280" t="str">
        <f t="shared" si="31"/>
        <v>#REF!</v>
      </c>
      <c r="H13" s="287" t="str">
        <f t="shared" si="32"/>
        <v>0</v>
      </c>
      <c r="I13" s="282" t="str">
        <f t="array" ref="I13">XLOOKUP(A13,'DADOS DE VENDA'!S:S,'DADOS DE VENDA'!V:V,"SEM VENDA")</f>
        <v>#REF!</v>
      </c>
      <c r="J13" s="289" t="str">
        <f t="shared" si="33"/>
        <v>0</v>
      </c>
      <c r="K13" s="290" t="str">
        <f t="shared" si="34"/>
        <v>0</v>
      </c>
      <c r="L13" s="285" t="str">
        <f t="array" ref="L13">XLOOKUP(A13,'DADOS DE VENDA'!S:S,'DADOS DE VENDA'!W:W,"RUPTURA NO PERIODO")</f>
        <v>#REF!</v>
      </c>
      <c r="M13" s="286" t="str">
        <f t="array" ref="M13">IFS(C13&lt;I13,"ABAIXO",C13&gt;I13,"ACIMA",C13=I13,"OK")</f>
        <v>#REF!</v>
      </c>
      <c r="P13" s="274" t="str">
        <f t="shared" si="35"/>
        <v>#REF!</v>
      </c>
      <c r="Q13" s="275" t="str">
        <f t="shared" si="36"/>
        <v>#REF!</v>
      </c>
      <c r="R13" s="276">
        <f t="shared" si="37"/>
        <v>0</v>
      </c>
      <c r="S13" s="279" t="str">
        <f t="shared" si="38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39">('[1]ESCALA DE PRODUÇÃO'!Q14)</f>
        <v>#REF!</v>
      </c>
      <c r="B15" s="275" t="str">
        <f t="shared" ref="B15:B16" si="40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1">XLOOKUP(A15,'[1]ESCALA DE PRODUÇÃO'!$AL$1:$AL$1048566,'[1]ESCALA DE PRODUÇÃO'!$AK$1:$AK$1048566,"0")</f>
        <v>#REF!</v>
      </c>
      <c r="E15" s="278" t="str">
        <f t="shared" ref="E15:E16" si="42">('[1]ESCALA DE PRODUÇÃO'!S14)</f>
        <v>#REF!</v>
      </c>
      <c r="F15" s="279" t="str">
        <f t="shared" ref="F15:F16" si="43">IFERROR(C15/E15,"0")</f>
        <v>0</v>
      </c>
      <c r="G15" s="280" t="str">
        <f t="shared" ref="G15:G16" si="44">XLOOKUP(A15,'[1]ESCALA DE PRODUÇÃO'!$AL$1:$AL$1048566,'[1]ESCALA DE PRODUÇÃO'!$AM$1:$AM$1048566,"SEM PREÇO")</f>
        <v>#REF!</v>
      </c>
      <c r="H15" s="287" t="str">
        <f t="shared" ref="H15:H16" si="45">IFERROR(C15*G15,"0")</f>
        <v>0</v>
      </c>
      <c r="I15" s="282" t="str">
        <f t="array" ref="I15">XLOOKUP(A15,'DADOS DE VENDA'!S:S,'DADOS DE VENDA'!V:V,"SEM VENDA")</f>
        <v>#REF!</v>
      </c>
      <c r="J15" s="289" t="str">
        <f t="shared" ref="J15:J16" si="46">IFERROR(I15/E15,"0")</f>
        <v>0</v>
      </c>
      <c r="K15" s="290" t="str">
        <f t="shared" ref="K15:K16" si="47">IFERROR(I15*G15,"0")</f>
        <v>0</v>
      </c>
      <c r="L15" s="285" t="str">
        <f t="array" ref="L15">XLOOKUP(A15,'DADOS DE VENDA'!S:S,'DADOS DE VENDA'!W:W,"RUPTURA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8">A15</f>
        <v>#REF!</v>
      </c>
      <c r="Q15" s="275" t="str">
        <f t="shared" ref="Q15:Q16" si="49">XLOOKUP(P15,'[1]ESCALA DE PRODUÇÃO'!$AL$1:$AL$1048566,'[1]ESCALA DE PRODUÇÃO'!$AJ$1:$AJ$1048566,"NÃO ENCOTRADO")</f>
        <v>#REF!</v>
      </c>
      <c r="R15" s="276">
        <f t="shared" ref="R15:R16" si="50">C15</f>
        <v>1</v>
      </c>
      <c r="S15" s="279" t="str">
        <f t="shared" ref="S15:S16" si="51">(F15)</f>
        <v>0</v>
      </c>
    </row>
    <row r="16" ht="14.25" customHeight="1">
      <c r="A16" s="277" t="str">
        <f t="shared" si="39"/>
        <v>#REF!</v>
      </c>
      <c r="B16" s="275" t="str">
        <f t="shared" si="40"/>
        <v>#REF!</v>
      </c>
      <c r="C16" s="276">
        <v>0.0</v>
      </c>
      <c r="D16" s="277" t="str">
        <f t="shared" si="41"/>
        <v>#REF!</v>
      </c>
      <c r="E16" s="278" t="str">
        <f t="shared" si="42"/>
        <v>#REF!</v>
      </c>
      <c r="F16" s="279" t="str">
        <f t="shared" si="43"/>
        <v>0</v>
      </c>
      <c r="G16" s="280" t="str">
        <f t="shared" si="44"/>
        <v>#REF!</v>
      </c>
      <c r="H16" s="287" t="str">
        <f t="shared" si="45"/>
        <v>0</v>
      </c>
      <c r="I16" s="282" t="str">
        <f t="array" ref="I16">XLOOKUP(A16,'DADOS DE VENDA'!S:S,'DADOS DE VENDA'!V:V,"SEM VENDA")</f>
        <v>#REF!</v>
      </c>
      <c r="J16" s="289" t="str">
        <f t="shared" si="46"/>
        <v>0</v>
      </c>
      <c r="K16" s="290" t="str">
        <f t="shared" si="47"/>
        <v>0</v>
      </c>
      <c r="L16" s="285" t="str">
        <f t="array" ref="L16">XLOOKUP(A16,'DADOS DE VENDA'!S:S,'DADOS DE VENDA'!W:W,"RUPTURA NO PERIODO")</f>
        <v>#REF!</v>
      </c>
      <c r="M16" s="286" t="str">
        <f t="array" ref="M16">IFS(C16&lt;I16,"ABAIXO",C16&gt;I16,"ACIMA",C16=I16,"OK")</f>
        <v>#REF!</v>
      </c>
      <c r="P16" s="274" t="str">
        <f t="shared" si="48"/>
        <v>#REF!</v>
      </c>
      <c r="Q16" s="275" t="str">
        <f t="shared" si="49"/>
        <v>#REF!</v>
      </c>
      <c r="R16" s="276">
        <f t="shared" si="50"/>
        <v>0</v>
      </c>
      <c r="S16" s="279" t="str">
        <f t="shared" si="51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2">('[1]ESCALA DE PRODUÇÃO'!Q17)</f>
        <v>#REF!</v>
      </c>
      <c r="B18" s="275" t="str">
        <f t="shared" ref="B18:B20" si="53">XLOOKUP(A18,'[1]ESCALA DE PRODUÇÃO'!$AL$1:$AL$1048566,'[1]ESCALA DE PRODUÇÃO'!$AJ$1:$AJ$1048566,"NÃO ENCOTRADO")</f>
        <v>#REF!</v>
      </c>
      <c r="C18" s="276">
        <v>1.5</v>
      </c>
      <c r="D18" s="277" t="str">
        <f t="shared" ref="D18:D20" si="54">XLOOKUP(A18,'[1]ESCALA DE PRODUÇÃO'!$AL$1:$AL$1048566,'[1]ESCALA DE PRODUÇÃO'!$AK$1:$AK$1048566,"0")</f>
        <v>#REF!</v>
      </c>
      <c r="E18" s="278" t="str">
        <f t="shared" ref="E18:E20" si="55">('[1]ESCALA DE PRODUÇÃO'!S17)</f>
        <v>#REF!</v>
      </c>
      <c r="F18" s="279" t="str">
        <f t="shared" ref="F18:F20" si="56">IFERROR(C18/E18,"0")</f>
        <v>0</v>
      </c>
      <c r="G18" s="280" t="str">
        <f t="shared" ref="G18:G20" si="57">XLOOKUP(A18,'[1]ESCALA DE PRODUÇÃO'!$AL$1:$AL$1048566,'[1]ESCALA DE PRODUÇÃO'!$AM$1:$AM$1048566,"SEM PREÇO")</f>
        <v>#REF!</v>
      </c>
      <c r="H18" s="287" t="str">
        <f t="shared" ref="H18:H20" si="58">IFERROR(C18*G18,"0")</f>
        <v>0</v>
      </c>
      <c r="I18" s="282" t="str">
        <f t="array" ref="I18">XLOOKUP(A18,'DADOS DE VENDA'!S:S,'DADOS DE VENDA'!V:V,"SEM VENDA")</f>
        <v>#REF!</v>
      </c>
      <c r="J18" s="289" t="str">
        <f t="shared" ref="J18:J20" si="59">IFERROR(I18/E18,"0")</f>
        <v>0</v>
      </c>
      <c r="K18" s="290" t="str">
        <f t="shared" ref="K18:K20" si="60">IFERROR(I18*G18,"0")</f>
        <v>0</v>
      </c>
      <c r="L18" s="285" t="str">
        <f t="array" ref="L18">XLOOKUP(A18,'DADOS DE VENDA'!S:S,'DADOS DE VENDA'!W:W,"RUPTURA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1">A18</f>
        <v>#REF!</v>
      </c>
      <c r="Q18" s="275" t="str">
        <f t="shared" ref="Q18:Q20" si="62">XLOOKUP(P18,'[1]ESCALA DE PRODUÇÃO'!$AL$1:$AL$1048566,'[1]ESCALA DE PRODUÇÃO'!$AJ$1:$AJ$1048566,"NÃO ENCOTRADO")</f>
        <v>#REF!</v>
      </c>
      <c r="R18" s="276">
        <f t="shared" ref="R18:R20" si="63">C18</f>
        <v>1.5</v>
      </c>
      <c r="S18" s="279" t="str">
        <f t="shared" ref="S18:S20" si="64">(F18)</f>
        <v>0</v>
      </c>
    </row>
    <row r="19" ht="14.25" customHeight="1">
      <c r="A19" s="277" t="str">
        <f t="shared" si="52"/>
        <v>#REF!</v>
      </c>
      <c r="B19" s="275" t="str">
        <f t="shared" si="53"/>
        <v>#REF!</v>
      </c>
      <c r="C19" s="276">
        <v>2.0</v>
      </c>
      <c r="D19" s="277" t="str">
        <f t="shared" si="54"/>
        <v>#REF!</v>
      </c>
      <c r="E19" s="278" t="str">
        <f t="shared" si="55"/>
        <v>#REF!</v>
      </c>
      <c r="F19" s="279" t="str">
        <f t="shared" si="56"/>
        <v>0</v>
      </c>
      <c r="G19" s="280" t="str">
        <f t="shared" si="57"/>
        <v>#REF!</v>
      </c>
      <c r="H19" s="287" t="str">
        <f t="shared" si="58"/>
        <v>0</v>
      </c>
      <c r="I19" s="282" t="str">
        <f t="array" ref="I19">XLOOKUP(A19,'DADOS DE VENDA'!S:S,'DADOS DE VENDA'!V:V,"SEM VENDA")</f>
        <v>#REF!</v>
      </c>
      <c r="J19" s="289" t="str">
        <f t="shared" si="59"/>
        <v>0</v>
      </c>
      <c r="K19" s="290" t="str">
        <f t="shared" si="60"/>
        <v>0</v>
      </c>
      <c r="L19" s="285" t="str">
        <f t="array" ref="L19">XLOOKUP(A19,'DADOS DE VENDA'!S:S,'DADOS DE VENDA'!W:W,"RUPTURA NO PERIODO")</f>
        <v>#REF!</v>
      </c>
      <c r="M19" s="286" t="str">
        <f t="array" ref="M19">IFS(C19&lt;I19,"ABAIXO",C19&gt;I19,"ACIMA",C19=I19,"OK")</f>
        <v>#REF!</v>
      </c>
      <c r="P19" s="274" t="str">
        <f t="shared" si="61"/>
        <v>#REF!</v>
      </c>
      <c r="Q19" s="275" t="str">
        <f t="shared" si="62"/>
        <v>#REF!</v>
      </c>
      <c r="R19" s="276">
        <f t="shared" si="63"/>
        <v>2</v>
      </c>
      <c r="S19" s="279" t="str">
        <f t="shared" si="64"/>
        <v>0</v>
      </c>
    </row>
    <row r="20" ht="14.25" customHeight="1">
      <c r="A20" s="277" t="str">
        <f t="shared" si="52"/>
        <v>#REF!</v>
      </c>
      <c r="B20" s="275" t="str">
        <f t="shared" si="53"/>
        <v>#REF!</v>
      </c>
      <c r="C20" s="276">
        <v>1.0</v>
      </c>
      <c r="D20" s="277" t="str">
        <f t="shared" si="54"/>
        <v>#REF!</v>
      </c>
      <c r="E20" s="278" t="str">
        <f t="shared" si="55"/>
        <v>#REF!</v>
      </c>
      <c r="F20" s="279" t="str">
        <f t="shared" si="56"/>
        <v>0</v>
      </c>
      <c r="G20" s="280" t="str">
        <f t="shared" si="57"/>
        <v>#REF!</v>
      </c>
      <c r="H20" s="287" t="str">
        <f t="shared" si="58"/>
        <v>0</v>
      </c>
      <c r="I20" s="282" t="str">
        <f t="array" ref="I20">XLOOKUP(A20,'DADOS DE VENDA'!S:S,'DADOS DE VENDA'!V:V,"SEM VENDA")</f>
        <v>#REF!</v>
      </c>
      <c r="J20" s="289" t="str">
        <f t="shared" si="59"/>
        <v>0</v>
      </c>
      <c r="K20" s="290" t="str">
        <f t="shared" si="60"/>
        <v>0</v>
      </c>
      <c r="L20" s="285" t="str">
        <f t="array" ref="L20">XLOOKUP(A20,'DADOS DE VENDA'!S:S,'DADOS DE VENDA'!W:W,"RUPTURA NO PERIODO")</f>
        <v>#REF!</v>
      </c>
      <c r="M20" s="286" t="str">
        <f t="array" ref="M20">IFS(C20&lt;I20,"ABAIXO",C20&gt;I20,"ACIMA",C20=I20,"OK")</f>
        <v>#REF!</v>
      </c>
      <c r="P20" s="274" t="str">
        <f t="shared" si="61"/>
        <v>#REF!</v>
      </c>
      <c r="Q20" s="275" t="str">
        <f t="shared" si="62"/>
        <v>#REF!</v>
      </c>
      <c r="R20" s="276">
        <f t="shared" si="63"/>
        <v>1</v>
      </c>
      <c r="S20" s="279" t="str">
        <f t="shared" si="64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>('[1]ESCALA DE PRODUÇÃO'!Q21)</f>
        <v>#REF!</v>
      </c>
      <c r="B22" s="275" t="str">
        <f t="shared" ref="B22:B24" si="65">XLOOKUP(A22,'[1]ESCALA DE PRODUÇÃO'!$AL$1:$AL$1048566,'[1]ESCALA DE PRODUÇÃO'!$AJ$1:$AJ$1048566,"NÃO ENCOTRADO")</f>
        <v>#REF!</v>
      </c>
      <c r="C22" s="276">
        <v>2.5</v>
      </c>
      <c r="D22" s="277" t="str">
        <f t="shared" ref="D22:D24" si="66">XLOOKUP(A22,'[1]ESCALA DE PRODUÇÃO'!$AL$1:$AL$1048566,'[1]ESCALA DE PRODUÇÃO'!$AK$1:$AK$1048566,"0")</f>
        <v>#REF!</v>
      </c>
      <c r="E22" s="278" t="str">
        <f>('[1]ESCALA DE PRODUÇÃO'!S21)</f>
        <v>#REF!</v>
      </c>
      <c r="F22" s="279" t="str">
        <f t="shared" ref="F22:F24" si="67">IFERROR(C22/E22,"0")</f>
        <v>0</v>
      </c>
      <c r="G22" s="280" t="str">
        <f t="shared" ref="G22:G24" si="68">XLOOKUP(A22,'[1]ESCALA DE PRODUÇÃO'!$AL$1:$AL$1048566,'[1]ESCALA DE PRODUÇÃO'!$AM$1:$AM$1048566,"SEM PREÇO")</f>
        <v>#REF!</v>
      </c>
      <c r="H22" s="287" t="str">
        <f t="shared" ref="H22:H24" si="69">IFERROR(C22*G22,"0")</f>
        <v>0</v>
      </c>
      <c r="I22" s="282" t="str">
        <f t="array" ref="I22">XLOOKUP(A22,'DADOS DE VENDA'!S:S,'DADOS DE VENDA'!V:V,"SEM VENDA")</f>
        <v>#REF!</v>
      </c>
      <c r="J22" s="289" t="str">
        <f t="shared" ref="J22:J24" si="70">IFERROR(I22/E22,"0")</f>
        <v>0</v>
      </c>
      <c r="K22" s="290" t="str">
        <f t="shared" ref="K22:K24" si="71">IFERROR(I22*G22,"0")</f>
        <v>0</v>
      </c>
      <c r="L22" s="285" t="str">
        <f t="array" ref="L22">XLOOKUP(A22,'DADOS DE VENDA'!S:S,'DADOS DE VENDA'!W:W,"RUPTURA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2">A22</f>
        <v>#REF!</v>
      </c>
      <c r="Q22" s="275" t="str">
        <f t="shared" ref="Q22:Q24" si="73">XLOOKUP(P22,'[1]ESCALA DE PRODUÇÃO'!$AL$1:$AL$1048566,'[1]ESCALA DE PRODUÇÃO'!$AJ$1:$AJ$1048566,"NÃO ENCOTRADO")</f>
        <v>#REF!</v>
      </c>
      <c r="R22" s="276">
        <f t="shared" ref="R22:R24" si="74">C22</f>
        <v>2.5</v>
      </c>
      <c r="S22" s="279" t="str">
        <f t="shared" ref="S22:S24" si="75">(F22)</f>
        <v>0</v>
      </c>
    </row>
    <row r="23" ht="14.25" customHeight="1">
      <c r="A23" s="277" t="str">
        <f t="shared" ref="A23:A24" si="76">('[1]ESCALA DE PRODUÇÃO'!Q23)</f>
        <v>#REF!</v>
      </c>
      <c r="B23" s="275" t="str">
        <f t="shared" si="65"/>
        <v>#REF!</v>
      </c>
      <c r="C23" s="276">
        <v>3.0</v>
      </c>
      <c r="D23" s="277" t="str">
        <f t="shared" si="66"/>
        <v>#REF!</v>
      </c>
      <c r="E23" s="278" t="str">
        <f t="shared" ref="E23:E24" si="77">('[1]ESCALA DE PRODUÇÃO'!S23)</f>
        <v>#REF!</v>
      </c>
      <c r="F23" s="279" t="str">
        <f t="shared" si="67"/>
        <v>0</v>
      </c>
      <c r="G23" s="280" t="str">
        <f t="shared" si="68"/>
        <v>#REF!</v>
      </c>
      <c r="H23" s="287" t="str">
        <f t="shared" si="69"/>
        <v>0</v>
      </c>
      <c r="I23" s="282" t="str">
        <f t="array" ref="I23">XLOOKUP(A23,'DADOS DE VENDA'!S:S,'DADOS DE VENDA'!V:V,"SEM VENDA")</f>
        <v>#REF!</v>
      </c>
      <c r="J23" s="289" t="str">
        <f t="shared" si="70"/>
        <v>0</v>
      </c>
      <c r="K23" s="290" t="str">
        <f t="shared" si="71"/>
        <v>0</v>
      </c>
      <c r="L23" s="285" t="str">
        <f t="array" ref="L23">XLOOKUP(A23,'DADOS DE VENDA'!S:S,'DADOS DE VENDA'!W:W,"RUPTURA NO PERIODO")</f>
        <v>#REF!</v>
      </c>
      <c r="M23" s="286" t="str">
        <f t="array" ref="M23">IFS(C23&lt;I23,"ABAIXO",C23&gt;I23,"ACIMA",C23=I23,"OK")</f>
        <v>#REF!</v>
      </c>
      <c r="P23" s="274" t="str">
        <f t="shared" si="72"/>
        <v>#REF!</v>
      </c>
      <c r="Q23" s="275" t="str">
        <f t="shared" si="73"/>
        <v>#REF!</v>
      </c>
      <c r="R23" s="276">
        <f t="shared" si="74"/>
        <v>3</v>
      </c>
      <c r="S23" s="279" t="str">
        <f t="shared" si="75"/>
        <v>0</v>
      </c>
    </row>
    <row r="24" ht="14.25" customHeight="1">
      <c r="A24" s="277" t="str">
        <f t="shared" si="76"/>
        <v>#REF!</v>
      </c>
      <c r="B24" s="275" t="str">
        <f t="shared" si="65"/>
        <v>#REF!</v>
      </c>
      <c r="C24" s="276">
        <v>0.0</v>
      </c>
      <c r="D24" s="277" t="str">
        <f t="shared" si="66"/>
        <v>#REF!</v>
      </c>
      <c r="E24" s="278" t="str">
        <f t="shared" si="77"/>
        <v>#REF!</v>
      </c>
      <c r="F24" s="279" t="str">
        <f t="shared" si="67"/>
        <v>0</v>
      </c>
      <c r="G24" s="280" t="str">
        <f t="shared" si="68"/>
        <v>#REF!</v>
      </c>
      <c r="H24" s="287" t="str">
        <f t="shared" si="69"/>
        <v>0</v>
      </c>
      <c r="I24" s="282" t="str">
        <f t="array" ref="I24">XLOOKUP(A24,'DADOS DE VENDA'!S:S,'DADOS DE VENDA'!V:V,"SEM VENDA")</f>
        <v>#REF!</v>
      </c>
      <c r="J24" s="289" t="str">
        <f t="shared" si="70"/>
        <v>0</v>
      </c>
      <c r="K24" s="290" t="str">
        <f t="shared" si="71"/>
        <v>0</v>
      </c>
      <c r="L24" s="285" t="str">
        <f t="array" ref="L24">XLOOKUP(A24,'DADOS DE VENDA'!S:S,'DADOS DE VENDA'!W:W,"RUPTURA NO PERIODO")</f>
        <v>#REF!</v>
      </c>
      <c r="M24" s="286" t="str">
        <f t="array" ref="M24">IFS(C24&lt;I24,"ABAIXO",C24&gt;I24,"ACIMA",C24=I24,"OK")</f>
        <v>#REF!</v>
      </c>
      <c r="P24" s="274" t="str">
        <f t="shared" si="72"/>
        <v>#REF!</v>
      </c>
      <c r="Q24" s="275" t="str">
        <f t="shared" si="73"/>
        <v>#REF!</v>
      </c>
      <c r="R24" s="276">
        <f t="shared" si="74"/>
        <v>0</v>
      </c>
      <c r="S24" s="279" t="str">
        <f t="shared" si="75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8">'[1]ESCALA DE PRODUÇÃO'!$Q$25</f>
        <v>#REF!</v>
      </c>
      <c r="B26" s="275" t="str">
        <f t="shared" ref="B26:B27" si="79">XLOOKUP(A26,'[1]ESCALA DE PRODUÇÃO'!$AL$1:$AL$1048566,'[1]ESCALA DE PRODUÇÃO'!$AJ$1:$AJ$1048566,"NÃO ENCOTRADO")</f>
        <v>#REF!</v>
      </c>
      <c r="C26" s="276">
        <v>5.0</v>
      </c>
      <c r="D26" s="277" t="str">
        <f t="shared" ref="D26:D27" si="80">XLOOKUP(A26,'[1]ESCALA DE PRODUÇÃO'!$AL$1:$AL$1048566,'[1]ESCALA DE PRODUÇÃO'!$AK$1:$AK$1048566,"0")</f>
        <v>#REF!</v>
      </c>
      <c r="E26" s="278" t="str">
        <f t="shared" ref="E26:E27" si="81">('[1]ESCALA DE PRODUÇÃO'!S26)</f>
        <v>#REF!</v>
      </c>
      <c r="F26" s="279" t="str">
        <f t="shared" ref="F26:F27" si="82">IFERROR(C26/E26,"0")</f>
        <v>0</v>
      </c>
      <c r="G26" s="280" t="str">
        <f t="shared" ref="G26:G27" si="83">XLOOKUP(A26,'[1]ESCALA DE PRODUÇÃO'!$AL$1:$AL$1048566,'[1]ESCALA DE PRODUÇÃO'!$AM$1:$AM$1048566,"SEM PREÇO")</f>
        <v>#REF!</v>
      </c>
      <c r="H26" s="287" t="str">
        <f t="shared" ref="H26:H27" si="84">IFERROR(C26*G26,"0")</f>
        <v>0</v>
      </c>
      <c r="I26" s="282" t="str">
        <f t="array" ref="I26">XLOOKUP(A26,'DADOS DE VENDA'!S:S,'DADOS DE VENDA'!V:V,"SEM VENDA")</f>
        <v>#REF!</v>
      </c>
      <c r="J26" s="289" t="str">
        <f t="shared" ref="J26:J27" si="85">IFERROR(I26/E26,"0")</f>
        <v>0</v>
      </c>
      <c r="K26" s="290" t="str">
        <f t="shared" ref="K26:K27" si="86">IFERROR(I26*G26,"0")</f>
        <v>0</v>
      </c>
      <c r="L26" s="285" t="str">
        <f t="array" ref="L26">XLOOKUP(A26,'DADOS DE VENDA'!S:S,'DADOS DE VENDA'!W:W,"RUPTURA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7">A26</f>
        <v>#REF!</v>
      </c>
      <c r="Q26" s="275" t="str">
        <f t="shared" ref="Q26:Q27" si="88">XLOOKUP(P26,'[1]ESCALA DE PRODUÇÃO'!$AL$1:$AL$1048566,'[1]ESCALA DE PRODUÇÃO'!$AJ$1:$AJ$1048566,"NÃO ENCOTRADO")</f>
        <v>#REF!</v>
      </c>
      <c r="R26" s="276">
        <f t="shared" ref="R26:R27" si="89">C26</f>
        <v>5</v>
      </c>
      <c r="S26" s="279" t="str">
        <f t="shared" ref="S26:S27" si="90">(F26)</f>
        <v>0</v>
      </c>
    </row>
    <row r="27" ht="14.25" customHeight="1">
      <c r="A27" s="277" t="str">
        <f t="shared" si="78"/>
        <v>#REF!</v>
      </c>
      <c r="B27" s="349" t="str">
        <f t="shared" si="79"/>
        <v>#REF!</v>
      </c>
      <c r="C27" s="292">
        <v>0.0</v>
      </c>
      <c r="D27" s="293" t="str">
        <f t="shared" si="80"/>
        <v>#REF!</v>
      </c>
      <c r="E27" s="278" t="str">
        <f t="shared" si="81"/>
        <v>#REF!</v>
      </c>
      <c r="F27" s="294" t="str">
        <f t="shared" si="82"/>
        <v>0</v>
      </c>
      <c r="G27" s="295" t="str">
        <f t="shared" si="83"/>
        <v>#REF!</v>
      </c>
      <c r="H27" s="296" t="str">
        <f t="shared" si="84"/>
        <v>0</v>
      </c>
      <c r="I27" s="282" t="str">
        <f t="array" ref="I27">XLOOKUP(A27,'DADOS DE VENDA'!S:S,'DADOS DE VENDA'!V:V,"SEM VENDA")</f>
        <v>#REF!</v>
      </c>
      <c r="J27" s="298" t="str">
        <f t="shared" si="85"/>
        <v>0</v>
      </c>
      <c r="K27" s="299" t="str">
        <f t="shared" si="86"/>
        <v>0</v>
      </c>
      <c r="L27" s="285" t="str">
        <f t="array" ref="L27">XLOOKUP(A27,'DADOS DE VENDA'!S:S,'DADOS DE VENDA'!W:W,"RUPTURA NO PERIODO")</f>
        <v>#REF!</v>
      </c>
      <c r="M27" s="301" t="str">
        <f t="array" ref="M27">IFS(C27&lt;I27,"ABAIXO",C27&gt;I27,"ACIMA",C27=I27,"OK")</f>
        <v>#REF!</v>
      </c>
      <c r="P27" s="274" t="str">
        <f t="shared" si="87"/>
        <v>#REF!</v>
      </c>
      <c r="Q27" s="302" t="str">
        <f t="shared" si="88"/>
        <v>#REF!</v>
      </c>
      <c r="R27" s="292">
        <f t="shared" si="89"/>
        <v>0</v>
      </c>
      <c r="S27" s="279" t="str">
        <f t="shared" si="90"/>
        <v>0</v>
      </c>
    </row>
    <row r="28" ht="14.25" customHeight="1">
      <c r="A28" s="350" t="str">
        <f>('[1]ESCALA DE PRODUÇÃO'!Q28)</f>
        <v>#REF!</v>
      </c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VENDA'!S:S,'DADOS DE VENDA'!V:V,"SEM VENDA")</f>
        <v>#REF!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E29" s="379"/>
      <c r="F29" s="316"/>
      <c r="G29" s="42"/>
      <c r="H29" s="42"/>
      <c r="I29" s="317"/>
      <c r="J29" s="380"/>
      <c r="K29" s="319"/>
      <c r="M29" s="331"/>
      <c r="R29" s="315"/>
      <c r="S29" s="316"/>
    </row>
    <row r="30" ht="14.25" customHeight="1">
      <c r="C30" s="315"/>
      <c r="E30" s="379"/>
      <c r="F30" s="316"/>
      <c r="G30" s="42"/>
      <c r="H30" s="42"/>
      <c r="I30" s="317"/>
      <c r="J30" s="380"/>
      <c r="K30" s="319"/>
      <c r="M30" s="331"/>
      <c r="R30" s="315"/>
      <c r="S30" s="316"/>
    </row>
    <row r="31" ht="14.25" customHeight="1">
      <c r="A31" s="375" t="s">
        <v>1177</v>
      </c>
      <c r="B31" s="250"/>
      <c r="C31" s="251"/>
      <c r="D31" s="376"/>
      <c r="E31" s="376"/>
      <c r="F31" s="376"/>
      <c r="G31" s="376"/>
      <c r="H31" s="376"/>
      <c r="I31" s="377" t="s">
        <v>1148</v>
      </c>
      <c r="J31" s="250"/>
      <c r="K31" s="250"/>
      <c r="L31" s="250"/>
      <c r="M31" s="254"/>
      <c r="P31" s="255" t="str">
        <f>P1</f>
        <v>QUINTA (LOJA 1 BENDITO-ROTISSERIA)</v>
      </c>
      <c r="Q31" s="256"/>
      <c r="R31" s="257" t="s">
        <v>12</v>
      </c>
      <c r="S31" s="258">
        <v>40400.0</v>
      </c>
    </row>
    <row r="32" ht="14.25" customHeight="1">
      <c r="A32" s="259" t="s">
        <v>1166</v>
      </c>
      <c r="B32" s="260"/>
      <c r="C32" s="261" t="s">
        <v>1164</v>
      </c>
      <c r="D32" s="262" t="s">
        <v>1149</v>
      </c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1">'[1]ESCALA DE PRODUÇÃO'!Q28</f>
        <v>#REF!</v>
      </c>
      <c r="B34" s="275" t="str">
        <f t="shared" ref="B34:B36" si="92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3">XLOOKUP(A34,'[1]ESCALA DE PRODUÇÃO'!$AL$1:$AL$1048566,'[1]ESCALA DE PRODUÇÃO'!$AK$1:$AK$1048566,"0")</f>
        <v>#REF!</v>
      </c>
      <c r="E34" s="278" t="str">
        <f t="shared" ref="E34:E36" si="94">XLOOKUP(A34,'[1]ESCALA DE PRODUÇÃO'!$A$4:$A$42,'[1]ESCALA DE PRODUÇÃO'!$C$4:$C$42,"0")</f>
        <v>#REF!</v>
      </c>
      <c r="F34" s="279" t="str">
        <f t="shared" ref="F34:F36" si="95">IFERROR(C34/E34,"0")</f>
        <v>0</v>
      </c>
      <c r="G34" s="280" t="str">
        <f t="shared" ref="G34:G36" si="96">XLOOKUP(A34,'[1]ESCALA DE PRODUÇÃO'!$AL$1:$AL$1048566,'[1]ESCALA DE PRODUÇÃO'!$AM$1:$AM$1048566,"SEM PREÇO")</f>
        <v>#REF!</v>
      </c>
      <c r="H34" s="287" t="str">
        <f t="shared" ref="H34:H36" si="97">IFERROR(C34*G34,"0")</f>
        <v>0</v>
      </c>
      <c r="I34" s="282" t="str">
        <f t="array" ref="I34">XLOOKUP(A34,'DADOS DE VENDA'!S:S,'DADOS DE VENDA'!V:V,"SEM VENDA")</f>
        <v>#REF!</v>
      </c>
      <c r="J34" s="289" t="str">
        <f t="shared" ref="J34:J36" si="98">IFERROR(I34/E34,"0")</f>
        <v>0</v>
      </c>
      <c r="K34" s="290" t="str">
        <f t="shared" ref="K34:K36" si="99">IFERROR(I34*G34,"0")</f>
        <v>0</v>
      </c>
      <c r="L34" s="285" t="str">
        <f t="array" ref="L34">XLOOKUP(A34,'DADOS DE VENDA'!S:S,'DADOS DE VENDA'!W:W,"RUPTURA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0">A34</f>
        <v>#REF!</v>
      </c>
      <c r="Q34" s="275" t="str">
        <f t="shared" ref="Q34:Q36" si="101">XLOOKUP(P34,'[1]ESCALA DE PRODUÇÃO'!$AL$1:$AL$1048566,'[1]ESCALA DE PRODUÇÃO'!$AJ$1:$AJ$1048566,"NÃO ENCOTRADO")</f>
        <v>#REF!</v>
      </c>
      <c r="R34" s="276">
        <f t="shared" ref="R34:R36" si="102">C34</f>
        <v>0</v>
      </c>
      <c r="S34" s="279" t="str">
        <f t="shared" ref="S34:S36" si="103">F34</f>
        <v>0</v>
      </c>
    </row>
    <row r="35" ht="14.25" customHeight="1">
      <c r="A35" s="274" t="str">
        <f t="shared" si="91"/>
        <v>#REF!</v>
      </c>
      <c r="B35" s="275" t="str">
        <f t="shared" si="92"/>
        <v>#REF!</v>
      </c>
      <c r="C35" s="276">
        <v>10.0</v>
      </c>
      <c r="D35" s="277" t="str">
        <f t="shared" si="93"/>
        <v>#REF!</v>
      </c>
      <c r="E35" s="278" t="str">
        <f t="shared" si="94"/>
        <v>#REF!</v>
      </c>
      <c r="F35" s="279" t="str">
        <f t="shared" si="95"/>
        <v>0</v>
      </c>
      <c r="G35" s="280" t="str">
        <f t="shared" si="96"/>
        <v>#REF!</v>
      </c>
      <c r="H35" s="287" t="str">
        <f t="shared" si="97"/>
        <v>0</v>
      </c>
      <c r="I35" s="282" t="str">
        <f t="array" ref="I35">XLOOKUP(A35,'DADOS DE VENDA'!S:S,'DADOS DE VENDA'!V:V,"SEM VENDA")</f>
        <v>#REF!</v>
      </c>
      <c r="J35" s="289" t="str">
        <f t="shared" si="98"/>
        <v>0</v>
      </c>
      <c r="K35" s="290" t="str">
        <f t="shared" si="99"/>
        <v>0</v>
      </c>
      <c r="L35" s="285" t="str">
        <f t="array" ref="L35">XLOOKUP(A35,'DADOS DE VENDA'!S:S,'DADOS DE VENDA'!W:W,"RUPTURA NO PERIODO")</f>
        <v>#REF!</v>
      </c>
      <c r="M35" s="286" t="str">
        <f t="array" ref="M35">IFS(C35&lt;I35,"ABAIXO",C35&gt;I35,"ACIMA",C35=I35,"OK")</f>
        <v>#REF!</v>
      </c>
      <c r="P35" s="274" t="str">
        <f t="shared" si="100"/>
        <v>#REF!</v>
      </c>
      <c r="Q35" s="275" t="str">
        <f t="shared" si="101"/>
        <v>#REF!</v>
      </c>
      <c r="R35" s="276">
        <f t="shared" si="102"/>
        <v>10</v>
      </c>
      <c r="S35" s="279" t="str">
        <f t="shared" si="103"/>
        <v>0</v>
      </c>
    </row>
    <row r="36" ht="14.25" customHeight="1">
      <c r="A36" s="274" t="str">
        <f t="shared" si="91"/>
        <v>#REF!</v>
      </c>
      <c r="B36" s="275" t="str">
        <f t="shared" si="92"/>
        <v>#REF!</v>
      </c>
      <c r="C36" s="276">
        <v>0.0</v>
      </c>
      <c r="D36" s="277" t="str">
        <f t="shared" si="93"/>
        <v>#REF!</v>
      </c>
      <c r="E36" s="278" t="str">
        <f t="shared" si="94"/>
        <v>#REF!</v>
      </c>
      <c r="F36" s="279" t="str">
        <f t="shared" si="95"/>
        <v>0</v>
      </c>
      <c r="G36" s="280" t="str">
        <f t="shared" si="96"/>
        <v>#REF!</v>
      </c>
      <c r="H36" s="287" t="str">
        <f t="shared" si="97"/>
        <v>0</v>
      </c>
      <c r="I36" s="282" t="str">
        <f t="array" ref="I36">XLOOKUP(A36,'DADOS DE VENDA'!S:S,'DADOS DE VENDA'!V:V,"SEM VENDA")</f>
        <v>#REF!</v>
      </c>
      <c r="J36" s="289" t="str">
        <f t="shared" si="98"/>
        <v>0</v>
      </c>
      <c r="K36" s="290" t="str">
        <f t="shared" si="99"/>
        <v>0</v>
      </c>
      <c r="L36" s="285" t="str">
        <f t="array" ref="L36">XLOOKUP(A36,'DADOS DE VENDA'!S:S,'DADOS DE VENDA'!W:W,"RUPTURA NO PERIODO")</f>
        <v>#REF!</v>
      </c>
      <c r="M36" s="286" t="str">
        <f t="array" ref="M36">IFS(C36&lt;I36,"ABAIXO",C36&gt;I36,"ACIMA",C36=I36,"OK")</f>
        <v>#REF!</v>
      </c>
      <c r="P36" s="274" t="str">
        <f t="shared" si="100"/>
        <v>#REF!</v>
      </c>
      <c r="Q36" s="275" t="str">
        <f t="shared" si="101"/>
        <v>#REF!</v>
      </c>
      <c r="R36" s="276">
        <f t="shared" si="102"/>
        <v>0</v>
      </c>
      <c r="S36" s="279" t="str">
        <f t="shared" si="103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74" t="str">
        <f t="shared" ref="A38:A40" si="104">'[1]ESCALA DE PRODUÇÃO'!Q32</f>
        <v>#REF!</v>
      </c>
      <c r="B38" s="275" t="str">
        <f t="shared" ref="B38:B40" si="105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6">XLOOKUP(A38,'[1]ESCALA DE PRODUÇÃO'!$AL$1:$AL$1048566,'[1]ESCALA DE PRODUÇÃO'!$AK$1:$AK$1048566,"0")</f>
        <v>#REF!</v>
      </c>
      <c r="E38" s="278" t="str">
        <f t="shared" ref="E38:E40" si="107">XLOOKUP(A38,'[1]ESCALA DE PRODUÇÃO'!$A$4:$A$42,'[1]ESCALA DE PRODUÇÃO'!$C$4:$C$42,"0")</f>
        <v>#REF!</v>
      </c>
      <c r="F38" s="279" t="str">
        <f t="shared" ref="F38:F40" si="108">IFERROR(C38/E38,"0")</f>
        <v>0</v>
      </c>
      <c r="G38" s="280" t="str">
        <f t="shared" ref="G38:G40" si="109">XLOOKUP(A38,'[1]ESCALA DE PRODUÇÃO'!$AL$1:$AL$1048566,'[1]ESCALA DE PRODUÇÃO'!$AM$1:$AM$1048566,"SEM PREÇO")</f>
        <v>#REF!</v>
      </c>
      <c r="H38" s="287" t="str">
        <f t="shared" ref="H38:H40" si="110">IFERROR(C38*G38,"0")</f>
        <v>0</v>
      </c>
      <c r="I38" s="282" t="str">
        <f t="array" ref="I38">XLOOKUP(A38,'DADOS DE VENDA'!S:S,'DADOS DE VENDA'!V:V,"SEM VENDA")</f>
        <v>#REF!</v>
      </c>
      <c r="J38" s="289" t="str">
        <f t="shared" ref="J38:J40" si="111">IFERROR(I38/E38,"0")</f>
        <v>0</v>
      </c>
      <c r="K38" s="290" t="str">
        <f t="shared" ref="K38:K40" si="112">IFERROR(I38*G38,"0")</f>
        <v>0</v>
      </c>
      <c r="L38" s="285" t="str">
        <f t="array" ref="L38">XLOOKUP(A38,'DADOS DE VENDA'!S:S,'DADOS DE VENDA'!W:W,"RUPTURA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3">A38</f>
        <v>#REF!</v>
      </c>
      <c r="Q38" s="275" t="str">
        <f t="shared" ref="Q38:Q40" si="114">XLOOKUP(P38,'[1]ESCALA DE PRODUÇÃO'!$AL$1:$AL$1048566,'[1]ESCALA DE PRODUÇÃO'!$AJ$1:$AJ$1048566,"NÃO ENCOTRADO")</f>
        <v>#REF!</v>
      </c>
      <c r="R38" s="276">
        <f t="shared" ref="R38:R40" si="115">C38</f>
        <v>0</v>
      </c>
      <c r="S38" s="279" t="str">
        <f t="shared" ref="S38:S40" si="116">F38</f>
        <v>0</v>
      </c>
    </row>
    <row r="39" ht="14.25" customHeight="1">
      <c r="A39" s="274" t="str">
        <f t="shared" si="104"/>
        <v>#REF!</v>
      </c>
      <c r="B39" s="275" t="str">
        <f t="shared" si="105"/>
        <v>#REF!</v>
      </c>
      <c r="C39" s="276">
        <v>12.0</v>
      </c>
      <c r="D39" s="277" t="str">
        <f t="shared" si="106"/>
        <v>#REF!</v>
      </c>
      <c r="E39" s="278" t="str">
        <f t="shared" si="107"/>
        <v>#REF!</v>
      </c>
      <c r="F39" s="279" t="str">
        <f t="shared" si="108"/>
        <v>0</v>
      </c>
      <c r="G39" s="280" t="str">
        <f t="shared" si="109"/>
        <v>#REF!</v>
      </c>
      <c r="H39" s="287" t="str">
        <f t="shared" si="110"/>
        <v>0</v>
      </c>
      <c r="I39" s="282" t="str">
        <f t="array" ref="I39">XLOOKUP(A39,'DADOS DE VENDA'!S:S,'DADOS DE VENDA'!V:V,"SEM VENDA")</f>
        <v>#REF!</v>
      </c>
      <c r="J39" s="289" t="str">
        <f t="shared" si="111"/>
        <v>0</v>
      </c>
      <c r="K39" s="290" t="str">
        <f t="shared" si="112"/>
        <v>0</v>
      </c>
      <c r="L39" s="285" t="str">
        <f t="array" ref="L39">XLOOKUP(A39,'DADOS DE VENDA'!S:S,'DADOS DE VENDA'!W:W,"RUPTURA NO PERIODO")</f>
        <v>#REF!</v>
      </c>
      <c r="M39" s="286" t="str">
        <f t="array" ref="M39">IFS(C39&lt;I39,"ABAIXO",C39&gt;I39,"ACIMA",C39=I39,"OK")</f>
        <v>#REF!</v>
      </c>
      <c r="P39" s="274" t="str">
        <f t="shared" si="113"/>
        <v>#REF!</v>
      </c>
      <c r="Q39" s="275" t="str">
        <f t="shared" si="114"/>
        <v>#REF!</v>
      </c>
      <c r="R39" s="276">
        <f t="shared" si="115"/>
        <v>12</v>
      </c>
      <c r="S39" s="279" t="str">
        <f t="shared" si="116"/>
        <v>0</v>
      </c>
    </row>
    <row r="40" ht="14.25" customHeight="1">
      <c r="A40" s="274" t="str">
        <f t="shared" si="104"/>
        <v>#REF!</v>
      </c>
      <c r="B40" s="275" t="str">
        <f t="shared" si="105"/>
        <v>#REF!</v>
      </c>
      <c r="C40" s="276">
        <v>0.0</v>
      </c>
      <c r="D40" s="277" t="str">
        <f t="shared" si="106"/>
        <v>#REF!</v>
      </c>
      <c r="E40" s="278" t="str">
        <f t="shared" si="107"/>
        <v>#REF!</v>
      </c>
      <c r="F40" s="279" t="str">
        <f t="shared" si="108"/>
        <v>0</v>
      </c>
      <c r="G40" s="280" t="str">
        <f t="shared" si="109"/>
        <v>#REF!</v>
      </c>
      <c r="H40" s="287" t="str">
        <f t="shared" si="110"/>
        <v>0</v>
      </c>
      <c r="I40" s="282" t="str">
        <f t="array" ref="I40">XLOOKUP(A40,'DADOS DE VENDA'!S:S,'DADOS DE VENDA'!V:V,"SEM VENDA")</f>
        <v>#REF!</v>
      </c>
      <c r="J40" s="289" t="str">
        <f t="shared" si="111"/>
        <v>0</v>
      </c>
      <c r="K40" s="290" t="str">
        <f t="shared" si="112"/>
        <v>0</v>
      </c>
      <c r="L40" s="285" t="str">
        <f t="array" ref="L40">XLOOKUP(A40,'DADOS DE VENDA'!S:S,'DADOS DE VENDA'!W:W,"RUPTURA NO PERIODO")</f>
        <v>#REF!</v>
      </c>
      <c r="M40" s="286" t="str">
        <f t="array" ref="M40">IFS(C40&lt;I40,"ABAIXO",C40&gt;I40,"ACIMA",C40=I40,"OK")</f>
        <v>#REF!</v>
      </c>
      <c r="P40" s="274" t="str">
        <f t="shared" si="113"/>
        <v>#REF!</v>
      </c>
      <c r="Q40" s="275" t="str">
        <f t="shared" si="114"/>
        <v>#REF!</v>
      </c>
      <c r="R40" s="276">
        <f t="shared" si="115"/>
        <v>0</v>
      </c>
      <c r="S40" s="279" t="str">
        <f t="shared" si="116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7">'[1]ESCALA DE PRODUÇÃO'!Q36</f>
        <v>#REF!</v>
      </c>
      <c r="B42" s="275" t="str">
        <f t="shared" ref="B42:B44" si="118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19">XLOOKUP(A42,'[1]ESCALA DE PRODUÇÃO'!$AL$1:$AL$1048566,'[1]ESCALA DE PRODUÇÃO'!$AK$1:$AK$1048566,"0")</f>
        <v>#REF!</v>
      </c>
      <c r="E42" s="278" t="str">
        <f t="shared" ref="E42:E44" si="120">XLOOKUP(A42,'[1]ESCALA DE PRODUÇÃO'!$A$4:$A$42,'[1]ESCALA DE PRODUÇÃO'!$C$4:$C$42,"0")</f>
        <v>#REF!</v>
      </c>
      <c r="F42" s="279" t="str">
        <f t="shared" ref="F42:F44" si="121">IFERROR(C42/E42,"0")</f>
        <v>0</v>
      </c>
      <c r="G42" s="280" t="str">
        <f t="shared" ref="G42:G44" si="122">XLOOKUP(A42,'[1]ESCALA DE PRODUÇÃO'!$AL$1:$AL$1048566,'[1]ESCALA DE PRODUÇÃO'!$AM$1:$AM$1048566,"SEM PREÇO")</f>
        <v>#REF!</v>
      </c>
      <c r="H42" s="287" t="str">
        <f t="shared" ref="H42:H44" si="123">IFERROR(C42*G42,"0")</f>
        <v>0</v>
      </c>
      <c r="I42" s="282" t="str">
        <f t="array" ref="I42">XLOOKUP(A42,'DADOS DE VENDA'!S:S,'DADOS DE VENDA'!V:V,"SEM VENDA")</f>
        <v>#REF!</v>
      </c>
      <c r="J42" s="289" t="str">
        <f t="shared" ref="J42:J44" si="124">IFERROR(I42/E42,"0")</f>
        <v>0</v>
      </c>
      <c r="K42" s="290" t="str">
        <f t="shared" ref="K42:K44" si="125">IFERROR(I42*G42,"0")</f>
        <v>0</v>
      </c>
      <c r="L42" s="285" t="str">
        <f t="array" ref="L42">XLOOKUP(A42,'DADOS DE VENDA'!S:S,'DADOS DE VENDA'!W:W,"RUPTURA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6">A42</f>
        <v>#REF!</v>
      </c>
      <c r="Q42" s="275" t="str">
        <f t="shared" ref="Q42:Q44" si="127">XLOOKUP(P42,'[1]ESCALA DE PRODUÇÃO'!$AL$1:$AL$1048566,'[1]ESCALA DE PRODUÇÃO'!$AJ$1:$AJ$1048566,"NÃO ENCOTRADO")</f>
        <v>#REF!</v>
      </c>
      <c r="R42" s="276">
        <f t="shared" ref="R42:R44" si="128">C42</f>
        <v>0</v>
      </c>
      <c r="S42" s="279" t="str">
        <f t="shared" ref="S42:S44" si="129">F42</f>
        <v>0</v>
      </c>
    </row>
    <row r="43" ht="14.25" customHeight="1">
      <c r="A43" s="274" t="str">
        <f t="shared" si="117"/>
        <v>#REF!</v>
      </c>
      <c r="B43" s="275" t="str">
        <f t="shared" si="118"/>
        <v>#REF!</v>
      </c>
      <c r="C43" s="276">
        <v>10.0</v>
      </c>
      <c r="D43" s="277" t="str">
        <f t="shared" si="119"/>
        <v>#REF!</v>
      </c>
      <c r="E43" s="278" t="str">
        <f t="shared" si="120"/>
        <v>#REF!</v>
      </c>
      <c r="F43" s="279" t="str">
        <f t="shared" si="121"/>
        <v>0</v>
      </c>
      <c r="G43" s="280" t="str">
        <f t="shared" si="122"/>
        <v>#REF!</v>
      </c>
      <c r="H43" s="287" t="str">
        <f t="shared" si="123"/>
        <v>0</v>
      </c>
      <c r="I43" s="282" t="str">
        <f t="array" ref="I43">XLOOKUP(A43,'DADOS DE VENDA'!S:S,'DADOS DE VENDA'!V:V,"SEM VENDA")</f>
        <v>#REF!</v>
      </c>
      <c r="J43" s="289" t="str">
        <f t="shared" si="124"/>
        <v>0</v>
      </c>
      <c r="K43" s="290" t="str">
        <f t="shared" si="125"/>
        <v>0</v>
      </c>
      <c r="L43" s="285" t="str">
        <f t="array" ref="L43">XLOOKUP(A43,'DADOS DE VENDA'!S:S,'DADOS DE VENDA'!W:W,"RUPTURA NO PERIODO")</f>
        <v>#REF!</v>
      </c>
      <c r="M43" s="286" t="str">
        <f t="array" ref="M43">IFS(C43&lt;I43,"ABAIXO",C43&gt;I43,"ACIMA",C43=I43,"OK")</f>
        <v>#REF!</v>
      </c>
      <c r="P43" s="274" t="str">
        <f t="shared" si="126"/>
        <v>#REF!</v>
      </c>
      <c r="Q43" s="275" t="str">
        <f t="shared" si="127"/>
        <v>#REF!</v>
      </c>
      <c r="R43" s="276">
        <f t="shared" si="128"/>
        <v>10</v>
      </c>
      <c r="S43" s="279" t="str">
        <f t="shared" si="129"/>
        <v>0</v>
      </c>
    </row>
    <row r="44" ht="14.25" customHeight="1">
      <c r="A44" s="274" t="str">
        <f t="shared" si="117"/>
        <v>#REF!</v>
      </c>
      <c r="B44" s="302" t="str">
        <f t="shared" si="118"/>
        <v>#REF!</v>
      </c>
      <c r="C44" s="321">
        <v>0.0</v>
      </c>
      <c r="D44" s="322" t="str">
        <f t="shared" si="119"/>
        <v>#REF!</v>
      </c>
      <c r="E44" s="381" t="str">
        <f t="shared" si="120"/>
        <v>#REF!</v>
      </c>
      <c r="F44" s="323" t="str">
        <f t="shared" si="121"/>
        <v>0</v>
      </c>
      <c r="G44" s="324" t="str">
        <f t="shared" si="122"/>
        <v>#REF!</v>
      </c>
      <c r="H44" s="325" t="str">
        <f t="shared" si="123"/>
        <v>0</v>
      </c>
      <c r="I44" s="282" t="str">
        <f t="array" ref="I44">XLOOKUP(A44,'DADOS DE VENDA'!S:S,'DADOS DE VENDA'!V:V,"SEM VENDA")</f>
        <v>#REF!</v>
      </c>
      <c r="J44" s="327" t="str">
        <f t="shared" si="124"/>
        <v>0</v>
      </c>
      <c r="K44" s="328" t="str">
        <f t="shared" si="125"/>
        <v>0</v>
      </c>
      <c r="L44" s="285" t="str">
        <f t="array" ref="L44">XLOOKUP(A44,'DADOS DE VENDA'!S:S,'DADOS DE VENDA'!W:W,"RUPTURA NO PERIODO")</f>
        <v>#REF!</v>
      </c>
      <c r="M44" s="330" t="str">
        <f t="array" ref="M44">IFS(C44&lt;I44,"ABAIXO",C44&gt;I44,"ACIMA",C44=I44,"OK")</f>
        <v>#REF!</v>
      </c>
      <c r="P44" s="274" t="str">
        <f t="shared" si="126"/>
        <v>#REF!</v>
      </c>
      <c r="Q44" s="302" t="str">
        <f t="shared" si="127"/>
        <v>#REF!</v>
      </c>
      <c r="R44" s="276">
        <f t="shared" si="128"/>
        <v>0</v>
      </c>
      <c r="S44" s="279" t="str">
        <f t="shared" si="129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2" t="str">
        <f t="array" ref="I45">XLOOKUP(A45,'DADOS DE VENDA'!S:S,'DADOS DE VENDA'!V:V,"SEM VENDA")</f>
        <v>SEM VENDA</v>
      </c>
      <c r="J45" s="309">
        <f>SUM(K34,K35,K36,K38,K39,K40,K42,K43,K44)</f>
        <v>0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75" t="s">
        <v>1177</v>
      </c>
      <c r="B48" s="250"/>
      <c r="C48" s="251"/>
      <c r="D48" s="376"/>
      <c r="E48" s="376"/>
      <c r="F48" s="376"/>
      <c r="G48" s="376"/>
      <c r="H48" s="376"/>
      <c r="I48" s="377" t="s">
        <v>1148</v>
      </c>
      <c r="J48" s="250"/>
      <c r="K48" s="250"/>
      <c r="L48" s="250"/>
      <c r="M48" s="254"/>
      <c r="P48" s="255" t="str">
        <f>P31</f>
        <v>QUINTA (LOJA 1 BENDITO-ROTISSERIA)</v>
      </c>
      <c r="Q48" s="256"/>
      <c r="R48" s="257" t="s">
        <v>12</v>
      </c>
      <c r="S48" s="258">
        <f>S31</f>
        <v>40400</v>
      </c>
    </row>
    <row r="49" ht="14.25" customHeight="1">
      <c r="A49" s="382" t="s">
        <v>1170</v>
      </c>
      <c r="B49" s="260"/>
      <c r="C49" s="383" t="s">
        <v>1164</v>
      </c>
      <c r="D49" s="262" t="s">
        <v>1149</v>
      </c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384" t="s">
        <v>271</v>
      </c>
      <c r="B50" s="385" t="s">
        <v>289</v>
      </c>
      <c r="C50" s="386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387" t="str">
        <f t="shared" ref="A51:A54" si="130">('[1]ESCALA DE PRODUÇÃO'!Q41)</f>
        <v>#REF!</v>
      </c>
      <c r="B51" s="275" t="str">
        <f t="shared" ref="B51:B54" si="131">XLOOKUP(A51,'[1]ESCALA DE PRODUÇÃO'!$AL$1:$AL$1048566,'[1]ESCALA DE PRODUÇÃO'!$AJ$1:$AJ$1048566,"NÃO ENCOTRADO")</f>
        <v>#REF!</v>
      </c>
      <c r="C51" s="388">
        <v>2.5</v>
      </c>
      <c r="D51" s="277" t="str">
        <f t="shared" ref="D51:D54" si="132">XLOOKUP(A51,'[1]ESCALA DE PRODUÇÃO'!$AL$1:$AL$1048566,'[1]ESCALA DE PRODUÇÃO'!$AK$1:$AK$1048566,"0")</f>
        <v>#REF!</v>
      </c>
      <c r="E51" s="278" t="str">
        <f t="shared" ref="E51:E54" si="133">('[1]ESCALA DE PRODUÇÃO'!S40)</f>
        <v>#REF!</v>
      </c>
      <c r="F51" s="279" t="str">
        <f t="shared" ref="F51:F54" si="134">IFERROR(C51/E51,"0")</f>
        <v>0</v>
      </c>
      <c r="G51" s="280" t="str">
        <f t="shared" ref="G51:G54" si="135">XLOOKUP(A51,'[1]ESCALA DE PRODUÇÃO'!$AL$1:$AL$1048566,'[1]ESCALA DE PRODUÇÃO'!$AM$1:$AM$1048566,"SEM PREÇO")</f>
        <v>#REF!</v>
      </c>
      <c r="H51" s="287" t="str">
        <f t="shared" ref="H51:H54" si="136">IFERROR(C51*G51,"0")</f>
        <v>0</v>
      </c>
      <c r="I51" s="288" t="str">
        <f t="array" ref="I51">XLOOKUP(A51,'DADOS DE VENDA'!S:S,'DADOS DE VENDA'!V:V,"SEM VENDA")</f>
        <v>#REF!</v>
      </c>
      <c r="J51" s="289" t="str">
        <f t="shared" ref="J51:J54" si="137">IFERROR(I51/E51,"0")</f>
        <v>0</v>
      </c>
      <c r="K51" s="290" t="str">
        <f t="shared" ref="K51:K54" si="138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39">A51</f>
        <v>#REF!</v>
      </c>
      <c r="Q51" s="275" t="str">
        <f t="shared" ref="Q51:Q54" si="140">XLOOKUP(P51,'[1]ESCALA DE PRODUÇÃO'!$AL$1:$AL$1048566,'[1]ESCALA DE PRODUÇÃO'!$AJ$1:$AJ$1048566,"NÃO ENCOTRADO")</f>
        <v>#REF!</v>
      </c>
      <c r="R51" s="276">
        <f t="shared" ref="R51:R54" si="141">C51</f>
        <v>2.5</v>
      </c>
      <c r="S51" s="279" t="str">
        <f t="shared" ref="S51:S54" si="142">(F51)</f>
        <v>0</v>
      </c>
    </row>
    <row r="52" ht="14.25" customHeight="1">
      <c r="A52" s="387" t="str">
        <f t="shared" si="130"/>
        <v>#REF!</v>
      </c>
      <c r="B52" s="275" t="str">
        <f t="shared" si="131"/>
        <v>#REF!</v>
      </c>
      <c r="C52" s="388">
        <v>2.5</v>
      </c>
      <c r="D52" s="277" t="str">
        <f t="shared" si="132"/>
        <v>#REF!</v>
      </c>
      <c r="E52" s="278" t="str">
        <f t="shared" si="133"/>
        <v>#REF!</v>
      </c>
      <c r="F52" s="279" t="str">
        <f t="shared" si="134"/>
        <v>0</v>
      </c>
      <c r="G52" s="280" t="str">
        <f t="shared" si="135"/>
        <v>#REF!</v>
      </c>
      <c r="H52" s="287" t="str">
        <f t="shared" si="136"/>
        <v>0</v>
      </c>
      <c r="I52" s="288" t="str">
        <f t="array" ref="I52">XLOOKUP(A52,'DADOS DE VENDA'!S:S,'DADOS DE VENDA'!V:V,"SEM VENDA")</f>
        <v>#REF!</v>
      </c>
      <c r="J52" s="289" t="str">
        <f t="shared" si="137"/>
        <v>0</v>
      </c>
      <c r="K52" s="290" t="str">
        <f t="shared" si="138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9"/>
        <v>#REF!</v>
      </c>
      <c r="Q52" s="275" t="str">
        <f t="shared" si="140"/>
        <v>#REF!</v>
      </c>
      <c r="R52" s="276">
        <f t="shared" si="141"/>
        <v>2.5</v>
      </c>
      <c r="S52" s="279" t="str">
        <f t="shared" si="142"/>
        <v>0</v>
      </c>
    </row>
    <row r="53" ht="14.25" customHeight="1">
      <c r="A53" s="387" t="str">
        <f t="shared" si="130"/>
        <v>#REF!</v>
      </c>
      <c r="B53" s="275" t="str">
        <f t="shared" si="131"/>
        <v>#REF!</v>
      </c>
      <c r="C53" s="388">
        <v>0.0</v>
      </c>
      <c r="D53" s="277" t="str">
        <f t="shared" si="132"/>
        <v>#REF!</v>
      </c>
      <c r="E53" s="278" t="str">
        <f t="shared" si="133"/>
        <v>#REF!</v>
      </c>
      <c r="F53" s="279" t="str">
        <f t="shared" si="134"/>
        <v>0</v>
      </c>
      <c r="G53" s="280" t="str">
        <f t="shared" si="135"/>
        <v>#REF!</v>
      </c>
      <c r="H53" s="287" t="str">
        <f t="shared" si="136"/>
        <v>0</v>
      </c>
      <c r="I53" s="288" t="str">
        <f t="array" ref="I53">XLOOKUP(A53,'DADOS DE VENDA'!S:S,'DADOS DE VENDA'!V:V,"SEM VENDA")</f>
        <v>#REF!</v>
      </c>
      <c r="J53" s="289" t="str">
        <f t="shared" si="137"/>
        <v>0</v>
      </c>
      <c r="K53" s="290" t="str">
        <f t="shared" si="138"/>
        <v>0</v>
      </c>
      <c r="L53" s="291" t="str">
        <f t="array" ref="L53">XLOOKUP(A53,'DADOS DE VENDA'!A:A,'DADOS DE VENDA'!E:E,"RUPTURA NO PERIODO")</f>
        <v>#REF!</v>
      </c>
      <c r="M53" s="286" t="str">
        <f t="array" ref="M53">IFS(C53&lt;I53,"ABAIXO",C53&gt;I53,"ACIMA",C53=I53,"OK")</f>
        <v>#REF!</v>
      </c>
      <c r="P53" s="274" t="str">
        <f t="shared" si="139"/>
        <v>#REF!</v>
      </c>
      <c r="Q53" s="275" t="str">
        <f t="shared" si="140"/>
        <v>#REF!</v>
      </c>
      <c r="R53" s="276">
        <f t="shared" si="141"/>
        <v>0</v>
      </c>
      <c r="S53" s="279" t="str">
        <f t="shared" si="142"/>
        <v>0</v>
      </c>
    </row>
    <row r="54" ht="14.25" customHeight="1">
      <c r="A54" s="387" t="str">
        <f t="shared" si="130"/>
        <v>#REF!</v>
      </c>
      <c r="B54" s="275" t="str">
        <f t="shared" si="131"/>
        <v>#REF!</v>
      </c>
      <c r="C54" s="388">
        <v>2.5</v>
      </c>
      <c r="D54" s="277" t="str">
        <f t="shared" si="132"/>
        <v>#REF!</v>
      </c>
      <c r="E54" s="278" t="str">
        <f t="shared" si="133"/>
        <v>#REF!</v>
      </c>
      <c r="F54" s="279" t="str">
        <f t="shared" si="134"/>
        <v>0</v>
      </c>
      <c r="G54" s="280" t="str">
        <f t="shared" si="135"/>
        <v>#REF!</v>
      </c>
      <c r="H54" s="287" t="str">
        <f t="shared" si="136"/>
        <v>0</v>
      </c>
      <c r="I54" s="288" t="str">
        <f t="array" ref="I54">XLOOKUP(A54,'DADOS DE VENDA'!S:S,'DADOS DE VENDA'!V:V,"SEM VENDA")</f>
        <v>#REF!</v>
      </c>
      <c r="J54" s="289" t="str">
        <f t="shared" si="137"/>
        <v>0</v>
      </c>
      <c r="K54" s="290" t="str">
        <f t="shared" si="138"/>
        <v>0</v>
      </c>
      <c r="L54" s="291" t="str">
        <f t="array" ref="L54">XLOOKUP(A54,'DADOS DE VENDA'!A:A,'DADOS DE VENDA'!E:E,"RUPTURA NO PERIODO")</f>
        <v>#REF!</v>
      </c>
      <c r="M54" s="286" t="str">
        <f t="array" ref="M54">IFS(C54&lt;I54,"ABAIXO",C54&gt;I54,"ACIMA",C54=I54,"OK")</f>
        <v>#REF!</v>
      </c>
      <c r="P54" s="274" t="str">
        <f t="shared" si="139"/>
        <v>#REF!</v>
      </c>
      <c r="Q54" s="275" t="str">
        <f t="shared" si="140"/>
        <v>#REF!</v>
      </c>
      <c r="R54" s="276">
        <f t="shared" si="141"/>
        <v>2.5</v>
      </c>
      <c r="S54" s="279" t="str">
        <f t="shared" si="142"/>
        <v>0</v>
      </c>
    </row>
    <row r="55" ht="14.25" customHeight="1">
      <c r="A55" s="384" t="s">
        <v>271</v>
      </c>
      <c r="B55" s="385" t="s">
        <v>1179</v>
      </c>
      <c r="C55" s="386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387" t="str">
        <f t="shared" ref="A56:A59" si="143">('[1]ESCALA DE PRODUÇÃO'!Q44)</f>
        <v>#REF!</v>
      </c>
      <c r="B56" s="275" t="str">
        <f t="shared" ref="B56:B59" si="144">XLOOKUP(A56,'[1]ESCALA DE PRODUÇÃO'!$AL$1:$AL$1048566,'[1]ESCALA DE PRODUÇÃO'!$AJ$1:$AJ$1048566,"NÃO ENCOTRADO")</f>
        <v>#REF!</v>
      </c>
      <c r="C56" s="388">
        <v>0.0</v>
      </c>
      <c r="D56" s="277" t="str">
        <f t="shared" ref="D56:D59" si="145">XLOOKUP(A56,'[1]ESCALA DE PRODUÇÃO'!$AL$1:$AL$1048566,'[1]ESCALA DE PRODUÇÃO'!$AK$1:$AK$1048566,"0")</f>
        <v>#REF!</v>
      </c>
      <c r="E56" s="278" t="str">
        <f t="shared" ref="E56:E59" si="146">XLOOKUP(A56,'[1]ESCALA DE PRODUÇÃO'!$A$4:$A$42,'[1]ESCALA DE PRODUÇÃO'!$C$4:$C$42,"0")</f>
        <v>#REF!</v>
      </c>
      <c r="F56" s="279" t="str">
        <f t="shared" ref="F56:F59" si="147">IFERROR(C56/E56,"0")</f>
        <v>0</v>
      </c>
      <c r="G56" s="280" t="str">
        <f t="shared" ref="G56:G59" si="148">XLOOKUP(A56,'[1]ESCALA DE PRODUÇÃO'!$AL$1:$AL$1048566,'[1]ESCALA DE PRODUÇÃO'!$AM$1:$AM$1048566,"SEM PREÇO")</f>
        <v>#REF!</v>
      </c>
      <c r="H56" s="287" t="str">
        <f t="shared" ref="H56:H59" si="149">IFERROR(C56*G56,"0")</f>
        <v>0</v>
      </c>
      <c r="I56" s="288" t="str">
        <f t="array" ref="I56">XLOOKUP(A56,'DADOS DE VENDA'!S:S,'DADOS DE VENDA'!V:V,"SEM VENDA")</f>
        <v>#REF!</v>
      </c>
      <c r="J56" s="289" t="str">
        <f t="shared" ref="J56:J59" si="150">IFERROR(I56/E56,"0")</f>
        <v>0</v>
      </c>
      <c r="K56" s="290" t="str">
        <f t="shared" ref="K56:K59" si="151">IFERROR(I56*G56,"0")</f>
        <v>0</v>
      </c>
      <c r="L56" s="291" t="str">
        <f t="array" ref="L56">XLOOKUP(A56,'DADOS DE VENDA'!A:A,'DADOS DE VENDA'!E:E,"RUPTURA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52">A56</f>
        <v>#REF!</v>
      </c>
      <c r="Q56" s="275" t="str">
        <f t="shared" ref="Q56:Q59" si="153">XLOOKUP(P56,'[1]ESCALA DE PRODUÇÃO'!$AL$1:$AL$1048566,'[1]ESCALA DE PRODUÇÃO'!$AJ$1:$AJ$1048566,"NÃO ENCOTRADO")</f>
        <v>#REF!</v>
      </c>
      <c r="R56" s="276">
        <f t="shared" ref="R56:R59" si="154">C56</f>
        <v>0</v>
      </c>
      <c r="S56" s="279" t="str">
        <f t="shared" ref="S56:S59" si="155">F56</f>
        <v>0</v>
      </c>
    </row>
    <row r="57" ht="14.25" customHeight="1">
      <c r="A57" s="387" t="str">
        <f t="shared" si="143"/>
        <v>#REF!</v>
      </c>
      <c r="B57" s="275" t="str">
        <f t="shared" si="144"/>
        <v>#REF!</v>
      </c>
      <c r="C57" s="388">
        <v>0.0</v>
      </c>
      <c r="D57" s="277" t="str">
        <f t="shared" si="145"/>
        <v>#REF!</v>
      </c>
      <c r="E57" s="278" t="str">
        <f t="shared" si="146"/>
        <v>#REF!</v>
      </c>
      <c r="F57" s="279" t="str">
        <f t="shared" si="147"/>
        <v>0</v>
      </c>
      <c r="G57" s="280" t="str">
        <f t="shared" si="148"/>
        <v>#REF!</v>
      </c>
      <c r="H57" s="287" t="str">
        <f t="shared" si="149"/>
        <v>0</v>
      </c>
      <c r="I57" s="288" t="str">
        <f t="array" ref="I57">XLOOKUP(A57,'DADOS DE VENDA'!S:S,'DADOS DE VENDA'!V:V,"SEM VENDA")</f>
        <v>#REF!</v>
      </c>
      <c r="J57" s="289" t="str">
        <f t="shared" si="150"/>
        <v>0</v>
      </c>
      <c r="K57" s="290" t="str">
        <f t="shared" si="151"/>
        <v>0</v>
      </c>
      <c r="L57" s="291" t="str">
        <f t="array" ref="L57">XLOOKUP(A57,'DADOS DE VENDA'!A:A,'DADOS DE VENDA'!E:E,"RUPTURA NO PERIODO")</f>
        <v>#REF!</v>
      </c>
      <c r="M57" s="286" t="str">
        <f t="array" ref="M57">IFS(C57&lt;I57,"ABAIXO",C57&gt;I57,"ACIMA",C57=I57,"OK")</f>
        <v>#REF!</v>
      </c>
      <c r="P57" s="274" t="str">
        <f t="shared" si="152"/>
        <v>#REF!</v>
      </c>
      <c r="Q57" s="275" t="str">
        <f t="shared" si="153"/>
        <v>#REF!</v>
      </c>
      <c r="R57" s="276">
        <f t="shared" si="154"/>
        <v>0</v>
      </c>
      <c r="S57" s="279" t="str">
        <f t="shared" si="155"/>
        <v>0</v>
      </c>
    </row>
    <row r="58" ht="14.25" customHeight="1">
      <c r="A58" s="387" t="str">
        <f t="shared" si="143"/>
        <v>#REF!</v>
      </c>
      <c r="B58" s="275" t="str">
        <f t="shared" si="144"/>
        <v>#REF!</v>
      </c>
      <c r="C58" s="388">
        <v>0.0</v>
      </c>
      <c r="D58" s="277" t="str">
        <f t="shared" si="145"/>
        <v>#REF!</v>
      </c>
      <c r="E58" s="278" t="str">
        <f t="shared" si="146"/>
        <v>#REF!</v>
      </c>
      <c r="F58" s="279" t="str">
        <f t="shared" si="147"/>
        <v>0</v>
      </c>
      <c r="G58" s="280" t="str">
        <f t="shared" si="148"/>
        <v>#REF!</v>
      </c>
      <c r="H58" s="287" t="str">
        <f t="shared" si="149"/>
        <v>0</v>
      </c>
      <c r="I58" s="288" t="str">
        <f t="array" ref="I58">XLOOKUP(A58,'DADOS DE VENDA'!S:S,'DADOS DE VENDA'!V:V,"SEM VENDA")</f>
        <v>#REF!</v>
      </c>
      <c r="J58" s="289" t="str">
        <f t="shared" si="150"/>
        <v>0</v>
      </c>
      <c r="K58" s="290" t="str">
        <f t="shared" si="151"/>
        <v>0</v>
      </c>
      <c r="L58" s="291" t="str">
        <f t="array" ref="L58">XLOOKUP(A58,'DADOS DE VENDA'!A:A,'DADOS DE VENDA'!E:E,"RUPTURA NO PERIODO")</f>
        <v>#REF!</v>
      </c>
      <c r="M58" s="286" t="str">
        <f t="array" ref="M58">IFS(C58&lt;I58,"ABAIXO",C58&gt;I58,"ACIMA",C58=I58,"OK")</f>
        <v>#REF!</v>
      </c>
      <c r="P58" s="274" t="str">
        <f t="shared" si="152"/>
        <v>#REF!</v>
      </c>
      <c r="Q58" s="275" t="str">
        <f t="shared" si="153"/>
        <v>#REF!</v>
      </c>
      <c r="R58" s="276">
        <f t="shared" si="154"/>
        <v>0</v>
      </c>
      <c r="S58" s="279" t="str">
        <f t="shared" si="155"/>
        <v>0</v>
      </c>
    </row>
    <row r="59" ht="14.25" customHeight="1">
      <c r="A59" s="387" t="str">
        <f t="shared" si="143"/>
        <v>#REF!</v>
      </c>
      <c r="B59" s="275" t="str">
        <f t="shared" si="144"/>
        <v>#REF!</v>
      </c>
      <c r="C59" s="388">
        <v>0.0</v>
      </c>
      <c r="D59" s="277" t="str">
        <f t="shared" si="145"/>
        <v>#REF!</v>
      </c>
      <c r="E59" s="278" t="str">
        <f t="shared" si="146"/>
        <v>#REF!</v>
      </c>
      <c r="F59" s="279" t="str">
        <f t="shared" si="147"/>
        <v>0</v>
      </c>
      <c r="G59" s="280" t="str">
        <f t="shared" si="148"/>
        <v>#REF!</v>
      </c>
      <c r="H59" s="287" t="str">
        <f t="shared" si="149"/>
        <v>0</v>
      </c>
      <c r="I59" s="288" t="str">
        <f t="array" ref="I59">XLOOKUP(A59,'DADOS DE VENDA'!S:S,'DADOS DE VENDA'!V:V,"SEM VENDA")</f>
        <v>#REF!</v>
      </c>
      <c r="J59" s="289" t="str">
        <f t="shared" si="150"/>
        <v>0</v>
      </c>
      <c r="K59" s="290" t="str">
        <f t="shared" si="151"/>
        <v>0</v>
      </c>
      <c r="L59" s="291" t="str">
        <f t="array" ref="L59">XLOOKUP(A59,'DADOS DE VENDA'!A:A,'DADOS DE VENDA'!E:E,"RUPTURA NO PERIODO")</f>
        <v>#REF!</v>
      </c>
      <c r="M59" s="286" t="str">
        <f t="array" ref="M59">IFS(C59&lt;I59,"ABAIXO",C59&gt;I59,"ACIMA",C59=I59,"OK")</f>
        <v>#REF!</v>
      </c>
      <c r="P59" s="274" t="str">
        <f t="shared" si="152"/>
        <v>#REF!</v>
      </c>
      <c r="Q59" s="275" t="str">
        <f t="shared" si="153"/>
        <v>#REF!</v>
      </c>
      <c r="R59" s="276">
        <f t="shared" si="154"/>
        <v>0</v>
      </c>
      <c r="S59" s="279" t="str">
        <f t="shared" si="155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VENDA'!S:S,'DADOS DE VENDA'!V:V,"SEM VENDA")</f>
        <v>SEM VENDA</v>
      </c>
      <c r="J60" s="309">
        <f>SUM(K51,K52,K53,K54,K56,K57,K58,K59)</f>
        <v>0</v>
      </c>
      <c r="K60" s="306"/>
      <c r="L60" s="310"/>
      <c r="M60" s="311"/>
      <c r="P60" s="312" t="s">
        <v>1156</v>
      </c>
      <c r="Q60" s="313"/>
      <c r="R60" s="314">
        <f>(G60)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>
        <v>0.0</v>
      </c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C1"/>
    <mergeCell ref="I1:M1"/>
    <mergeCell ref="P1:Q1"/>
    <mergeCell ref="A2:B2"/>
    <mergeCell ref="I2:M2"/>
    <mergeCell ref="P2:Q2"/>
    <mergeCell ref="R2:S2"/>
    <mergeCell ref="A32:B32"/>
    <mergeCell ref="D32:H32"/>
    <mergeCell ref="I32:M32"/>
    <mergeCell ref="P32:Q32"/>
    <mergeCell ref="R32:S32"/>
    <mergeCell ref="D2:H2"/>
    <mergeCell ref="D28:E28"/>
    <mergeCell ref="G28:H28"/>
    <mergeCell ref="J28:K28"/>
    <mergeCell ref="P28:Q28"/>
    <mergeCell ref="R28:S28"/>
    <mergeCell ref="A31:C31"/>
    <mergeCell ref="I31:M31"/>
    <mergeCell ref="P31:Q31"/>
    <mergeCell ref="D45:E45"/>
    <mergeCell ref="G45:H45"/>
    <mergeCell ref="J45:K45"/>
    <mergeCell ref="P45:Q45"/>
    <mergeCell ref="R45:S45"/>
    <mergeCell ref="D49:H49"/>
    <mergeCell ref="D60:E60"/>
    <mergeCell ref="G60:H60"/>
    <mergeCell ref="J60:K60"/>
    <mergeCell ref="P60:Q60"/>
    <mergeCell ref="R60:S60"/>
    <mergeCell ref="P63:Q65"/>
    <mergeCell ref="R63:S65"/>
    <mergeCell ref="A48:C48"/>
    <mergeCell ref="I48:M48"/>
    <mergeCell ref="P48:Q48"/>
    <mergeCell ref="A49:B49"/>
    <mergeCell ref="I49:M49"/>
    <mergeCell ref="P49:Q49"/>
    <mergeCell ref="R49:S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29:I30">
    <cfRule type="containsText" dxfId="0" priority="2" operator="containsText" text="SEM VENDAS">
      <formula>NOT(ISERROR(SEARCH(("SEM VENDAS"),(I29))))</formula>
    </cfRule>
  </conditionalFormatting>
  <conditionalFormatting sqref="I34:I36 I38:I40 I42:I45">
    <cfRule type="containsText" dxfId="0" priority="3" operator="containsText" text="SEM VENDA">
      <formula>NOT(ISERROR(SEARCH(("SEM VENDA"),(I34))))</formula>
    </cfRule>
  </conditionalFormatting>
  <conditionalFormatting sqref="I51:I54 I56:I60">
    <cfRule type="containsText" dxfId="0" priority="4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5" operator="containsText" text="RUPTURA NO PERIODO">
      <formula>NOT(ISERROR(SEARCH(("RUPTURA NO PERIODO"),(L4))))</formula>
    </cfRule>
  </conditionalFormatting>
  <conditionalFormatting sqref="L34:L36 L38:L40 L42:L45">
    <cfRule type="containsText" dxfId="0" priority="6" operator="containsText" text="RUPTURA NO PERIODO">
      <formula>NOT(ISERROR(SEARCH(("RUPTURA NO PERIODO"),(L34))))</formula>
    </cfRule>
  </conditionalFormatting>
  <conditionalFormatting sqref="L51:L54">
    <cfRule type="containsText" dxfId="0" priority="7" operator="containsText" text="RUPTURA NO PERIODO">
      <formula>NOT(ISERROR(SEARCH(("RUPTURA NO PERIODO"),(L51))))</formula>
    </cfRule>
  </conditionalFormatting>
  <conditionalFormatting sqref="L56:L60">
    <cfRule type="containsText" dxfId="0" priority="8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69.14"/>
    <col customWidth="1" min="3" max="3" width="8.43"/>
    <col customWidth="1" min="4" max="4" width="8.14"/>
    <col customWidth="1" min="5" max="5" width="7.0"/>
    <col customWidth="1" min="6" max="6" width="9.71"/>
    <col customWidth="1" min="7" max="7" width="11.29"/>
    <col customWidth="1" min="8" max="8" width="10.14"/>
    <col customWidth="1" min="9" max="9" width="13.71"/>
    <col customWidth="1" min="10" max="11" width="10.86"/>
    <col customWidth="1" min="12" max="12" width="20.14"/>
    <col customWidth="1" min="13" max="16" width="8.71"/>
    <col customWidth="1" min="17" max="17" width="65.0"/>
    <col customWidth="1" min="18" max="18" width="8.71"/>
    <col customWidth="1" min="19" max="19" width="12.43"/>
    <col customWidth="1" min="20" max="26" width="8.71"/>
  </cols>
  <sheetData>
    <row r="1" ht="14.25" customHeight="1">
      <c r="A1" s="389" t="s">
        <v>1180</v>
      </c>
      <c r="B1" s="250"/>
      <c r="C1" s="250"/>
      <c r="D1" s="250"/>
      <c r="E1" s="250"/>
      <c r="F1" s="250"/>
      <c r="G1" s="250"/>
      <c r="H1" s="251"/>
      <c r="I1" s="390" t="s">
        <v>1148</v>
      </c>
      <c r="J1" s="250"/>
      <c r="K1" s="250"/>
      <c r="L1" s="250"/>
      <c r="M1" s="254"/>
      <c r="P1" s="255" t="s">
        <v>1180</v>
      </c>
      <c r="Q1" s="256"/>
      <c r="R1" s="257" t="s">
        <v>12</v>
      </c>
      <c r="S1" s="258">
        <v>46045.0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6" si="1">('[1]ESCALA DE PRODUÇÃO'!V3)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15.0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PRODUÇÃO'!X3)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VENDA'!Y:Y,'DADOS DE VENDA'!AB:AB,"SEM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VENDA'!Y:Y,'DADOS DE VENDA'!AC:AC,"RUPTURA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(A4)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15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15.0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2" t="str">
        <f t="array" ref="I5">XLOOKUP(A5,'DADOS DE VENDA'!Y:Y,'DADOS DE VENDA'!AB:AB,"SEM VENDA")</f>
        <v>#REF!</v>
      </c>
      <c r="J5" s="289" t="str">
        <f t="shared" si="8"/>
        <v>0</v>
      </c>
      <c r="K5" s="290" t="str">
        <f t="shared" si="9"/>
        <v>0</v>
      </c>
      <c r="L5" s="285" t="str">
        <f t="array" ref="L5">XLOOKUP(A5,'DADOS DE VENDA'!Y:Y,'DADOS DE VENDA'!AC:AC,"RUPTURA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15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2" t="str">
        <f t="array" ref="I6">XLOOKUP(A6,'DADOS DE VENDA'!Y:Y,'DADOS DE VENDA'!AB:AB,"SEM VENDA")</f>
        <v>#REF!</v>
      </c>
      <c r="J6" s="289" t="str">
        <f t="shared" si="8"/>
        <v>0</v>
      </c>
      <c r="K6" s="290" t="str">
        <f t="shared" si="9"/>
        <v>0</v>
      </c>
      <c r="L6" s="285" t="str">
        <f t="array" ref="L6">XLOOKUP(A6,'DADOS DE VENDA'!Y:Y,'DADOS DE VENDA'!AC:AC,"RUPTURA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6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4">('[1]ESCALA DE PRODUÇÃO'!V7)</f>
        <v>#REF!</v>
      </c>
      <c r="B8" s="275" t="str">
        <f t="shared" ref="B8:B10" si="15">XLOOKUP(A8,'[1]ESCALA DE PRODUÇÃO'!$AL$1:$AL$1048566,'[1]ESCALA DE PRODUÇÃO'!$AJ$1:$AJ$1048566,"NÃO ENCOTRADO")</f>
        <v>#REF!</v>
      </c>
      <c r="C8" s="276">
        <v>5.0</v>
      </c>
      <c r="D8" s="277" t="str">
        <f t="shared" ref="D8:D10" si="16">XLOOKUP(A8,'[1]ESCALA DE PRODUÇÃO'!$AL$1:$AL$1048566,'[1]ESCALA DE PRODUÇÃO'!$AK$1:$AK$1048566,"0")</f>
        <v>#REF!</v>
      </c>
      <c r="E8" s="278" t="str">
        <f t="shared" ref="E8:E10" si="17">('[1]ESCALA DE PRODUÇÃO'!X7)</f>
        <v>#REF!</v>
      </c>
      <c r="F8" s="279" t="str">
        <f t="shared" ref="F8:F10" si="18">IFERROR(C8/E8,"0")</f>
        <v>0</v>
      </c>
      <c r="G8" s="280" t="str">
        <f t="shared" ref="G8:G10" si="19">XLOOKUP(A8,'[1]ESCALA DE PRODUÇÃO'!$AL$1:$AL$1048566,'[1]ESCALA DE PRODUÇÃO'!$AM$1:$AM$1048566,"SEM PREÇO")</f>
        <v>#REF!</v>
      </c>
      <c r="H8" s="287" t="str">
        <f t="shared" ref="H8:H10" si="20">IFERROR(C8*G8,"0")</f>
        <v>0</v>
      </c>
      <c r="I8" s="282" t="str">
        <f t="array" ref="I8">XLOOKUP(A8,'DADOS DE VENDA'!Y:Y,'DADOS DE VENDA'!AB:AB,"SEM VENDA")</f>
        <v>#REF!</v>
      </c>
      <c r="J8" s="289" t="str">
        <f t="shared" ref="J8:J10" si="21">IFERROR(I8/E8,"0")</f>
        <v>0</v>
      </c>
      <c r="K8" s="290" t="str">
        <f t="shared" ref="K8:K10" si="22">IFERROR(I8*G8,"0")</f>
        <v>0</v>
      </c>
      <c r="L8" s="285" t="str">
        <f t="array" ref="L8">XLOOKUP(A8,'DADOS DE VENDA'!Y:Y,'DADOS DE VENDA'!AC:AC,"RUPTURA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3">(A8)</f>
        <v>#REF!</v>
      </c>
      <c r="Q8" s="275" t="str">
        <f t="shared" ref="Q8:Q10" si="24">XLOOKUP(P8,'[1]ESCALA DE PRODUÇÃO'!$AL$1:$AL$1048566,'[1]ESCALA DE PRODUÇÃO'!$AJ$1:$AJ$1048566,"NÃO ENCOTRADO")</f>
        <v>#REF!</v>
      </c>
      <c r="R8" s="276">
        <f t="shared" ref="R8:R10" si="25">C8</f>
        <v>5</v>
      </c>
      <c r="S8" s="279" t="str">
        <f t="shared" ref="S8:S10" si="26">(F8)</f>
        <v>0</v>
      </c>
    </row>
    <row r="9" ht="14.25" customHeight="1">
      <c r="A9" s="277" t="str">
        <f t="shared" si="14"/>
        <v>#REF!</v>
      </c>
      <c r="B9" s="275" t="str">
        <f t="shared" si="15"/>
        <v>#REF!</v>
      </c>
      <c r="C9" s="276">
        <v>6.0</v>
      </c>
      <c r="D9" s="277" t="str">
        <f t="shared" si="16"/>
        <v>#REF!</v>
      </c>
      <c r="E9" s="278" t="str">
        <f t="shared" si="17"/>
        <v>#REF!</v>
      </c>
      <c r="F9" s="279" t="str">
        <f t="shared" si="18"/>
        <v>0</v>
      </c>
      <c r="G9" s="280" t="str">
        <f t="shared" si="19"/>
        <v>#REF!</v>
      </c>
      <c r="H9" s="287" t="str">
        <f t="shared" si="20"/>
        <v>0</v>
      </c>
      <c r="I9" s="282" t="str">
        <f t="array" ref="I9">XLOOKUP(A9,'DADOS DE VENDA'!Y:Y,'DADOS DE VENDA'!AB:AB,"SEM VENDA")</f>
        <v>#REF!</v>
      </c>
      <c r="J9" s="289" t="str">
        <f t="shared" si="21"/>
        <v>0</v>
      </c>
      <c r="K9" s="290" t="str">
        <f t="shared" si="22"/>
        <v>0</v>
      </c>
      <c r="L9" s="285" t="str">
        <f t="array" ref="L9">XLOOKUP(A9,'DADOS DE VENDA'!Y:Y,'DADOS DE VENDA'!AC:AC,"RUPTURA NO PERIODO")</f>
        <v>#REF!</v>
      </c>
      <c r="M9" s="286" t="str">
        <f t="array" ref="M9">IFS(C9&lt;I9,"ABAIXO",C9&gt;I9,"ACIMA",C9=I9,"OK")</f>
        <v>#REF!</v>
      </c>
      <c r="P9" s="274" t="str">
        <f t="shared" si="23"/>
        <v>#REF!</v>
      </c>
      <c r="Q9" s="275" t="str">
        <f t="shared" si="24"/>
        <v>#REF!</v>
      </c>
      <c r="R9" s="276">
        <f t="shared" si="25"/>
        <v>6</v>
      </c>
      <c r="S9" s="279" t="str">
        <f t="shared" si="26"/>
        <v>0</v>
      </c>
    </row>
    <row r="10" ht="14.25" customHeight="1">
      <c r="A10" s="277" t="str">
        <f t="shared" si="14"/>
        <v>#REF!</v>
      </c>
      <c r="B10" s="275" t="str">
        <f t="shared" si="15"/>
        <v>#REF!</v>
      </c>
      <c r="C10" s="276">
        <v>0.0</v>
      </c>
      <c r="D10" s="277" t="str">
        <f t="shared" si="16"/>
        <v>#REF!</v>
      </c>
      <c r="E10" s="278" t="str">
        <f t="shared" si="17"/>
        <v>#REF!</v>
      </c>
      <c r="F10" s="279" t="str">
        <f t="shared" si="18"/>
        <v>0</v>
      </c>
      <c r="G10" s="280" t="str">
        <f t="shared" si="19"/>
        <v>#REF!</v>
      </c>
      <c r="H10" s="287" t="str">
        <f t="shared" si="20"/>
        <v>0</v>
      </c>
      <c r="I10" s="282" t="str">
        <f t="array" ref="I10">XLOOKUP(A10,'DADOS DE VENDA'!Y:Y,'DADOS DE VENDA'!AB:AB,"SEM VENDA")</f>
        <v>#REF!</v>
      </c>
      <c r="J10" s="289" t="str">
        <f t="shared" si="21"/>
        <v>0</v>
      </c>
      <c r="K10" s="290" t="str">
        <f t="shared" si="22"/>
        <v>0</v>
      </c>
      <c r="L10" s="285" t="str">
        <f t="array" ref="L10">XLOOKUP(A10,'DADOS DE VENDA'!Y:Y,'DADOS DE VENDA'!AC:AC,"RUPTURA NO PERIODO")</f>
        <v>#REF!</v>
      </c>
      <c r="M10" s="286" t="str">
        <f t="array" ref="M10">IFS(C10&lt;I10,"ABAIXO",C10&gt;I10,"ACIMA",C10=I10,"OK")</f>
        <v>#REF!</v>
      </c>
      <c r="P10" s="274" t="str">
        <f t="shared" si="23"/>
        <v>#REF!</v>
      </c>
      <c r="Q10" s="275" t="str">
        <f t="shared" si="24"/>
        <v>#REF!</v>
      </c>
      <c r="R10" s="276">
        <f t="shared" si="25"/>
        <v>0</v>
      </c>
      <c r="S10" s="279" t="str">
        <f t="shared" si="26"/>
        <v>0</v>
      </c>
    </row>
    <row r="11" ht="14.25" customHeight="1">
      <c r="A11" s="26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7">('[1]ESCALA DE PRODUÇÃO'!V11)</f>
        <v>#REF!</v>
      </c>
      <c r="B12" s="275" t="str">
        <f t="shared" ref="B12:B13" si="28">XLOOKUP(A12,'[1]ESCALA DE PRODUÇÃO'!$AL$1:$AL$1048566,'[1]ESCALA DE PRODUÇÃO'!$AJ$1:$AJ$1048566,"NÃO ENCOTRADO")</f>
        <v>#REF!</v>
      </c>
      <c r="C12" s="276">
        <v>1.8</v>
      </c>
      <c r="D12" s="277" t="str">
        <f t="shared" ref="D12:D13" si="29">XLOOKUP(A12,'[1]ESCALA DE PRODUÇÃO'!$AL$1:$AL$1048566,'[1]ESCALA DE PRODUÇÃO'!$AK$1:$AK$1048566,"0")</f>
        <v>#REF!</v>
      </c>
      <c r="E12" s="278" t="str">
        <f t="shared" ref="E12:E13" si="30">('[1]ESCALA DE PRODUÇÃO'!X11)</f>
        <v>#REF!</v>
      </c>
      <c r="F12" s="279" t="str">
        <f t="shared" ref="F12:F13" si="31">IFERROR(C12/E12,"0")</f>
        <v>0</v>
      </c>
      <c r="G12" s="280" t="str">
        <f t="shared" ref="G12:G13" si="32">XLOOKUP(A12,'[1]ESCALA DE PRODUÇÃO'!$AL$1:$AL$1048566,'[1]ESCALA DE PRODUÇÃO'!$AM$1:$AM$1048566,"SEM PREÇO")</f>
        <v>#REF!</v>
      </c>
      <c r="H12" s="287" t="str">
        <f t="shared" ref="H12:H13" si="33">IFERROR(C12*G12,"0")</f>
        <v>0</v>
      </c>
      <c r="I12" s="282" t="str">
        <f t="array" ref="I12">XLOOKUP(A12,'DADOS DE VENDA'!Y:Y,'DADOS DE VENDA'!AB:AB,"SEM VENDA")</f>
        <v>#REF!</v>
      </c>
      <c r="J12" s="289" t="str">
        <f t="shared" ref="J12:J13" si="34">IFERROR(I12/E12,"0")</f>
        <v>0</v>
      </c>
      <c r="K12" s="290" t="str">
        <f t="shared" ref="K12:K13" si="35">IFERROR(I12*G12,"0")</f>
        <v>0</v>
      </c>
      <c r="L12" s="285" t="str">
        <f t="array" ref="L12">XLOOKUP(A12,'DADOS DE VENDA'!Y:Y,'DADOS DE VENDA'!AC:AC,"RUPTURA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6">(A12)</f>
        <v>#REF!</v>
      </c>
      <c r="Q12" s="275" t="str">
        <f t="shared" ref="Q12:Q13" si="37">XLOOKUP(P12,'[1]ESCALA DE PRODUÇÃO'!$AL$1:$AL$1048566,'[1]ESCALA DE PRODUÇÃO'!$AJ$1:$AJ$1048566,"NÃO ENCOTRADO")</f>
        <v>#REF!</v>
      </c>
      <c r="R12" s="276">
        <f t="shared" ref="R12:R13" si="38">C12</f>
        <v>1.8</v>
      </c>
      <c r="S12" s="279" t="str">
        <f t="shared" ref="S12:S13" si="39">(F12)</f>
        <v>0</v>
      </c>
    </row>
    <row r="13" ht="14.25" customHeight="1">
      <c r="A13" s="277" t="str">
        <f t="shared" si="27"/>
        <v>#REF!</v>
      </c>
      <c r="B13" s="275" t="str">
        <f t="shared" si="28"/>
        <v>#REF!</v>
      </c>
      <c r="C13" s="276">
        <v>0.0</v>
      </c>
      <c r="D13" s="277" t="str">
        <f t="shared" si="29"/>
        <v>#REF!</v>
      </c>
      <c r="E13" s="278" t="str">
        <f t="shared" si="30"/>
        <v>#REF!</v>
      </c>
      <c r="F13" s="279" t="str">
        <f t="shared" si="31"/>
        <v>0</v>
      </c>
      <c r="G13" s="280" t="str">
        <f t="shared" si="32"/>
        <v>#REF!</v>
      </c>
      <c r="H13" s="287" t="str">
        <f t="shared" si="33"/>
        <v>0</v>
      </c>
      <c r="I13" s="282" t="str">
        <f t="array" ref="I13">XLOOKUP(A13,'DADOS DE VENDA'!Y:Y,'DADOS DE VENDA'!AB:AB,"SEM VENDA")</f>
        <v>#REF!</v>
      </c>
      <c r="J13" s="289" t="str">
        <f t="shared" si="34"/>
        <v>0</v>
      </c>
      <c r="K13" s="290" t="str">
        <f t="shared" si="35"/>
        <v>0</v>
      </c>
      <c r="L13" s="285" t="str">
        <f t="array" ref="L13">XLOOKUP(A13,'DADOS DE VENDA'!Y:Y,'DADOS DE VENDA'!AC:AC,"RUPTURA NO PERIODO")</f>
        <v>#REF!</v>
      </c>
      <c r="M13" s="286" t="str">
        <f t="array" ref="M13">IFS(C13&lt;I13,"ABAIXO",C13&gt;I13,"ACIMA",C13=I13,"OK")</f>
        <v>#REF!</v>
      </c>
      <c r="P13" s="274" t="str">
        <f t="shared" si="36"/>
        <v>#REF!</v>
      </c>
      <c r="Q13" s="275" t="str">
        <f t="shared" si="37"/>
        <v>#REF!</v>
      </c>
      <c r="R13" s="276">
        <f t="shared" si="38"/>
        <v>0</v>
      </c>
      <c r="S13" s="279" t="str">
        <f t="shared" si="39"/>
        <v>0</v>
      </c>
    </row>
    <row r="14" ht="14.25" customHeight="1">
      <c r="A14" s="26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40">('[1]ESCALA DE PRODUÇÃO'!V14)</f>
        <v>#REF!</v>
      </c>
      <c r="B15" s="275" t="str">
        <f t="shared" ref="B15:B16" si="41">XLOOKUP(A15,'[1]ESCALA DE PRODUÇÃO'!$AL$1:$AL$1048566,'[1]ESCALA DE PRODUÇÃO'!$AJ$1:$AJ$1048566,"NÃO ENCOTRADO")</f>
        <v>#REF!</v>
      </c>
      <c r="C15" s="276">
        <v>1.5</v>
      </c>
      <c r="D15" s="277" t="str">
        <f t="shared" ref="D15:D16" si="42">XLOOKUP(A15,'[1]ESCALA DE PRODUÇÃO'!$AL$1:$AL$1048566,'[1]ESCALA DE PRODUÇÃO'!$AK$1:$AK$1048566,"0")</f>
        <v>#REF!</v>
      </c>
      <c r="E15" s="278" t="str">
        <f t="shared" ref="E15:E16" si="43">('[1]ESCALA DE PRODUÇÃO'!X14)</f>
        <v>#REF!</v>
      </c>
      <c r="F15" s="279" t="str">
        <f t="shared" ref="F15:F16" si="44">IFERROR(C15/E15,"0")</f>
        <v>0</v>
      </c>
      <c r="G15" s="280" t="str">
        <f t="shared" ref="G15:G16" si="45">XLOOKUP(A15,'[1]ESCALA DE PRODUÇÃO'!$AL$1:$AL$1048566,'[1]ESCALA DE PRODUÇÃO'!$AM$1:$AM$1048566,"SEM PREÇO")</f>
        <v>#REF!</v>
      </c>
      <c r="H15" s="287" t="str">
        <f t="shared" ref="H15:H16" si="46">IFERROR(C15*G15,"0")</f>
        <v>0</v>
      </c>
      <c r="I15" s="282" t="str">
        <f t="array" ref="I15">XLOOKUP(A15,'DADOS DE VENDA'!Y:Y,'DADOS DE VENDA'!AB:AB,"SEM VENDA")</f>
        <v>#REF!</v>
      </c>
      <c r="J15" s="289" t="str">
        <f t="shared" ref="J15:J16" si="47">IFERROR(I15/E15,"0")</f>
        <v>0</v>
      </c>
      <c r="K15" s="290" t="str">
        <f t="shared" ref="K15:K16" si="48">IFERROR(I15*G15,"0")</f>
        <v>0</v>
      </c>
      <c r="L15" s="285" t="str">
        <f t="array" ref="L15">XLOOKUP(A15,'DADOS DE VENDA'!Y:Y,'DADOS DE VENDA'!AC:AC,"RUPTURA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9">(A15)</f>
        <v>#REF!</v>
      </c>
      <c r="Q15" s="275" t="str">
        <f t="shared" ref="Q15:Q16" si="50">XLOOKUP(P15,'[1]ESCALA DE PRODUÇÃO'!$AL$1:$AL$1048566,'[1]ESCALA DE PRODUÇÃO'!$AJ$1:$AJ$1048566,"NÃO ENCOTRADO")</f>
        <v>#REF!</v>
      </c>
      <c r="R15" s="276">
        <f t="shared" ref="R15:R16" si="51">C15</f>
        <v>1.5</v>
      </c>
      <c r="S15" s="279" t="str">
        <f t="shared" ref="S15:S16" si="52">(F15)</f>
        <v>0</v>
      </c>
    </row>
    <row r="16" ht="14.25" customHeight="1">
      <c r="A16" s="277" t="str">
        <f t="shared" si="40"/>
        <v>#REF!</v>
      </c>
      <c r="B16" s="275" t="str">
        <f t="shared" si="41"/>
        <v>#REF!</v>
      </c>
      <c r="C16" s="276">
        <v>0.0</v>
      </c>
      <c r="D16" s="277" t="str">
        <f t="shared" si="42"/>
        <v>#REF!</v>
      </c>
      <c r="E16" s="278" t="str">
        <f t="shared" si="43"/>
        <v>#REF!</v>
      </c>
      <c r="F16" s="279" t="str">
        <f t="shared" si="44"/>
        <v>0</v>
      </c>
      <c r="G16" s="280" t="str">
        <f t="shared" si="45"/>
        <v>#REF!</v>
      </c>
      <c r="H16" s="287" t="str">
        <f t="shared" si="46"/>
        <v>0</v>
      </c>
      <c r="I16" s="282" t="str">
        <f t="array" ref="I16">XLOOKUP(A16,'DADOS DE VENDA'!Y:Y,'DADOS DE VENDA'!AB:AB,"SEM VENDA")</f>
        <v>#REF!</v>
      </c>
      <c r="J16" s="289" t="str">
        <f t="shared" si="47"/>
        <v>0</v>
      </c>
      <c r="K16" s="290" t="str">
        <f t="shared" si="48"/>
        <v>0</v>
      </c>
      <c r="L16" s="285" t="str">
        <f t="array" ref="L16">XLOOKUP(A16,'DADOS DE VENDA'!Y:Y,'DADOS DE VENDA'!AC:AC,"RUPTURA NO PERIODO")</f>
        <v>#REF!</v>
      </c>
      <c r="M16" s="286" t="str">
        <f t="array" ref="M16">IFS(C16&lt;I16,"ABAIXO",C16&gt;I16,"ACIMA",C16=I16,"OK")</f>
        <v>#REF!</v>
      </c>
      <c r="P16" s="274" t="str">
        <f t="shared" si="49"/>
        <v>#REF!</v>
      </c>
      <c r="Q16" s="275" t="str">
        <f t="shared" si="50"/>
        <v>#REF!</v>
      </c>
      <c r="R16" s="276">
        <f t="shared" si="51"/>
        <v>0</v>
      </c>
      <c r="S16" s="279" t="str">
        <f t="shared" si="52"/>
        <v>0</v>
      </c>
    </row>
    <row r="17" ht="14.25" customHeight="1">
      <c r="A17" s="26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3">('[1]ESCALA DE PRODUÇÃO'!V17)</f>
        <v>#REF!</v>
      </c>
      <c r="B18" s="275" t="str">
        <f t="shared" ref="B18:B20" si="54">XLOOKUP(A18,'[1]ESCALA DE PRODUÇÃO'!$AL$1:$AL$1048566,'[1]ESCALA DE PRODUÇÃO'!$AJ$1:$AJ$1048566,"NÃO ENCOTRADO")</f>
        <v>#REF!</v>
      </c>
      <c r="C18" s="276">
        <v>2.0</v>
      </c>
      <c r="D18" s="277" t="str">
        <f t="shared" ref="D18:D20" si="55">XLOOKUP(A18,'[1]ESCALA DE PRODUÇÃO'!$AL$1:$AL$1048566,'[1]ESCALA DE PRODUÇÃO'!$AK$1:$AK$1048566,"0")</f>
        <v>#REF!</v>
      </c>
      <c r="E18" s="278" t="str">
        <f t="shared" ref="E18:E20" si="56">('[1]ESCALA DE PRODUÇÃO'!X17)</f>
        <v>#REF!</v>
      </c>
      <c r="F18" s="279" t="str">
        <f t="shared" ref="F18:F20" si="57">IFERROR(C18/E18,"0")</f>
        <v>0</v>
      </c>
      <c r="G18" s="280" t="str">
        <f t="shared" ref="G18:G20" si="58">XLOOKUP(A18,'[1]ESCALA DE PRODUÇÃO'!$AL$1:$AL$1048566,'[1]ESCALA DE PRODUÇÃO'!$AM$1:$AM$1048566,"SEM PREÇO")</f>
        <v>#REF!</v>
      </c>
      <c r="H18" s="287" t="str">
        <f t="shared" ref="H18:H20" si="59">IFERROR(C18*G18,"0")</f>
        <v>0</v>
      </c>
      <c r="I18" s="282" t="str">
        <f t="array" ref="I18">XLOOKUP(A18,'DADOS DE VENDA'!Y:Y,'DADOS DE VENDA'!AB:AB,"SEM VENDA")</f>
        <v>#REF!</v>
      </c>
      <c r="J18" s="289" t="str">
        <f t="shared" ref="J18:J20" si="60">IFERROR(I18/E18,"0")</f>
        <v>0</v>
      </c>
      <c r="K18" s="290" t="str">
        <f t="shared" ref="K18:K20" si="61">IFERROR(I18*G18,"0")</f>
        <v>0</v>
      </c>
      <c r="L18" s="285" t="str">
        <f t="array" ref="L18">XLOOKUP(A18,'DADOS DE VENDA'!Y:Y,'DADOS DE VENDA'!AC:AC,"RUPTURA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2">(A18)</f>
        <v>#REF!</v>
      </c>
      <c r="Q18" s="275" t="str">
        <f t="shared" ref="Q18:Q20" si="63">XLOOKUP(P18,'[1]ESCALA DE PRODUÇÃO'!$AL$1:$AL$1048566,'[1]ESCALA DE PRODUÇÃO'!$AJ$1:$AJ$1048566,"NÃO ENCOTRADO")</f>
        <v>#REF!</v>
      </c>
      <c r="R18" s="276">
        <f t="shared" ref="R18:R20" si="64">C18</f>
        <v>2</v>
      </c>
      <c r="S18" s="279" t="str">
        <f t="shared" ref="S18:S20" si="65">(F18)</f>
        <v>0</v>
      </c>
    </row>
    <row r="19" ht="14.25" customHeight="1">
      <c r="A19" s="277" t="str">
        <f t="shared" si="53"/>
        <v>#REF!</v>
      </c>
      <c r="B19" s="275" t="str">
        <f t="shared" si="54"/>
        <v>#REF!</v>
      </c>
      <c r="C19" s="276">
        <v>2.0</v>
      </c>
      <c r="D19" s="277" t="str">
        <f t="shared" si="55"/>
        <v>#REF!</v>
      </c>
      <c r="E19" s="278" t="str">
        <f t="shared" si="56"/>
        <v>#REF!</v>
      </c>
      <c r="F19" s="279" t="str">
        <f t="shared" si="57"/>
        <v>0</v>
      </c>
      <c r="G19" s="280" t="str">
        <f t="shared" si="58"/>
        <v>#REF!</v>
      </c>
      <c r="H19" s="287" t="str">
        <f t="shared" si="59"/>
        <v>0</v>
      </c>
      <c r="I19" s="282" t="str">
        <f t="array" ref="I19">XLOOKUP(A19,'DADOS DE VENDA'!Y:Y,'DADOS DE VENDA'!AB:AB,"SEM VENDA")</f>
        <v>#REF!</v>
      </c>
      <c r="J19" s="289" t="str">
        <f t="shared" si="60"/>
        <v>0</v>
      </c>
      <c r="K19" s="290" t="str">
        <f t="shared" si="61"/>
        <v>0</v>
      </c>
      <c r="L19" s="285" t="str">
        <f t="array" ref="L19">XLOOKUP(A19,'DADOS DE VENDA'!Y:Y,'DADOS DE VENDA'!AC:AC,"RUPTURA NO PERIODO")</f>
        <v>#REF!</v>
      </c>
      <c r="M19" s="286" t="str">
        <f t="array" ref="M19">IFS(C19&lt;I19,"ABAIXO",C19&gt;I19,"ACIMA",C19=I19,"OK")</f>
        <v>#REF!</v>
      </c>
      <c r="P19" s="274" t="str">
        <f t="shared" si="62"/>
        <v>#REF!</v>
      </c>
      <c r="Q19" s="275" t="str">
        <f t="shared" si="63"/>
        <v>#REF!</v>
      </c>
      <c r="R19" s="276">
        <f t="shared" si="64"/>
        <v>2</v>
      </c>
      <c r="S19" s="279" t="str">
        <f t="shared" si="65"/>
        <v>0</v>
      </c>
    </row>
    <row r="20" ht="14.25" customHeight="1">
      <c r="A20" s="277" t="str">
        <f t="shared" si="53"/>
        <v>#REF!</v>
      </c>
      <c r="B20" s="275" t="str">
        <f t="shared" si="54"/>
        <v>#REF!</v>
      </c>
      <c r="C20" s="276">
        <v>0.0</v>
      </c>
      <c r="D20" s="277" t="str">
        <f t="shared" si="55"/>
        <v>#REF!</v>
      </c>
      <c r="E20" s="278" t="str">
        <f t="shared" si="56"/>
        <v>#REF!</v>
      </c>
      <c r="F20" s="279" t="str">
        <f t="shared" si="57"/>
        <v>0</v>
      </c>
      <c r="G20" s="280" t="str">
        <f t="shared" si="58"/>
        <v>#REF!</v>
      </c>
      <c r="H20" s="287" t="str">
        <f t="shared" si="59"/>
        <v>0</v>
      </c>
      <c r="I20" s="282" t="str">
        <f t="array" ref="I20">XLOOKUP(A20,'DADOS DE VENDA'!Y:Y,'DADOS DE VENDA'!AB:AB,"SEM VENDA")</f>
        <v>#REF!</v>
      </c>
      <c r="J20" s="289" t="str">
        <f t="shared" si="60"/>
        <v>0</v>
      </c>
      <c r="K20" s="290" t="str">
        <f t="shared" si="61"/>
        <v>0</v>
      </c>
      <c r="L20" s="285" t="str">
        <f t="array" ref="L20">XLOOKUP(A20,'DADOS DE VENDA'!Y:Y,'DADOS DE VENDA'!AC:AC,"RUPTURA NO PERIODO")</f>
        <v>#REF!</v>
      </c>
      <c r="M20" s="286" t="str">
        <f t="array" ref="M20">IFS(C20&lt;I20,"ABAIXO",C20&gt;I20,"ACIMA",C20=I20,"OK")</f>
        <v>#REF!</v>
      </c>
      <c r="P20" s="274" t="str">
        <f t="shared" si="62"/>
        <v>#REF!</v>
      </c>
      <c r="Q20" s="275" t="str">
        <f t="shared" si="63"/>
        <v>#REF!</v>
      </c>
      <c r="R20" s="276">
        <f t="shared" si="64"/>
        <v>0</v>
      </c>
      <c r="S20" s="279" t="str">
        <f t="shared" si="65"/>
        <v>0</v>
      </c>
    </row>
    <row r="21" ht="14.25" customHeight="1">
      <c r="A21" s="26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ref="A22:A24" si="66">('[1]ESCALA DE PRODUÇÃO'!V21)</f>
        <v>#REF!</v>
      </c>
      <c r="B22" s="275" t="str">
        <f t="shared" ref="B22:B24" si="67">XLOOKUP(A22,'[1]ESCALA DE PRODUÇÃO'!$AL$1:$AL$1048566,'[1]ESCALA DE PRODUÇÃO'!$AJ$1:$AJ$1048566,"NÃO ENCOTRADO")</f>
        <v>#REF!</v>
      </c>
      <c r="C22" s="276">
        <v>2.1</v>
      </c>
      <c r="D22" s="277" t="str">
        <f t="shared" ref="D22:D24" si="68">XLOOKUP(A22,'[1]ESCALA DE PRODUÇÃO'!$AL$1:$AL$1048566,'[1]ESCALA DE PRODUÇÃO'!$AK$1:$AK$1048566,"0")</f>
        <v>#REF!</v>
      </c>
      <c r="E22" s="278" t="str">
        <f t="shared" ref="E22:E24" si="69">('[1]ESCALA DE PRODUÇÃO'!X21)</f>
        <v>#REF!</v>
      </c>
      <c r="F22" s="279" t="str">
        <f t="shared" ref="F22:F24" si="70">IFERROR(C22/E22,"0")</f>
        <v>0</v>
      </c>
      <c r="G22" s="280" t="str">
        <f t="shared" ref="G22:G24" si="71">XLOOKUP(A22,'[1]ESCALA DE PRODUÇÃO'!$AL$1:$AL$1048566,'[1]ESCALA DE PRODUÇÃO'!$AM$1:$AM$1048566,"SEM PREÇO")</f>
        <v>#REF!</v>
      </c>
      <c r="H22" s="287" t="str">
        <f t="shared" ref="H22:H24" si="72">IFERROR(C22*G22,"0")</f>
        <v>0</v>
      </c>
      <c r="I22" s="282" t="str">
        <f t="array" ref="I22">XLOOKUP(A22,'DADOS DE VENDA'!Y:Y,'DADOS DE VENDA'!AB:AB,"SEM VENDA")</f>
        <v>#REF!</v>
      </c>
      <c r="J22" s="289" t="str">
        <f t="shared" ref="J22:J24" si="73">IFERROR(I22/E22,"0")</f>
        <v>0</v>
      </c>
      <c r="K22" s="290" t="str">
        <f t="shared" ref="K22:K24" si="74">IFERROR(I22*G22,"0")</f>
        <v>0</v>
      </c>
      <c r="L22" s="285" t="str">
        <f t="array" ref="L22">XLOOKUP(A22,'DADOS DE VENDA'!Y:Y,'DADOS DE VENDA'!AC:AC,"RUPTURA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5">(A22)</f>
        <v>#REF!</v>
      </c>
      <c r="Q22" s="275" t="str">
        <f t="shared" ref="Q22:Q24" si="76">XLOOKUP(P22,'[1]ESCALA DE PRODUÇÃO'!$AL$1:$AL$1048566,'[1]ESCALA DE PRODUÇÃO'!$AJ$1:$AJ$1048566,"NÃO ENCOTRADO")</f>
        <v>#REF!</v>
      </c>
      <c r="R22" s="276">
        <f t="shared" ref="R22:R24" si="77">C22</f>
        <v>2.1</v>
      </c>
      <c r="S22" s="279" t="str">
        <f t="shared" ref="S22:S24" si="78">(F22)</f>
        <v>0</v>
      </c>
    </row>
    <row r="23" ht="14.25" customHeight="1">
      <c r="A23" s="277" t="str">
        <f t="shared" si="66"/>
        <v>#REF!</v>
      </c>
      <c r="B23" s="275" t="str">
        <f t="shared" si="67"/>
        <v>#REF!</v>
      </c>
      <c r="C23" s="276">
        <v>2.0</v>
      </c>
      <c r="D23" s="277" t="str">
        <f t="shared" si="68"/>
        <v>#REF!</v>
      </c>
      <c r="E23" s="278" t="str">
        <f t="shared" si="69"/>
        <v>#REF!</v>
      </c>
      <c r="F23" s="279" t="str">
        <f t="shared" si="70"/>
        <v>0</v>
      </c>
      <c r="G23" s="280" t="str">
        <f t="shared" si="71"/>
        <v>#REF!</v>
      </c>
      <c r="H23" s="287" t="str">
        <f t="shared" si="72"/>
        <v>0</v>
      </c>
      <c r="I23" s="282" t="str">
        <f t="array" ref="I23">XLOOKUP(A23,'DADOS DE VENDA'!Y:Y,'DADOS DE VENDA'!AB:AB,"SEM VENDA")</f>
        <v>#REF!</v>
      </c>
      <c r="J23" s="289" t="str">
        <f t="shared" si="73"/>
        <v>0</v>
      </c>
      <c r="K23" s="290" t="str">
        <f t="shared" si="74"/>
        <v>0</v>
      </c>
      <c r="L23" s="285" t="str">
        <f t="array" ref="L23">XLOOKUP(A23,'DADOS DE VENDA'!Y:Y,'DADOS DE VENDA'!AC:AC,"RUPTURA NO PERIODO")</f>
        <v>#REF!</v>
      </c>
      <c r="M23" s="286" t="str">
        <f t="array" ref="M23">IFS(C23&lt;I23,"ABAIXO",C23&gt;I23,"ACIMA",C23=I23,"OK")</f>
        <v>#REF!</v>
      </c>
      <c r="P23" s="274" t="str">
        <f t="shared" si="75"/>
        <v>#REF!</v>
      </c>
      <c r="Q23" s="275" t="str">
        <f t="shared" si="76"/>
        <v>#REF!</v>
      </c>
      <c r="R23" s="276">
        <f t="shared" si="77"/>
        <v>2</v>
      </c>
      <c r="S23" s="279" t="str">
        <f t="shared" si="78"/>
        <v>0</v>
      </c>
    </row>
    <row r="24" ht="14.25" customHeight="1">
      <c r="A24" s="277" t="str">
        <f t="shared" si="66"/>
        <v>#REF!</v>
      </c>
      <c r="B24" s="275" t="str">
        <f t="shared" si="67"/>
        <v>#REF!</v>
      </c>
      <c r="C24" s="276">
        <v>0.0</v>
      </c>
      <c r="D24" s="277" t="str">
        <f t="shared" si="68"/>
        <v>#REF!</v>
      </c>
      <c r="E24" s="278" t="str">
        <f t="shared" si="69"/>
        <v>#REF!</v>
      </c>
      <c r="F24" s="279" t="str">
        <f t="shared" si="70"/>
        <v>0</v>
      </c>
      <c r="G24" s="280" t="str">
        <f t="shared" si="71"/>
        <v>#REF!</v>
      </c>
      <c r="H24" s="287" t="str">
        <f t="shared" si="72"/>
        <v>0</v>
      </c>
      <c r="I24" s="282" t="str">
        <f t="array" ref="I24">XLOOKUP(A24,'DADOS DE VENDA'!Y:Y,'DADOS DE VENDA'!AB:AB,"SEM VENDA")</f>
        <v>#REF!</v>
      </c>
      <c r="J24" s="289" t="str">
        <f t="shared" si="73"/>
        <v>0</v>
      </c>
      <c r="K24" s="290" t="str">
        <f t="shared" si="74"/>
        <v>0</v>
      </c>
      <c r="L24" s="285" t="str">
        <f t="array" ref="L24">XLOOKUP(A24,'DADOS DE VENDA'!Y:Y,'DADOS DE VENDA'!AC:AC,"RUPTURA NO PERIODO")</f>
        <v>#REF!</v>
      </c>
      <c r="M24" s="286" t="str">
        <f t="array" ref="M24">IFS(C24&lt;I24,"ABAIXO",C24&gt;I24,"ACIMA",C24=I24,"OK")</f>
        <v>#REF!</v>
      </c>
      <c r="P24" s="274" t="str">
        <f t="shared" si="75"/>
        <v>#REF!</v>
      </c>
      <c r="Q24" s="275" t="str">
        <f t="shared" si="76"/>
        <v>#REF!</v>
      </c>
      <c r="R24" s="276">
        <f t="shared" si="77"/>
        <v>0</v>
      </c>
      <c r="S24" s="279" t="str">
        <f t="shared" si="78"/>
        <v>0</v>
      </c>
    </row>
    <row r="25" ht="14.25" customHeight="1">
      <c r="A25" s="26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9">('[1]ESCALA DE PRODUÇÃO'!V26)</f>
        <v>#REF!</v>
      </c>
      <c r="B26" s="275" t="str">
        <f t="shared" ref="B26:B27" si="80">XLOOKUP(A26,'[1]ESCALA DE PRODUÇÃO'!$AL$1:$AL$1048566,'[1]ESCALA DE PRODUÇÃO'!$AJ$1:$AJ$1048566,"NÃO ENCOTRADO")</f>
        <v>#REF!</v>
      </c>
      <c r="C26" s="276">
        <v>0.0</v>
      </c>
      <c r="D26" s="277" t="str">
        <f t="shared" ref="D26:D27" si="81">XLOOKUP(A26,'[1]ESCALA DE PRODUÇÃO'!$AL$1:$AL$1048566,'[1]ESCALA DE PRODUÇÃO'!$AK$1:$AK$1048566,"0")</f>
        <v>#REF!</v>
      </c>
      <c r="E26" s="278" t="str">
        <f t="shared" ref="E26:E27" si="82">('[1]ESCALA DE PRODUÇÃO'!X25)</f>
        <v>#REF!</v>
      </c>
      <c r="F26" s="279" t="str">
        <f t="shared" ref="F26:F27" si="83">IFERROR(C26/E26,"0")</f>
        <v>0</v>
      </c>
      <c r="G26" s="280" t="str">
        <f t="shared" ref="G26:G27" si="84">XLOOKUP(A26,'[1]ESCALA DE PRODUÇÃO'!$AL$1:$AL$1048566,'[1]ESCALA DE PRODUÇÃO'!$AM$1:$AM$1048566,"SEM PREÇO")</f>
        <v>#REF!</v>
      </c>
      <c r="H26" s="287" t="str">
        <f t="shared" ref="H26:H27" si="85">IFERROR(C26*G26,"0")</f>
        <v>0</v>
      </c>
      <c r="I26" s="282" t="str">
        <f t="array" ref="I26">XLOOKUP(A26,'DADOS DE VENDA'!Y:Y,'DADOS DE VENDA'!AB:AB,"SEM VENDA")</f>
        <v>#REF!</v>
      </c>
      <c r="J26" s="289" t="str">
        <f t="shared" ref="J26:J27" si="86">IFERROR(I26/E26,"0")</f>
        <v>0</v>
      </c>
      <c r="K26" s="290" t="str">
        <f t="shared" ref="K26:K27" si="87">IFERROR(I26*G26,"0")</f>
        <v>0</v>
      </c>
      <c r="L26" s="285" t="str">
        <f t="array" ref="L26">XLOOKUP(A26,'DADOS DE VENDA'!Y:Y,'DADOS DE VENDA'!AC:AC,"RUPTURA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8">(A26)</f>
        <v>#REF!</v>
      </c>
      <c r="Q26" s="275" t="str">
        <f t="shared" ref="Q26:Q27" si="89">XLOOKUP(P26,'[1]ESCALA DE PRODUÇÃO'!$AL$1:$AL$1048566,'[1]ESCALA DE PRODUÇÃO'!$AJ$1:$AJ$1048566,"NÃO ENCOTRADO")</f>
        <v>#REF!</v>
      </c>
      <c r="R26" s="276">
        <f t="shared" ref="R26:R27" si="90">C26</f>
        <v>0</v>
      </c>
      <c r="S26" s="279" t="str">
        <f t="shared" ref="S26:S27" si="91">(F26)</f>
        <v>0</v>
      </c>
    </row>
    <row r="27" ht="14.25" customHeight="1">
      <c r="A27" s="293" t="str">
        <f t="shared" si="79"/>
        <v>#REF!</v>
      </c>
      <c r="B27" s="349" t="str">
        <f t="shared" si="80"/>
        <v>#REF!</v>
      </c>
      <c r="C27" s="292">
        <v>0.0</v>
      </c>
      <c r="D27" s="293" t="str">
        <f t="shared" si="81"/>
        <v>#REF!</v>
      </c>
      <c r="E27" s="278" t="str">
        <f t="shared" si="82"/>
        <v>#REF!</v>
      </c>
      <c r="F27" s="294" t="str">
        <f t="shared" si="83"/>
        <v>0</v>
      </c>
      <c r="G27" s="295" t="str">
        <f t="shared" si="84"/>
        <v>#REF!</v>
      </c>
      <c r="H27" s="296" t="str">
        <f t="shared" si="85"/>
        <v>0</v>
      </c>
      <c r="I27" s="282" t="str">
        <f t="array" ref="I27">XLOOKUP(A27,'DADOS DE VENDA'!Y:Y,'DADOS DE VENDA'!AB:AB,"SEM VENDA")</f>
        <v>#REF!</v>
      </c>
      <c r="J27" s="298" t="str">
        <f t="shared" si="86"/>
        <v>0</v>
      </c>
      <c r="K27" s="299" t="str">
        <f t="shared" si="87"/>
        <v>0</v>
      </c>
      <c r="L27" s="285" t="str">
        <f t="array" ref="L27">XLOOKUP(A27,'DADOS DE VENDA'!Y:Y,'DADOS DE VENDA'!AC:AC,"RUPTURA NO PERIODO")</f>
        <v>#REF!</v>
      </c>
      <c r="M27" s="301" t="str">
        <f t="array" ref="M27">IFS(C27&lt;I27,"ABAIXO",C27&gt;I27,"ACIMA",C27=I27,"OK")</f>
        <v>#REF!</v>
      </c>
      <c r="P27" s="274" t="str">
        <f t="shared" si="88"/>
        <v>#REF!</v>
      </c>
      <c r="Q27" s="302" t="str">
        <f t="shared" si="89"/>
        <v>#REF!</v>
      </c>
      <c r="R27" s="292">
        <f t="shared" si="90"/>
        <v>0</v>
      </c>
      <c r="S27" s="279" t="str">
        <f t="shared" si="91"/>
        <v>0</v>
      </c>
    </row>
    <row r="28" ht="14.25" customHeight="1">
      <c r="A28" s="350"/>
      <c r="B28" s="351" t="s">
        <v>1162</v>
      </c>
      <c r="C28" s="351" t="s">
        <v>1163</v>
      </c>
      <c r="D28" s="352"/>
      <c r="E28" s="353"/>
      <c r="F28" s="354" t="s">
        <v>1164</v>
      </c>
      <c r="G28" s="355">
        <f>SUM(H4+H5+H6+H8+H9+H10+H12+H13+H15+H16+H18+H19+H20+H22+H24+H26+H27)</f>
        <v>0</v>
      </c>
      <c r="H28" s="353"/>
      <c r="I28" s="282" t="str">
        <f t="array" ref="I28">XLOOKUP(A28,'DADOS DE VENDA'!Y:Y,'DADOS DE VENDA'!AB:AB,"SEM VENDA")</f>
        <v>SEM VENDA</v>
      </c>
      <c r="J28" s="357">
        <f>SUM(K4+K5+K6+K8+K9+K10+K12+K13+K15+K16+K18+K19+K20+K22+K24+K26+K27)</f>
        <v>0</v>
      </c>
      <c r="K28" s="353"/>
      <c r="L28" s="358"/>
      <c r="M28" s="359"/>
      <c r="P28" s="312" t="s">
        <v>1156</v>
      </c>
      <c r="Q28" s="313"/>
      <c r="R28" s="314">
        <f>G28</f>
        <v>0</v>
      </c>
      <c r="S28" s="313"/>
    </row>
    <row r="29" ht="14.25" customHeight="1">
      <c r="C29" s="315"/>
      <c r="E29" s="379"/>
      <c r="F29" s="316"/>
      <c r="G29" s="42"/>
      <c r="H29" s="42"/>
      <c r="I29" s="317"/>
      <c r="J29" s="380"/>
      <c r="K29" s="319"/>
      <c r="M29" s="331"/>
      <c r="R29" s="315"/>
      <c r="S29" s="316"/>
    </row>
    <row r="30" ht="14.25" customHeight="1">
      <c r="C30" s="315"/>
      <c r="E30" s="379"/>
      <c r="F30" s="316"/>
      <c r="G30" s="42"/>
      <c r="H30" s="42"/>
      <c r="I30" s="317"/>
      <c r="J30" s="380"/>
      <c r="K30" s="319"/>
      <c r="M30" s="331"/>
      <c r="R30" s="315"/>
      <c r="S30" s="316"/>
    </row>
    <row r="31" ht="14.25" customHeight="1">
      <c r="A31" s="389" t="s">
        <v>1180</v>
      </c>
      <c r="B31" s="250"/>
      <c r="C31" s="250"/>
      <c r="D31" s="250"/>
      <c r="E31" s="250"/>
      <c r="F31" s="250"/>
      <c r="G31" s="250"/>
      <c r="H31" s="251"/>
      <c r="I31" s="390" t="s">
        <v>1148</v>
      </c>
      <c r="J31" s="250"/>
      <c r="K31" s="250"/>
      <c r="L31" s="250"/>
      <c r="M31" s="254"/>
      <c r="P31" s="255" t="s">
        <v>1181</v>
      </c>
      <c r="Q31" s="256"/>
      <c r="R31" s="257" t="s">
        <v>12</v>
      </c>
      <c r="S31" s="258">
        <f>S1</f>
        <v>46045</v>
      </c>
    </row>
    <row r="32" ht="14.25" customHeight="1">
      <c r="A32" s="259" t="s">
        <v>1166</v>
      </c>
      <c r="B32" s="260"/>
      <c r="C32" s="266" t="s">
        <v>1149</v>
      </c>
      <c r="D32" s="263"/>
      <c r="E32" s="263"/>
      <c r="F32" s="263"/>
      <c r="G32" s="263"/>
      <c r="H32" s="264"/>
      <c r="I32" s="262" t="s">
        <v>1150</v>
      </c>
      <c r="J32" s="263"/>
      <c r="K32" s="263"/>
      <c r="L32" s="263"/>
      <c r="M32" s="265"/>
      <c r="P32" s="259" t="s">
        <v>1166</v>
      </c>
      <c r="Q32" s="260"/>
      <c r="R32" s="266" t="s">
        <v>1149</v>
      </c>
      <c r="S32" s="267"/>
    </row>
    <row r="33" ht="14.25" customHeight="1">
      <c r="A33" s="268" t="s">
        <v>271</v>
      </c>
      <c r="B33" s="269" t="s">
        <v>1168</v>
      </c>
      <c r="C33" s="270" t="s">
        <v>1151</v>
      </c>
      <c r="D33" s="270" t="s">
        <v>1152</v>
      </c>
      <c r="E33" s="270" t="s">
        <v>1153</v>
      </c>
      <c r="F33" s="270" t="s">
        <v>1154</v>
      </c>
      <c r="G33" s="271" t="s">
        <v>1155</v>
      </c>
      <c r="H33" s="270" t="s">
        <v>1156</v>
      </c>
      <c r="I33" s="272" t="s">
        <v>1157</v>
      </c>
      <c r="J33" s="272" t="s">
        <v>1158</v>
      </c>
      <c r="K33" s="272" t="s">
        <v>1159</v>
      </c>
      <c r="L33" s="270" t="s">
        <v>1160</v>
      </c>
      <c r="M33" s="273" t="s">
        <v>1161</v>
      </c>
      <c r="P33" s="268" t="s">
        <v>271</v>
      </c>
      <c r="Q33" s="269" t="s">
        <v>1168</v>
      </c>
      <c r="R33" s="270" t="s">
        <v>1151</v>
      </c>
      <c r="S33" s="270" t="s">
        <v>1154</v>
      </c>
    </row>
    <row r="34" ht="14.25" customHeight="1">
      <c r="A34" s="274" t="str">
        <f t="shared" ref="A34:A36" si="92">'[1]ESCALA DE PRODUÇÃO'!V28</f>
        <v>#REF!</v>
      </c>
      <c r="B34" s="275" t="str">
        <f t="shared" ref="B34:B36" si="93">XLOOKUP(A34,'[1]ESCALA DE PRODUÇÃO'!$AL$1:$AL$1048566,'[1]ESCALA DE PRODUÇÃO'!$AJ$1:$AJ$1048566,"NÃO ENCOTRADO")</f>
        <v>#REF!</v>
      </c>
      <c r="C34" s="276">
        <v>0.0</v>
      </c>
      <c r="D34" s="277" t="str">
        <f t="shared" ref="D34:D36" si="94">XLOOKUP(A34,'[1]ESCALA DE PRODUÇÃO'!$AL$1:$AL$1048566,'[1]ESCALA DE PRODUÇÃO'!$AK$1:$AK$1048566,"0")</f>
        <v>#REF!</v>
      </c>
      <c r="E34" s="278" t="str">
        <f t="shared" ref="E34:E36" si="95">('[1]ESCALA DE PRODUÇÃO'!$X$28)</f>
        <v>#REF!</v>
      </c>
      <c r="F34" s="279">
        <v>10.0</v>
      </c>
      <c r="G34" s="280" t="str">
        <f t="shared" ref="G34:G36" si="96">XLOOKUP(A34,'[1]ESCALA DE PRODUÇÃO'!$AL$1:$AL$1048566,'[1]ESCALA DE PRODUÇÃO'!$AM$1:$AM$1048566,"SEM PREÇO")</f>
        <v>#REF!</v>
      </c>
      <c r="H34" s="287" t="str">
        <f t="shared" ref="H34:H36" si="97">IFERROR(C34*G34,"0")</f>
        <v>0</v>
      </c>
      <c r="I34" s="288" t="str">
        <f t="array" ref="I34">XLOOKUP(A34,'DADOS DE VENDA'!Y:Y,'DADOS DE VENDA'!AB:AB,"SEM VENDA")</f>
        <v>#REF!</v>
      </c>
      <c r="J34" s="289" t="str">
        <f t="shared" ref="J34:J36" si="98">IFERROR(I34/E34,"0")</f>
        <v>0</v>
      </c>
      <c r="K34" s="290" t="str">
        <f t="shared" ref="K34:K36" si="99">IFERROR(I34*G34,"0")</f>
        <v>0</v>
      </c>
      <c r="L34" s="291" t="str">
        <f t="array" ref="L34">XLOOKUP(A34,'DADOS DE VENDA'!Y:Y,'DADOS DE VENDA'!AC:AC,"RUPTURA NO PERIODO")</f>
        <v>#REF!</v>
      </c>
      <c r="M34" s="286" t="str">
        <f t="array" ref="M34">IFS(C34&lt;I34,"ABAIXO",C34&gt;I34,"ACIMA",C34=I34,"OK")</f>
        <v>#REF!</v>
      </c>
      <c r="P34" s="274" t="str">
        <f t="shared" ref="P34:P36" si="100">(A34)</f>
        <v>#REF!</v>
      </c>
      <c r="Q34" s="275" t="str">
        <f t="shared" ref="Q34:Q36" si="101">XLOOKUP(P34,'[1]ESCALA DE PRODUÇÃO'!$AL$1:$AL$1048566,'[1]ESCALA DE PRODUÇÃO'!$AJ$1:$AJ$1048566,"NÃO ENCOTRADO")</f>
        <v>#REF!</v>
      </c>
      <c r="R34" s="276">
        <f t="shared" ref="R34:R36" si="102">C34</f>
        <v>0</v>
      </c>
      <c r="S34" s="279">
        <f t="shared" ref="S34:S36" si="103">F34</f>
        <v>10</v>
      </c>
    </row>
    <row r="35" ht="14.25" customHeight="1">
      <c r="A35" s="274" t="str">
        <f t="shared" si="92"/>
        <v>#REF!</v>
      </c>
      <c r="B35" s="275" t="str">
        <f t="shared" si="93"/>
        <v>#REF!</v>
      </c>
      <c r="C35" s="276">
        <v>8.0</v>
      </c>
      <c r="D35" s="277" t="str">
        <f t="shared" si="94"/>
        <v>#REF!</v>
      </c>
      <c r="E35" s="278" t="str">
        <f t="shared" si="95"/>
        <v>#REF!</v>
      </c>
      <c r="F35" s="279" t="str">
        <f t="shared" ref="F35:F36" si="104">IFERROR(C35/E35,"0")</f>
        <v>0</v>
      </c>
      <c r="G35" s="280" t="str">
        <f t="shared" si="96"/>
        <v>#REF!</v>
      </c>
      <c r="H35" s="287" t="str">
        <f t="shared" si="97"/>
        <v>0</v>
      </c>
      <c r="I35" s="288" t="str">
        <f t="array" ref="I35">XLOOKUP(A35,'DADOS DE VENDA'!Y:Y,'DADOS DE VENDA'!AB:AB,"SEM VENDA")</f>
        <v>#REF!</v>
      </c>
      <c r="J35" s="289" t="str">
        <f t="shared" si="98"/>
        <v>0</v>
      </c>
      <c r="K35" s="290" t="str">
        <f t="shared" si="99"/>
        <v>0</v>
      </c>
      <c r="L35" s="291" t="str">
        <f t="array" ref="L35">XLOOKUP(A35,'DADOS DE VENDA'!Y:Y,'DADOS DE VENDA'!AC:AC,"RUPTURA NO PERIODO")</f>
        <v>#REF!</v>
      </c>
      <c r="M35" s="286" t="str">
        <f t="array" ref="M35">IFS(C35&lt;I35,"ABAIXO",C35&gt;I35,"ACIMA",C35=I35,"OK")</f>
        <v>#REF!</v>
      </c>
      <c r="P35" s="274" t="str">
        <f t="shared" si="100"/>
        <v>#REF!</v>
      </c>
      <c r="Q35" s="275" t="str">
        <f t="shared" si="101"/>
        <v>#REF!</v>
      </c>
      <c r="R35" s="276">
        <f t="shared" si="102"/>
        <v>8</v>
      </c>
      <c r="S35" s="279" t="str">
        <f t="shared" si="103"/>
        <v>0</v>
      </c>
    </row>
    <row r="36" ht="14.25" customHeight="1">
      <c r="A36" s="274" t="str">
        <f t="shared" si="92"/>
        <v>#REF!</v>
      </c>
      <c r="B36" s="275" t="str">
        <f t="shared" si="93"/>
        <v>#REF!</v>
      </c>
      <c r="C36" s="276">
        <v>0.0</v>
      </c>
      <c r="D36" s="277" t="str">
        <f t="shared" si="94"/>
        <v>#REF!</v>
      </c>
      <c r="E36" s="278" t="str">
        <f t="shared" si="95"/>
        <v>#REF!</v>
      </c>
      <c r="F36" s="279" t="str">
        <f t="shared" si="104"/>
        <v>0</v>
      </c>
      <c r="G36" s="280" t="str">
        <f t="shared" si="96"/>
        <v>#REF!</v>
      </c>
      <c r="H36" s="287" t="str">
        <f t="shared" si="97"/>
        <v>0</v>
      </c>
      <c r="I36" s="288" t="str">
        <f t="array" ref="I36">XLOOKUP(A36,'DADOS DE VENDA'!Y:Y,'DADOS DE VENDA'!AB:AB,"SEM VENDA")</f>
        <v>#REF!</v>
      </c>
      <c r="J36" s="289" t="str">
        <f t="shared" si="98"/>
        <v>0</v>
      </c>
      <c r="K36" s="290" t="str">
        <f t="shared" si="99"/>
        <v>0</v>
      </c>
      <c r="L36" s="291" t="str">
        <f t="array" ref="L36">XLOOKUP(A36,'DADOS DE VENDA'!Y:Y,'DADOS DE VENDA'!AC:AC,"RUPTURA NO PERIODO")</f>
        <v>#REF!</v>
      </c>
      <c r="M36" s="286" t="str">
        <f t="array" ref="M36">IFS(C36&lt;I36,"ABAIXO",C36&gt;I36,"ACIMA",C36=I36,"OK")</f>
        <v>#REF!</v>
      </c>
      <c r="P36" s="274" t="str">
        <f t="shared" si="100"/>
        <v>#REF!</v>
      </c>
      <c r="Q36" s="275" t="str">
        <f t="shared" si="101"/>
        <v>#REF!</v>
      </c>
      <c r="R36" s="276">
        <f t="shared" si="102"/>
        <v>0</v>
      </c>
      <c r="S36" s="279" t="str">
        <f t="shared" si="103"/>
        <v>0</v>
      </c>
    </row>
    <row r="37" ht="14.25" customHeight="1">
      <c r="A37" s="268" t="s">
        <v>271</v>
      </c>
      <c r="B37" s="269" t="s">
        <v>385</v>
      </c>
      <c r="C37" s="270" t="s">
        <v>1151</v>
      </c>
      <c r="D37" s="270" t="s">
        <v>1152</v>
      </c>
      <c r="E37" s="270" t="s">
        <v>1153</v>
      </c>
      <c r="F37" s="270" t="s">
        <v>1154</v>
      </c>
      <c r="G37" s="271" t="s">
        <v>1155</v>
      </c>
      <c r="H37" s="270" t="s">
        <v>1156</v>
      </c>
      <c r="I37" s="272" t="s">
        <v>1157</v>
      </c>
      <c r="J37" s="272" t="s">
        <v>1158</v>
      </c>
      <c r="K37" s="272" t="s">
        <v>1159</v>
      </c>
      <c r="L37" s="270" t="s">
        <v>1160</v>
      </c>
      <c r="M37" s="273" t="s">
        <v>1161</v>
      </c>
      <c r="P37" s="268" t="s">
        <v>271</v>
      </c>
      <c r="Q37" s="269" t="s">
        <v>385</v>
      </c>
      <c r="R37" s="270" t="s">
        <v>1151</v>
      </c>
      <c r="S37" s="270" t="s">
        <v>1154</v>
      </c>
    </row>
    <row r="38" ht="14.25" customHeight="1">
      <c r="A38" s="274" t="str">
        <f t="shared" ref="A38:A40" si="105">'[1]ESCALA DE PRODUÇÃO'!V32</f>
        <v>#REF!</v>
      </c>
      <c r="B38" s="275" t="str">
        <f t="shared" ref="B38:B40" si="106">XLOOKUP(A38,'[1]ESCALA DE PRODUÇÃO'!$AL$1:$AL$1048566,'[1]ESCALA DE PRODUÇÃO'!$AJ$1:$AJ$1048566,"NÃO ENCOTRADO")</f>
        <v>#REF!</v>
      </c>
      <c r="C38" s="276">
        <v>0.0</v>
      </c>
      <c r="D38" s="277" t="str">
        <f t="shared" ref="D38:D40" si="107">XLOOKUP(A38,'[1]ESCALA DE PRODUÇÃO'!$AL$1:$AL$1048566,'[1]ESCALA DE PRODUÇÃO'!$AK$1:$AK$1048566,"0")</f>
        <v>#REF!</v>
      </c>
      <c r="E38" s="278" t="str">
        <f t="shared" ref="E38:E40" si="108">('[1]ESCALA DE PRODUÇÃO'!$X$28)</f>
        <v>#REF!</v>
      </c>
      <c r="F38" s="279" t="str">
        <f t="shared" ref="F38:F40" si="109">IFERROR(C38/E38,"0")</f>
        <v>0</v>
      </c>
      <c r="G38" s="280" t="str">
        <f t="shared" ref="G38:G40" si="110">XLOOKUP(A38,'[1]ESCALA DE PRODUÇÃO'!$AL$1:$AL$1048566,'[1]ESCALA DE PRODUÇÃO'!$AM$1:$AM$1048566,"SEM PREÇO")</f>
        <v>#REF!</v>
      </c>
      <c r="H38" s="287" t="str">
        <f t="shared" ref="H38:H40" si="111">IFERROR(C38*G38,"0")</f>
        <v>0</v>
      </c>
      <c r="I38" s="288" t="str">
        <f t="array" ref="I38">XLOOKUP(A38,'DADOS DE VENDA'!Y:Y,'DADOS DE VENDA'!AB:AB,"SEM VENDA")</f>
        <v>#REF!</v>
      </c>
      <c r="J38" s="289" t="str">
        <f t="shared" ref="J38:J40" si="112">IFERROR(I38/E38,"0")</f>
        <v>0</v>
      </c>
      <c r="K38" s="290" t="str">
        <f t="shared" ref="K38:K40" si="113">IFERROR(I38*G38,"0")</f>
        <v>0</v>
      </c>
      <c r="L38" s="291" t="str">
        <f t="array" ref="L38">XLOOKUP(A38,'DADOS DE VENDA'!Y:Y,'DADOS DE VENDA'!AC:AC,"RUPTURA NO PERIODO")</f>
        <v>#REF!</v>
      </c>
      <c r="M38" s="286" t="str">
        <f t="array" ref="M38">IFS(C38&lt;I38,"ABAIXO",C38&gt;I38,"ACIMA",C38=I38,"OK")</f>
        <v>#REF!</v>
      </c>
      <c r="P38" s="274" t="str">
        <f t="shared" ref="P38:P40" si="114">(A38)</f>
        <v>#REF!</v>
      </c>
      <c r="Q38" s="275" t="str">
        <f t="shared" ref="Q38:Q40" si="115">XLOOKUP(P38,'[1]ESCALA DE PRODUÇÃO'!$AL$1:$AL$1048566,'[1]ESCALA DE PRODUÇÃO'!$AJ$1:$AJ$1048566,"NÃO ENCOTRADO")</f>
        <v>#REF!</v>
      </c>
      <c r="R38" s="276">
        <f t="shared" ref="R38:R40" si="116">C38</f>
        <v>0</v>
      </c>
      <c r="S38" s="279" t="str">
        <f t="shared" ref="S38:S40" si="117">F38</f>
        <v>0</v>
      </c>
    </row>
    <row r="39" ht="14.25" customHeight="1">
      <c r="A39" s="274" t="str">
        <f t="shared" si="105"/>
        <v>#REF!</v>
      </c>
      <c r="B39" s="275" t="str">
        <f t="shared" si="106"/>
        <v>#REF!</v>
      </c>
      <c r="C39" s="276">
        <v>8.0</v>
      </c>
      <c r="D39" s="277" t="str">
        <f t="shared" si="107"/>
        <v>#REF!</v>
      </c>
      <c r="E39" s="278" t="str">
        <f t="shared" si="108"/>
        <v>#REF!</v>
      </c>
      <c r="F39" s="279" t="str">
        <f t="shared" si="109"/>
        <v>0</v>
      </c>
      <c r="G39" s="280" t="str">
        <f t="shared" si="110"/>
        <v>#REF!</v>
      </c>
      <c r="H39" s="287" t="str">
        <f t="shared" si="111"/>
        <v>0</v>
      </c>
      <c r="I39" s="288" t="str">
        <f t="array" ref="I39">XLOOKUP(A39,'DADOS DE VENDA'!Y:Y,'DADOS DE VENDA'!AB:AB,"SEM VENDA")</f>
        <v>#REF!</v>
      </c>
      <c r="J39" s="289" t="str">
        <f t="shared" si="112"/>
        <v>0</v>
      </c>
      <c r="K39" s="290" t="str">
        <f t="shared" si="113"/>
        <v>0</v>
      </c>
      <c r="L39" s="291" t="str">
        <f t="array" ref="L39">XLOOKUP(A39,'DADOS DE VENDA'!Y:Y,'DADOS DE VENDA'!AC:AC,"RUPTURA NO PERIODO")</f>
        <v>#REF!</v>
      </c>
      <c r="M39" s="286" t="str">
        <f t="array" ref="M39">IFS(C39&lt;I39,"ABAIXO",C39&gt;I39,"ACIMA",C39=I39,"OK")</f>
        <v>#REF!</v>
      </c>
      <c r="P39" s="274" t="str">
        <f t="shared" si="114"/>
        <v>#REF!</v>
      </c>
      <c r="Q39" s="275" t="str">
        <f t="shared" si="115"/>
        <v>#REF!</v>
      </c>
      <c r="R39" s="276">
        <f t="shared" si="116"/>
        <v>8</v>
      </c>
      <c r="S39" s="279" t="str">
        <f t="shared" si="117"/>
        <v>0</v>
      </c>
    </row>
    <row r="40" ht="14.25" customHeight="1">
      <c r="A40" s="274" t="str">
        <f t="shared" si="105"/>
        <v>#REF!</v>
      </c>
      <c r="B40" s="275" t="str">
        <f t="shared" si="106"/>
        <v>#REF!</v>
      </c>
      <c r="C40" s="276">
        <v>10.0</v>
      </c>
      <c r="D40" s="277" t="str">
        <f t="shared" si="107"/>
        <v>#REF!</v>
      </c>
      <c r="E40" s="278" t="str">
        <f t="shared" si="108"/>
        <v>#REF!</v>
      </c>
      <c r="F40" s="279" t="str">
        <f t="shared" si="109"/>
        <v>0</v>
      </c>
      <c r="G40" s="280" t="str">
        <f t="shared" si="110"/>
        <v>#REF!</v>
      </c>
      <c r="H40" s="287" t="str">
        <f t="shared" si="111"/>
        <v>0</v>
      </c>
      <c r="I40" s="288" t="str">
        <f t="array" ref="I40">XLOOKUP(A40,'DADOS DE VENDA'!Y:Y,'DADOS DE VENDA'!AB:AB,"SEM VENDA")</f>
        <v>#REF!</v>
      </c>
      <c r="J40" s="289" t="str">
        <f t="shared" si="112"/>
        <v>0</v>
      </c>
      <c r="K40" s="290" t="str">
        <f t="shared" si="113"/>
        <v>0</v>
      </c>
      <c r="L40" s="291" t="str">
        <f t="array" ref="L40">XLOOKUP(A40,'DADOS DE VENDA'!Y:Y,'DADOS DE VENDA'!AC:AC,"RUPTURA NO PERIODO")</f>
        <v>#REF!</v>
      </c>
      <c r="M40" s="286" t="str">
        <f t="array" ref="M40">IFS(C40&lt;I40,"ABAIXO",C40&gt;I40,"ACIMA",C40=I40,"OK")</f>
        <v>#REF!</v>
      </c>
      <c r="P40" s="274" t="str">
        <f t="shared" si="114"/>
        <v>#REF!</v>
      </c>
      <c r="Q40" s="275" t="str">
        <f t="shared" si="115"/>
        <v>#REF!</v>
      </c>
      <c r="R40" s="276">
        <f t="shared" si="116"/>
        <v>10</v>
      </c>
      <c r="S40" s="279" t="str">
        <f t="shared" si="117"/>
        <v>0</v>
      </c>
    </row>
    <row r="41" ht="14.25" customHeight="1">
      <c r="A41" s="268" t="s">
        <v>271</v>
      </c>
      <c r="B41" s="269" t="s">
        <v>1169</v>
      </c>
      <c r="C41" s="270" t="s">
        <v>1151</v>
      </c>
      <c r="D41" s="270" t="s">
        <v>1152</v>
      </c>
      <c r="E41" s="270" t="s">
        <v>1153</v>
      </c>
      <c r="F41" s="270" t="s">
        <v>1154</v>
      </c>
      <c r="G41" s="271" t="s">
        <v>1155</v>
      </c>
      <c r="H41" s="270" t="s">
        <v>1156</v>
      </c>
      <c r="I41" s="272" t="s">
        <v>1157</v>
      </c>
      <c r="J41" s="272" t="s">
        <v>1158</v>
      </c>
      <c r="K41" s="272" t="s">
        <v>1159</v>
      </c>
      <c r="L41" s="270" t="s">
        <v>1160</v>
      </c>
      <c r="M41" s="273" t="s">
        <v>1161</v>
      </c>
      <c r="P41" s="268" t="s">
        <v>271</v>
      </c>
      <c r="Q41" s="269" t="s">
        <v>1169</v>
      </c>
      <c r="R41" s="270" t="s">
        <v>1151</v>
      </c>
      <c r="S41" s="270" t="s">
        <v>1154</v>
      </c>
    </row>
    <row r="42" ht="14.25" customHeight="1">
      <c r="A42" s="274" t="str">
        <f t="shared" ref="A42:A44" si="118">'[1]ESCALA DE PRODUÇÃO'!V36</f>
        <v>#REF!</v>
      </c>
      <c r="B42" s="275" t="str">
        <f t="shared" ref="B42:B44" si="119">XLOOKUP(A42,'[1]ESCALA DE PRODUÇÃO'!$AL$1:$AL$1048566,'[1]ESCALA DE PRODUÇÃO'!$AJ$1:$AJ$1048566,"NÃO ENCOTRADO")</f>
        <v>#REF!</v>
      </c>
      <c r="C42" s="276">
        <v>0.0</v>
      </c>
      <c r="D42" s="277" t="str">
        <f t="shared" ref="D42:D44" si="120">XLOOKUP(A42,'[1]ESCALA DE PRODUÇÃO'!$AL$1:$AL$1048566,'[1]ESCALA DE PRODUÇÃO'!$AK$1:$AK$1048566,"0")</f>
        <v>#REF!</v>
      </c>
      <c r="E42" s="278" t="str">
        <f t="shared" ref="E42:E44" si="121">('[1]ESCALA DE PRODUÇÃO'!$X$28)</f>
        <v>#REF!</v>
      </c>
      <c r="F42" s="279" t="str">
        <f t="shared" ref="F42:F44" si="122">IFERROR(C42/E42,"0")</f>
        <v>0</v>
      </c>
      <c r="G42" s="280" t="str">
        <f t="shared" ref="G42:G44" si="123">XLOOKUP(A42,'[1]ESCALA DE PRODUÇÃO'!$AL$1:$AL$1048566,'[1]ESCALA DE PRODUÇÃO'!$AM$1:$AM$1048566,"SEM PREÇO")</f>
        <v>#REF!</v>
      </c>
      <c r="H42" s="287" t="str">
        <f t="shared" ref="H42:H44" si="124">IFERROR(C42*G42,"0")</f>
        <v>0</v>
      </c>
      <c r="I42" s="288" t="str">
        <f t="array" ref="I42">XLOOKUP(A42,'DADOS DE VENDA'!Y:Y,'DADOS DE VENDA'!AB:AB,"SEM VENDA")</f>
        <v>#REF!</v>
      </c>
      <c r="J42" s="289" t="str">
        <f t="shared" ref="J42:J44" si="125">IFERROR(I42/E42,"0")</f>
        <v>0</v>
      </c>
      <c r="K42" s="290" t="str">
        <f t="shared" ref="K42:K44" si="126">IFERROR(I42*G42,"0")</f>
        <v>0</v>
      </c>
      <c r="L42" s="291" t="str">
        <f t="array" ref="L42">XLOOKUP(A42,'DADOS DE VENDA'!Y:Y,'DADOS DE VENDA'!AC:AC,"RUPTURA NO PERIODO")</f>
        <v>#REF!</v>
      </c>
      <c r="M42" s="286" t="str">
        <f t="array" ref="M42">IFS(C42&lt;I42,"ABAIXO",C42&gt;I42,"ACIMA",C42=I42,"OK")</f>
        <v>#REF!</v>
      </c>
      <c r="P42" s="274" t="str">
        <f t="shared" ref="P42:P44" si="127">(A42)</f>
        <v>#REF!</v>
      </c>
      <c r="Q42" s="275" t="str">
        <f t="shared" ref="Q42:Q44" si="128">XLOOKUP(P42,'[1]ESCALA DE PRODUÇÃO'!$AL$1:$AL$1048566,'[1]ESCALA DE PRODUÇÃO'!$AJ$1:$AJ$1048566,"NÃO ENCOTRADO")</f>
        <v>#REF!</v>
      </c>
      <c r="R42" s="276">
        <f t="shared" ref="R42:R44" si="129">C42</f>
        <v>0</v>
      </c>
      <c r="S42" s="279" t="str">
        <f t="shared" ref="S42:S44" si="130">F42</f>
        <v>0</v>
      </c>
    </row>
    <row r="43" ht="14.25" customHeight="1">
      <c r="A43" s="274" t="str">
        <f t="shared" si="118"/>
        <v>#REF!</v>
      </c>
      <c r="B43" s="275" t="str">
        <f t="shared" si="119"/>
        <v>#REF!</v>
      </c>
      <c r="C43" s="276">
        <v>0.0</v>
      </c>
      <c r="D43" s="277" t="str">
        <f t="shared" si="120"/>
        <v>#REF!</v>
      </c>
      <c r="E43" s="278" t="str">
        <f t="shared" si="121"/>
        <v>#REF!</v>
      </c>
      <c r="F43" s="279" t="str">
        <f t="shared" si="122"/>
        <v>0</v>
      </c>
      <c r="G43" s="280" t="str">
        <f t="shared" si="123"/>
        <v>#REF!</v>
      </c>
      <c r="H43" s="287" t="str">
        <f t="shared" si="124"/>
        <v>0</v>
      </c>
      <c r="I43" s="288" t="str">
        <f t="array" ref="I43">XLOOKUP(A43,'DADOS DE VENDA'!Y:Y,'DADOS DE VENDA'!AB:AB,"SEM VENDA")</f>
        <v>#REF!</v>
      </c>
      <c r="J43" s="289" t="str">
        <f t="shared" si="125"/>
        <v>0</v>
      </c>
      <c r="K43" s="290" t="str">
        <f t="shared" si="126"/>
        <v>0</v>
      </c>
      <c r="L43" s="291" t="str">
        <f t="array" ref="L43">XLOOKUP(A43,'DADOS DE VENDA'!Y:Y,'DADOS DE VENDA'!AC:AC,"RUPTURA NO PERIODO")</f>
        <v>#REF!</v>
      </c>
      <c r="M43" s="286" t="str">
        <f t="array" ref="M43">IFS(C43&lt;I43,"ABAIXO",C43&gt;I43,"ACIMA",C43=I43,"OK")</f>
        <v>#REF!</v>
      </c>
      <c r="P43" s="274" t="str">
        <f t="shared" si="127"/>
        <v>#REF!</v>
      </c>
      <c r="Q43" s="275" t="str">
        <f t="shared" si="128"/>
        <v>#REF!</v>
      </c>
      <c r="R43" s="276">
        <f t="shared" si="129"/>
        <v>0</v>
      </c>
      <c r="S43" s="279" t="str">
        <f t="shared" si="130"/>
        <v>0</v>
      </c>
    </row>
    <row r="44" ht="14.25" customHeight="1">
      <c r="A44" s="274" t="str">
        <f t="shared" si="118"/>
        <v>#REF!</v>
      </c>
      <c r="B44" s="302" t="str">
        <f t="shared" si="119"/>
        <v>#REF!</v>
      </c>
      <c r="C44" s="321">
        <v>0.0</v>
      </c>
      <c r="D44" s="322" t="str">
        <f t="shared" si="120"/>
        <v>#REF!</v>
      </c>
      <c r="E44" s="278" t="str">
        <f t="shared" si="121"/>
        <v>#REF!</v>
      </c>
      <c r="F44" s="323" t="str">
        <f t="shared" si="122"/>
        <v>0</v>
      </c>
      <c r="G44" s="324" t="str">
        <f t="shared" si="123"/>
        <v>#REF!</v>
      </c>
      <c r="H44" s="325" t="str">
        <f t="shared" si="124"/>
        <v>0</v>
      </c>
      <c r="I44" s="288" t="str">
        <f t="array" ref="I44">XLOOKUP(A44,'DADOS DE VENDA'!Y:Y,'DADOS DE VENDA'!AB:AB,"SEM VENDA")</f>
        <v>#REF!</v>
      </c>
      <c r="J44" s="327" t="str">
        <f t="shared" si="125"/>
        <v>0</v>
      </c>
      <c r="K44" s="328" t="str">
        <f t="shared" si="126"/>
        <v>0</v>
      </c>
      <c r="L44" s="291" t="str">
        <f t="array" ref="L44">XLOOKUP(A44,'DADOS DE VENDA'!Y:Y,'DADOS DE VENDA'!AC:AC,"RUPTURA NO PERIODO")</f>
        <v>#REF!</v>
      </c>
      <c r="M44" s="330" t="str">
        <f t="array" ref="M44">IFS(C44&lt;I44,"ABAIXO",C44&gt;I44,"ACIMA",C44=I44,"OK")</f>
        <v>#REF!</v>
      </c>
      <c r="P44" s="274" t="str">
        <f t="shared" si="127"/>
        <v>#REF!</v>
      </c>
      <c r="Q44" s="302" t="str">
        <f t="shared" si="128"/>
        <v>#REF!</v>
      </c>
      <c r="R44" s="276">
        <f t="shared" si="129"/>
        <v>0</v>
      </c>
      <c r="S44" s="279" t="str">
        <f t="shared" si="130"/>
        <v>0</v>
      </c>
    </row>
    <row r="45" ht="14.25" customHeight="1">
      <c r="A45" s="303"/>
      <c r="B45" s="304" t="s">
        <v>1162</v>
      </c>
      <c r="C45" s="304" t="s">
        <v>1163</v>
      </c>
      <c r="D45" s="305"/>
      <c r="E45" s="306"/>
      <c r="F45" s="307" t="s">
        <v>1164</v>
      </c>
      <c r="G45" s="308">
        <f>SUM(H34,H35,H36,H38,H39,H40,H42,H43,H44)</f>
        <v>0</v>
      </c>
      <c r="H45" s="306"/>
      <c r="I45" s="288" t="str">
        <f t="array" ref="I45">XLOOKUP(A45,'DADOS DE VENDA'!Y:Y,'DADOS DE VENDA'!AB:AB,"SEM VENDA")</f>
        <v>SEM VENDA</v>
      </c>
      <c r="J45" s="309" t="str">
        <f>SUM(K21+K22+K24+K26+K27+K28+K30+K31+K33+K34+K36+K37+K38+K40+K41+K43+K44)</f>
        <v>#VALUE!</v>
      </c>
      <c r="K45" s="306"/>
      <c r="L45" s="310"/>
      <c r="M45" s="311"/>
      <c r="P45" s="312" t="s">
        <v>1156</v>
      </c>
      <c r="Q45" s="313"/>
      <c r="R45" s="314">
        <f>G45</f>
        <v>0</v>
      </c>
      <c r="S45" s="313"/>
    </row>
    <row r="46" ht="14.25" customHeight="1">
      <c r="G46" s="42"/>
      <c r="R46" s="315"/>
      <c r="S46" s="316"/>
    </row>
    <row r="47" ht="14.25" customHeight="1">
      <c r="G47" s="42"/>
    </row>
    <row r="48" ht="14.25" customHeight="1">
      <c r="A48" s="389" t="s">
        <v>1180</v>
      </c>
      <c r="B48" s="250"/>
      <c r="C48" s="250"/>
      <c r="D48" s="250"/>
      <c r="E48" s="250"/>
      <c r="F48" s="250"/>
      <c r="G48" s="250"/>
      <c r="H48" s="251"/>
      <c r="I48" s="390" t="s">
        <v>1148</v>
      </c>
      <c r="J48" s="250"/>
      <c r="K48" s="250"/>
      <c r="L48" s="250"/>
      <c r="M48" s="254"/>
      <c r="P48" s="255" t="str">
        <f>P31</f>
        <v>\</v>
      </c>
      <c r="Q48" s="256"/>
      <c r="R48" s="257" t="s">
        <v>12</v>
      </c>
      <c r="S48" s="258">
        <f>S31</f>
        <v>46045</v>
      </c>
    </row>
    <row r="49" ht="14.25" customHeight="1">
      <c r="A49" s="259" t="s">
        <v>1170</v>
      </c>
      <c r="B49" s="260"/>
      <c r="C49" s="266" t="s">
        <v>1149</v>
      </c>
      <c r="D49" s="263"/>
      <c r="E49" s="263"/>
      <c r="F49" s="263"/>
      <c r="G49" s="263"/>
      <c r="H49" s="264"/>
      <c r="I49" s="262" t="s">
        <v>1150</v>
      </c>
      <c r="J49" s="263"/>
      <c r="K49" s="263"/>
      <c r="L49" s="263"/>
      <c r="M49" s="265"/>
      <c r="P49" s="366" t="s">
        <v>1170</v>
      </c>
      <c r="Q49" s="367"/>
      <c r="R49" s="368" t="s">
        <v>1149</v>
      </c>
      <c r="S49" s="369"/>
    </row>
    <row r="50" ht="14.25" customHeight="1">
      <c r="A50" s="268" t="s">
        <v>271</v>
      </c>
      <c r="B50" s="269" t="s">
        <v>289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289</v>
      </c>
      <c r="R50" s="270" t="s">
        <v>1151</v>
      </c>
      <c r="S50" s="270" t="s">
        <v>1154</v>
      </c>
    </row>
    <row r="51" ht="14.25" customHeight="1">
      <c r="A51" s="274" t="str">
        <f t="shared" ref="A51:A54" si="131">('[1]ESCALA DE PRODUÇÃO'!V40)</f>
        <v>#REF!</v>
      </c>
      <c r="B51" s="275" t="str">
        <f t="shared" ref="B51:B54" si="132">XLOOKUP(A51,'[1]ESCALA DE PRODUÇÃO'!$AL$1:$AL$1048566,'[1]ESCALA DE PRODUÇÃO'!$AJ$1:$AJ$1048566,"NÃO ENCOTRADO")</f>
        <v>#REF!</v>
      </c>
      <c r="C51" s="276">
        <v>4.5</v>
      </c>
      <c r="D51" s="277" t="str">
        <f t="shared" ref="D51:D54" si="133">XLOOKUP(A51,'[1]ESCALA DE PRODUÇÃO'!$AL$1:$AL$1048566,'[1]ESCALA DE PRODUÇÃO'!$AK$1:$AK$1048566,"0")</f>
        <v>#REF!</v>
      </c>
      <c r="E51" s="278" t="str">
        <f t="shared" ref="E51:E54" si="134">('[1]ESCALA DE PRODUÇÃO'!X40)</f>
        <v>#REF!</v>
      </c>
      <c r="F51" s="279" t="str">
        <f t="shared" ref="F51:F54" si="135">IFERROR(C51/E51,"0")</f>
        <v>0</v>
      </c>
      <c r="G51" s="280" t="str">
        <f t="shared" ref="G51:G54" si="136">XLOOKUP(A51,'[1]ESCALA DE PRODUÇÃO'!$AL$1:$AL$1048566,'[1]ESCALA DE PRODUÇÃO'!$AM$1:$AM$1048566,"SEM PREÇO")</f>
        <v>#REF!</v>
      </c>
      <c r="H51" s="287" t="str">
        <f t="shared" ref="H51:H54" si="137">IFERROR(C51*G51,"0")</f>
        <v>0</v>
      </c>
      <c r="I51" s="288" t="str">
        <f t="array" ref="I51">XLOOKUP(A51,'DADOS DE VENDA'!Y:Y,'DADOS DE VENDA'!AB:AB,"SEM VENDA")</f>
        <v>#REF!</v>
      </c>
      <c r="J51" s="289" t="str">
        <f t="shared" ref="J51:J54" si="138">IFERROR(I51/E51,"0")</f>
        <v>0</v>
      </c>
      <c r="K51" s="290" t="str">
        <f t="shared" ref="K51:K54" si="139">IFERROR(I51*G51,"0")</f>
        <v>0</v>
      </c>
      <c r="L51" s="291" t="str">
        <f t="array" ref="L51">XLOOKUP(A51,'DADOS DE VENDA'!Y:Y,'DADOS DE VENDA'!AC:AC,"RUPTURA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4" si="140">(A51)</f>
        <v>#REF!</v>
      </c>
      <c r="Q51" s="275" t="str">
        <f t="shared" ref="Q51:Q54" si="141">XLOOKUP(P51,'[1]ESCALA DE PRODUÇÃO'!$AL$1:$AL$1048566,'[1]ESCALA DE PRODUÇÃO'!$AJ$1:$AJ$1048566,"NÃO ENCOTRADO")</f>
        <v>#REF!</v>
      </c>
      <c r="R51" s="276">
        <f t="shared" ref="R51:R54" si="142">C51</f>
        <v>4.5</v>
      </c>
      <c r="S51" s="279" t="str">
        <f t="shared" ref="S51:S54" si="143">(F51)</f>
        <v>0</v>
      </c>
    </row>
    <row r="52" ht="14.25" customHeight="1">
      <c r="A52" s="274" t="str">
        <f t="shared" si="131"/>
        <v>#REF!</v>
      </c>
      <c r="B52" s="275" t="str">
        <f t="shared" si="132"/>
        <v>#REF!</v>
      </c>
      <c r="C52" s="276">
        <v>4.5</v>
      </c>
      <c r="D52" s="277" t="str">
        <f t="shared" si="133"/>
        <v>#REF!</v>
      </c>
      <c r="E52" s="278" t="str">
        <f t="shared" si="134"/>
        <v>#REF!</v>
      </c>
      <c r="F52" s="279" t="str">
        <f t="shared" si="135"/>
        <v>0</v>
      </c>
      <c r="G52" s="280" t="str">
        <f t="shared" si="136"/>
        <v>#REF!</v>
      </c>
      <c r="H52" s="287" t="str">
        <f t="shared" si="137"/>
        <v>0</v>
      </c>
      <c r="I52" s="288" t="str">
        <f t="array" ref="I52">XLOOKUP(A52,'DADOS DE VENDA'!Y:Y,'DADOS DE VENDA'!AB:AB,"SEM VENDA")</f>
        <v>#REF!</v>
      </c>
      <c r="J52" s="289" t="str">
        <f t="shared" si="138"/>
        <v>0</v>
      </c>
      <c r="K52" s="290" t="str">
        <f t="shared" si="139"/>
        <v>0</v>
      </c>
      <c r="L52" s="291" t="str">
        <f t="array" ref="L52">XLOOKUP(A52,'DADOS DE VENDA'!Y:Y,'DADOS DE VENDA'!AC:AC,"RUPTURA NO PERIODO")</f>
        <v>#REF!</v>
      </c>
      <c r="M52" s="286" t="str">
        <f t="array" ref="M52">IFS(C52&lt;I52,"ABAIXO",C52&gt;I52,"ACIMA",C52=I52,"OK")</f>
        <v>#REF!</v>
      </c>
      <c r="P52" s="274" t="str">
        <f t="shared" si="140"/>
        <v>#REF!</v>
      </c>
      <c r="Q52" s="275" t="str">
        <f t="shared" si="141"/>
        <v>#REF!</v>
      </c>
      <c r="R52" s="276">
        <f t="shared" si="142"/>
        <v>4.5</v>
      </c>
      <c r="S52" s="279" t="str">
        <f t="shared" si="143"/>
        <v>0</v>
      </c>
    </row>
    <row r="53" ht="14.25" customHeight="1">
      <c r="A53" s="274" t="str">
        <f t="shared" si="131"/>
        <v>#REF!</v>
      </c>
      <c r="B53" s="275" t="str">
        <f t="shared" si="132"/>
        <v>#REF!</v>
      </c>
      <c r="C53" s="276">
        <v>4.5</v>
      </c>
      <c r="D53" s="277" t="str">
        <f t="shared" si="133"/>
        <v>#REF!</v>
      </c>
      <c r="E53" s="278" t="str">
        <f t="shared" si="134"/>
        <v>#REF!</v>
      </c>
      <c r="F53" s="279" t="str">
        <f t="shared" si="135"/>
        <v>0</v>
      </c>
      <c r="G53" s="280" t="str">
        <f t="shared" si="136"/>
        <v>#REF!</v>
      </c>
      <c r="H53" s="287" t="str">
        <f t="shared" si="137"/>
        <v>0</v>
      </c>
      <c r="I53" s="288" t="str">
        <f t="array" ref="I53">XLOOKUP(A53,'DADOS DE VENDA'!Y:Y,'DADOS DE VENDA'!AB:AB,"SEM VENDA")</f>
        <v>#REF!</v>
      </c>
      <c r="J53" s="289" t="str">
        <f t="shared" si="138"/>
        <v>0</v>
      </c>
      <c r="K53" s="290" t="str">
        <f t="shared" si="139"/>
        <v>0</v>
      </c>
      <c r="L53" s="291" t="str">
        <f t="array" ref="L53">XLOOKUP(A53,'DADOS DE VENDA'!Y:Y,'DADOS DE VENDA'!AC:AC,"RUPTURA NO PERIODO")</f>
        <v>#REF!</v>
      </c>
      <c r="M53" s="286" t="str">
        <f t="array" ref="M53">IFS(C53&lt;I53,"ABAIXO",C53&gt;I53,"ACIMA",C53=I53,"OK")</f>
        <v>#REF!</v>
      </c>
      <c r="P53" s="274" t="str">
        <f t="shared" si="140"/>
        <v>#REF!</v>
      </c>
      <c r="Q53" s="275" t="str">
        <f t="shared" si="141"/>
        <v>#REF!</v>
      </c>
      <c r="R53" s="276">
        <f t="shared" si="142"/>
        <v>4.5</v>
      </c>
      <c r="S53" s="279" t="str">
        <f t="shared" si="143"/>
        <v>0</v>
      </c>
    </row>
    <row r="54" ht="14.25" customHeight="1">
      <c r="A54" s="274" t="str">
        <f t="shared" si="131"/>
        <v>#REF!</v>
      </c>
      <c r="B54" s="275" t="str">
        <f t="shared" si="132"/>
        <v>#REF!</v>
      </c>
      <c r="C54" s="276">
        <v>3.0</v>
      </c>
      <c r="D54" s="277" t="str">
        <f t="shared" si="133"/>
        <v>#REF!</v>
      </c>
      <c r="E54" s="278" t="str">
        <f t="shared" si="134"/>
        <v>#REF!</v>
      </c>
      <c r="F54" s="279" t="str">
        <f t="shared" si="135"/>
        <v>0</v>
      </c>
      <c r="G54" s="280" t="str">
        <f t="shared" si="136"/>
        <v>#REF!</v>
      </c>
      <c r="H54" s="287" t="str">
        <f t="shared" si="137"/>
        <v>0</v>
      </c>
      <c r="I54" s="288" t="str">
        <f t="array" ref="I54">XLOOKUP(A54,'DADOS DE VENDA'!Y:Y,'DADOS DE VENDA'!AB:AB,"SEM VENDA")</f>
        <v>#REF!</v>
      </c>
      <c r="J54" s="289" t="str">
        <f t="shared" si="138"/>
        <v>0</v>
      </c>
      <c r="K54" s="290" t="str">
        <f t="shared" si="139"/>
        <v>0</v>
      </c>
      <c r="L54" s="291" t="str">
        <f t="array" ref="L54">XLOOKUP(A54,'DADOS DE VENDA'!Y:Y,'DADOS DE VENDA'!AC:AC,"RUPTURA NO PERIODO")</f>
        <v>#REF!</v>
      </c>
      <c r="M54" s="286" t="str">
        <f t="array" ref="M54">IFS(C54&lt;I54,"ABAIXO",C54&gt;I54,"ACIMA",C54=I54,"OK")</f>
        <v>#REF!</v>
      </c>
      <c r="P54" s="274" t="str">
        <f t="shared" si="140"/>
        <v>#REF!</v>
      </c>
      <c r="Q54" s="275" t="str">
        <f t="shared" si="141"/>
        <v>#REF!</v>
      </c>
      <c r="R54" s="276">
        <f t="shared" si="142"/>
        <v>3</v>
      </c>
      <c r="S54" s="279" t="str">
        <f t="shared" si="143"/>
        <v>0</v>
      </c>
    </row>
    <row r="55" ht="14.25" customHeight="1">
      <c r="A55" s="268" t="s">
        <v>271</v>
      </c>
      <c r="B55" s="269" t="s">
        <v>289</v>
      </c>
      <c r="C55" s="270" t="s">
        <v>1151</v>
      </c>
      <c r="D55" s="270" t="s">
        <v>1152</v>
      </c>
      <c r="E55" s="270" t="s">
        <v>1153</v>
      </c>
      <c r="F55" s="270" t="s">
        <v>1154</v>
      </c>
      <c r="G55" s="271" t="s">
        <v>1155</v>
      </c>
      <c r="H55" s="270" t="s">
        <v>1156</v>
      </c>
      <c r="I55" s="272" t="s">
        <v>1157</v>
      </c>
      <c r="J55" s="272" t="s">
        <v>1158</v>
      </c>
      <c r="K55" s="272" t="s">
        <v>1159</v>
      </c>
      <c r="L55" s="270" t="s">
        <v>1160</v>
      </c>
      <c r="M55" s="273" t="s">
        <v>1161</v>
      </c>
      <c r="P55" s="268" t="s">
        <v>271</v>
      </c>
      <c r="Q55" s="269" t="s">
        <v>289</v>
      </c>
      <c r="R55" s="270" t="s">
        <v>1151</v>
      </c>
      <c r="S55" s="270" t="s">
        <v>1154</v>
      </c>
    </row>
    <row r="56" ht="14.25" customHeight="1">
      <c r="A56" s="274" t="str">
        <f t="shared" ref="A56:A59" si="144">('[1]ESCALA DE PRODUÇÃO'!V44)</f>
        <v>#REF!</v>
      </c>
      <c r="B56" s="275" t="str">
        <f t="shared" ref="B56:B59" si="145">XLOOKUP(A56,'[1]ESCALA DE PRODUÇÃO'!$AL$1:$AL$1048566,'[1]ESCALA DE PRODUÇÃO'!$AJ$1:$AJ$1048566,"NÃO ENCOTRADO")</f>
        <v>#REF!</v>
      </c>
      <c r="C56" s="276">
        <v>5.0</v>
      </c>
      <c r="D56" s="277" t="str">
        <f t="shared" ref="D56:D59" si="146">XLOOKUP(A56,'[1]ESCALA DE PRODUÇÃO'!$AL$1:$AL$1048566,'[1]ESCALA DE PRODUÇÃO'!$AK$1:$AK$1048566,"0")</f>
        <v>#REF!</v>
      </c>
      <c r="E56" s="278" t="str">
        <f t="shared" ref="E56:E59" si="147">('[1]ESCALA DE PRODUÇÃO'!X44)</f>
        <v>#REF!</v>
      </c>
      <c r="F56" s="279" t="str">
        <f t="shared" ref="F56:F59" si="148">IFERROR(C56/E56,"0")</f>
        <v>0</v>
      </c>
      <c r="G56" s="280" t="str">
        <f t="shared" ref="G56:G59" si="149">XLOOKUP(A56,'[1]ESCALA DE PRODUÇÃO'!$AL$1:$AL$1048566,'[1]ESCALA DE PRODUÇÃO'!$AM$1:$AM$1048566,"SEM PREÇO")</f>
        <v>#REF!</v>
      </c>
      <c r="H56" s="287" t="str">
        <f t="shared" ref="H56:H59" si="150">IFERROR(C56*G56,"0")</f>
        <v>0</v>
      </c>
      <c r="I56" s="288" t="str">
        <f t="array" ref="I56">XLOOKUP(A56,'DADOS DE VENDA'!Y:Y,'DADOS DE VENDA'!AB:AB,"SEM VENDA")</f>
        <v>#REF!</v>
      </c>
      <c r="J56" s="289" t="str">
        <f t="shared" ref="J56:J59" si="151">IFERROR(I56/E56,"0")</f>
        <v>0</v>
      </c>
      <c r="K56" s="290" t="str">
        <f t="shared" ref="K56:K59" si="152">IFERROR(I56*G56,"0")</f>
        <v>0</v>
      </c>
      <c r="L56" s="291" t="str">
        <f t="array" ref="L56">XLOOKUP(A56,'DADOS DE VENDA'!Y:Y,'DADOS DE VENDA'!AC:AC,"RUPTURA NO PERIODO")</f>
        <v>#REF!</v>
      </c>
      <c r="M56" s="286" t="str">
        <f t="array" ref="M56">IFS(C56&lt;I56,"ABAIXO",C56&gt;I56,"ACIMA",C56=I56,"OK")</f>
        <v>#REF!</v>
      </c>
      <c r="P56" s="274" t="str">
        <f t="shared" ref="P56:P59" si="153">(A56)</f>
        <v>#REF!</v>
      </c>
      <c r="Q56" s="275" t="str">
        <f t="shared" ref="Q56:Q59" si="154">XLOOKUP(P56,'[1]ESCALA DE PRODUÇÃO'!$AL$1:$AL$1048566,'[1]ESCALA DE PRODUÇÃO'!$AJ$1:$AJ$1048566,"NÃO ENCOTRADO")</f>
        <v>#REF!</v>
      </c>
      <c r="R56" s="276">
        <f t="shared" ref="R56:R59" si="155">C56</f>
        <v>5</v>
      </c>
      <c r="S56" s="279" t="str">
        <f t="shared" ref="S56:S59" si="156">F56</f>
        <v>0</v>
      </c>
    </row>
    <row r="57" ht="14.25" customHeight="1">
      <c r="A57" s="274" t="str">
        <f t="shared" si="144"/>
        <v>#REF!</v>
      </c>
      <c r="B57" s="275" t="str">
        <f t="shared" si="145"/>
        <v>#REF!</v>
      </c>
      <c r="C57" s="276">
        <v>6.0</v>
      </c>
      <c r="D57" s="277" t="str">
        <f t="shared" si="146"/>
        <v>#REF!</v>
      </c>
      <c r="E57" s="278" t="str">
        <f t="shared" si="147"/>
        <v>#REF!</v>
      </c>
      <c r="F57" s="279" t="str">
        <f t="shared" si="148"/>
        <v>0</v>
      </c>
      <c r="G57" s="280" t="str">
        <f t="shared" si="149"/>
        <v>#REF!</v>
      </c>
      <c r="H57" s="287" t="str">
        <f t="shared" si="150"/>
        <v>0</v>
      </c>
      <c r="I57" s="288" t="str">
        <f t="array" ref="I57">XLOOKUP(A57,'DADOS DE VENDA'!Y:Y,'DADOS DE VENDA'!AB:AB,"SEM VENDA")</f>
        <v>#REF!</v>
      </c>
      <c r="J57" s="289" t="str">
        <f t="shared" si="151"/>
        <v>0</v>
      </c>
      <c r="K57" s="290" t="str">
        <f t="shared" si="152"/>
        <v>0</v>
      </c>
      <c r="L57" s="291" t="str">
        <f t="array" ref="L57">XLOOKUP(A57,'DADOS DE VENDA'!Y:Y,'DADOS DE VENDA'!AC:AC,"RUPTURA NO PERIODO")</f>
        <v>#REF!</v>
      </c>
      <c r="M57" s="286" t="str">
        <f t="array" ref="M57">IFS(C57&lt;I57,"ABAIXO",C57&gt;I57,"ACIMA",C57=I57,"OK")</f>
        <v>#REF!</v>
      </c>
      <c r="P57" s="274" t="str">
        <f t="shared" si="153"/>
        <v>#REF!</v>
      </c>
      <c r="Q57" s="275" t="str">
        <f t="shared" si="154"/>
        <v>#REF!</v>
      </c>
      <c r="R57" s="276">
        <f t="shared" si="155"/>
        <v>6</v>
      </c>
      <c r="S57" s="279" t="str">
        <f t="shared" si="156"/>
        <v>0</v>
      </c>
    </row>
    <row r="58" ht="14.25" customHeight="1">
      <c r="A58" s="274" t="str">
        <f t="shared" si="144"/>
        <v>#REF!</v>
      </c>
      <c r="B58" s="275" t="str">
        <f t="shared" si="145"/>
        <v>#REF!</v>
      </c>
      <c r="C58" s="276">
        <v>7.0</v>
      </c>
      <c r="D58" s="277" t="str">
        <f t="shared" si="146"/>
        <v>#REF!</v>
      </c>
      <c r="E58" s="278" t="str">
        <f t="shared" si="147"/>
        <v>#REF!</v>
      </c>
      <c r="F58" s="279" t="str">
        <f t="shared" si="148"/>
        <v>0</v>
      </c>
      <c r="G58" s="280" t="str">
        <f t="shared" si="149"/>
        <v>#REF!</v>
      </c>
      <c r="H58" s="287" t="str">
        <f t="shared" si="150"/>
        <v>0</v>
      </c>
      <c r="I58" s="288" t="str">
        <f t="array" ref="I58">XLOOKUP(A58,'DADOS DE VENDA'!Y:Y,'DADOS DE VENDA'!AB:AB,"SEM VENDA")</f>
        <v>#REF!</v>
      </c>
      <c r="J58" s="289" t="str">
        <f t="shared" si="151"/>
        <v>0</v>
      </c>
      <c r="K58" s="290" t="str">
        <f t="shared" si="152"/>
        <v>0</v>
      </c>
      <c r="L58" s="291" t="str">
        <f t="array" ref="L58">XLOOKUP(A58,'DADOS DE VENDA'!Y:Y,'DADOS DE VENDA'!AC:AC,"RUPTURA NO PERIODO")</f>
        <v>#REF!</v>
      </c>
      <c r="M58" s="286" t="str">
        <f t="array" ref="M58">IFS(C58&lt;I58,"ABAIXO",C58&gt;I58,"ACIMA",C58=I58,"OK")</f>
        <v>#REF!</v>
      </c>
      <c r="P58" s="274" t="str">
        <f t="shared" si="153"/>
        <v>#REF!</v>
      </c>
      <c r="Q58" s="275" t="str">
        <f t="shared" si="154"/>
        <v>#REF!</v>
      </c>
      <c r="R58" s="276">
        <f t="shared" si="155"/>
        <v>7</v>
      </c>
      <c r="S58" s="279" t="str">
        <f t="shared" si="156"/>
        <v>0</v>
      </c>
    </row>
    <row r="59" ht="14.25" customHeight="1">
      <c r="A59" s="274" t="str">
        <f t="shared" si="144"/>
        <v>#REF!</v>
      </c>
      <c r="B59" s="275" t="str">
        <f t="shared" si="145"/>
        <v>#REF!</v>
      </c>
      <c r="C59" s="276">
        <v>8.0</v>
      </c>
      <c r="D59" s="277" t="str">
        <f t="shared" si="146"/>
        <v>#REF!</v>
      </c>
      <c r="E59" s="278" t="str">
        <f t="shared" si="147"/>
        <v>#REF!</v>
      </c>
      <c r="F59" s="279" t="str">
        <f t="shared" si="148"/>
        <v>0</v>
      </c>
      <c r="G59" s="280" t="str">
        <f t="shared" si="149"/>
        <v>#REF!</v>
      </c>
      <c r="H59" s="287" t="str">
        <f t="shared" si="150"/>
        <v>0</v>
      </c>
      <c r="I59" s="288" t="str">
        <f t="array" ref="I59">XLOOKUP(A59,'DADOS DE VENDA'!Y:Y,'DADOS DE VENDA'!AB:AB,"SEM VENDA")</f>
        <v>#REF!</v>
      </c>
      <c r="J59" s="289" t="str">
        <f t="shared" si="151"/>
        <v>0</v>
      </c>
      <c r="K59" s="290" t="str">
        <f t="shared" si="152"/>
        <v>0</v>
      </c>
      <c r="L59" s="291" t="str">
        <f t="array" ref="L59">XLOOKUP(A59,'DADOS DE VENDA'!Y:Y,'DADOS DE VENDA'!AC:AC,"RUPTURA NO PERIODO")</f>
        <v>#REF!</v>
      </c>
      <c r="M59" s="286" t="str">
        <f t="array" ref="M59">IFS(C59&lt;I59,"ABAIXO",C59&gt;I59,"ACIMA",C59=I59,"OK")</f>
        <v>#REF!</v>
      </c>
      <c r="P59" s="274" t="str">
        <f t="shared" si="153"/>
        <v>#REF!</v>
      </c>
      <c r="Q59" s="275" t="str">
        <f t="shared" si="154"/>
        <v>#REF!</v>
      </c>
      <c r="R59" s="276">
        <f t="shared" si="155"/>
        <v>8</v>
      </c>
      <c r="S59" s="279" t="str">
        <f t="shared" si="156"/>
        <v>0</v>
      </c>
    </row>
    <row r="60" ht="14.25" customHeight="1">
      <c r="A60" s="274"/>
      <c r="B60" s="304" t="s">
        <v>1162</v>
      </c>
      <c r="C60" s="304" t="s">
        <v>1163</v>
      </c>
      <c r="D60" s="305"/>
      <c r="E60" s="306"/>
      <c r="F60" s="307" t="s">
        <v>1164</v>
      </c>
      <c r="G60" s="308">
        <f>SUM(H51,H52,H53,H54,H56,H57,H58,H59)</f>
        <v>0</v>
      </c>
      <c r="H60" s="306"/>
      <c r="I60" s="288" t="str">
        <f t="array" ref="I60">XLOOKUP(A60,'DADOS DE VENDA'!Y:Y,'DADOS DE VENDA'!AB:AB,"SEM VENDA")</f>
        <v>SEM VENDA</v>
      </c>
      <c r="J60" s="309">
        <f>SUM(H51,H52,H53,H54,H56,H57,H58,H59)</f>
        <v>0</v>
      </c>
      <c r="K60" s="306"/>
      <c r="L60" s="310"/>
      <c r="M60" s="311"/>
      <c r="P60" s="312" t="s">
        <v>1156</v>
      </c>
      <c r="Q60" s="313"/>
      <c r="R60" s="314">
        <f>G60</f>
        <v>0</v>
      </c>
      <c r="S60" s="313"/>
    </row>
    <row r="61" ht="14.25" customHeight="1">
      <c r="G61" s="42"/>
    </row>
    <row r="62" ht="14.25" customHeight="1">
      <c r="G62" s="42"/>
    </row>
    <row r="63" ht="14.25" customHeight="1">
      <c r="G63" s="42"/>
      <c r="P63" s="332" t="s">
        <v>1172</v>
      </c>
      <c r="Q63" s="333"/>
      <c r="R63" s="334">
        <f>SUM(R28,R45,R60)</f>
        <v>0</v>
      </c>
      <c r="S63" s="335"/>
    </row>
    <row r="64" ht="14.25" customHeight="1">
      <c r="G64" s="42"/>
      <c r="P64" s="336"/>
      <c r="R64" s="336"/>
      <c r="S64" s="337"/>
    </row>
    <row r="65" ht="14.25" customHeight="1">
      <c r="G65" s="42"/>
      <c r="P65" s="338"/>
      <c r="Q65" s="339"/>
      <c r="R65" s="338"/>
      <c r="S65" s="340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H1"/>
    <mergeCell ref="I1:M1"/>
    <mergeCell ref="P1:Q1"/>
    <mergeCell ref="C2:H2"/>
    <mergeCell ref="I2:M2"/>
    <mergeCell ref="P2:Q2"/>
    <mergeCell ref="R2:S2"/>
    <mergeCell ref="A32:B32"/>
    <mergeCell ref="C32:H32"/>
    <mergeCell ref="I32:M32"/>
    <mergeCell ref="P32:Q32"/>
    <mergeCell ref="R32:S32"/>
    <mergeCell ref="A2:B2"/>
    <mergeCell ref="D28:E28"/>
    <mergeCell ref="G28:H28"/>
    <mergeCell ref="J28:K28"/>
    <mergeCell ref="P28:Q28"/>
    <mergeCell ref="R28:S28"/>
    <mergeCell ref="A31:H31"/>
    <mergeCell ref="I31:M31"/>
    <mergeCell ref="P31:Q31"/>
    <mergeCell ref="D45:E45"/>
    <mergeCell ref="G45:H45"/>
    <mergeCell ref="J45:K45"/>
    <mergeCell ref="P45:Q45"/>
    <mergeCell ref="R45:S45"/>
    <mergeCell ref="A49:B49"/>
    <mergeCell ref="D60:E60"/>
    <mergeCell ref="G60:H60"/>
    <mergeCell ref="J60:K60"/>
    <mergeCell ref="P60:Q60"/>
    <mergeCell ref="R60:S60"/>
    <mergeCell ref="P63:Q65"/>
    <mergeCell ref="R63:S65"/>
    <mergeCell ref="A48:H48"/>
    <mergeCell ref="I48:M48"/>
    <mergeCell ref="P48:Q48"/>
    <mergeCell ref="C49:H49"/>
    <mergeCell ref="I49:M49"/>
    <mergeCell ref="P49:Q49"/>
    <mergeCell ref="R49:S49"/>
  </mergeCells>
  <conditionalFormatting sqref="I4:I6 I8:I10 I12:I13 I15:I16 I18:I20 I22:I24 I26:I28">
    <cfRule type="containsText" dxfId="0" priority="1" operator="containsText" text="SEM VENDA">
      <formula>NOT(ISERROR(SEARCH(("SEM VENDA"),(I4))))</formula>
    </cfRule>
  </conditionalFormatting>
  <conditionalFormatting sqref="I29:I30">
    <cfRule type="containsText" dxfId="0" priority="2" operator="containsText" text="SEM VENDAS">
      <formula>NOT(ISERROR(SEARCH(("SEM VENDAS"),(I29))))</formula>
    </cfRule>
  </conditionalFormatting>
  <conditionalFormatting sqref="I34:I36 I38:I40 I42:I45">
    <cfRule type="containsText" dxfId="0" priority="3" operator="containsText" text="SEM VENDA">
      <formula>NOT(ISERROR(SEARCH(("SEM VENDA"),(I34))))</formula>
    </cfRule>
  </conditionalFormatting>
  <conditionalFormatting sqref="I51:I54 I56:I60">
    <cfRule type="containsText" dxfId="0" priority="4" operator="containsText" text="SEM VENDA">
      <formula>NOT(ISERROR(SEARCH(("SEM VENDA"),(I51))))</formula>
    </cfRule>
  </conditionalFormatting>
  <conditionalFormatting sqref="L4:L6 L8:L10 L12:L13 L15:L16 L18:L20 L22:L24 L26:L30">
    <cfRule type="containsText" dxfId="0" priority="5" operator="containsText" text="RUPTURA NO PERIODO">
      <formula>NOT(ISERROR(SEARCH(("RUPTURA NO PERIODO"),(L4))))</formula>
    </cfRule>
  </conditionalFormatting>
  <conditionalFormatting sqref="L34:L36 L38:L40 L42:L45">
    <cfRule type="containsText" dxfId="0" priority="6" operator="containsText" text="RUPTURA NO PERIODO">
      <formula>NOT(ISERROR(SEARCH(("RUPTURA NO PERIODO"),(L34))))</formula>
    </cfRule>
  </conditionalFormatting>
  <conditionalFormatting sqref="L51:L54">
    <cfRule type="containsText" dxfId="0" priority="7" operator="containsText" text="RUPTURA NO PERIODO">
      <formula>NOT(ISERROR(SEARCH(("RUPTURA NO PERIODO"),(L51))))</formula>
    </cfRule>
  </conditionalFormatting>
  <conditionalFormatting sqref="L56:L60">
    <cfRule type="containsText" dxfId="0" priority="8" operator="containsText" text="RUPTURA NO PERIODO">
      <formula>NOT(ISERROR(SEARCH(("RUPTURA NO PERIODO"),(L56))))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8.14"/>
    <col customWidth="1" min="5" max="5" width="7.0"/>
    <col customWidth="1" min="6" max="6" width="9.29"/>
    <col customWidth="1" min="7" max="7" width="11.29"/>
    <col customWidth="1" min="8" max="8" width="11.57"/>
    <col customWidth="1" min="9" max="9" width="14.0"/>
    <col customWidth="1" min="10" max="10" width="10.86"/>
    <col customWidth="1" min="11" max="11" width="15.43"/>
    <col customWidth="1" min="12" max="12" width="26.29"/>
    <col customWidth="1" min="13" max="16" width="8.71"/>
    <col customWidth="1" min="17" max="17" width="86.0"/>
    <col customWidth="1" min="18" max="18" width="8.71"/>
    <col customWidth="1" min="19" max="19" width="12.0"/>
    <col customWidth="1" min="20" max="26" width="8.71"/>
  </cols>
  <sheetData>
    <row r="1" ht="14.25" customHeight="1">
      <c r="A1" s="391" t="s">
        <v>1182</v>
      </c>
      <c r="B1" s="250"/>
      <c r="C1" s="250"/>
      <c r="D1" s="250"/>
      <c r="E1" s="250"/>
      <c r="F1" s="250"/>
      <c r="G1" s="250"/>
      <c r="H1" s="251"/>
      <c r="I1" s="392" t="s">
        <v>1148</v>
      </c>
      <c r="J1" s="250"/>
      <c r="K1" s="250"/>
      <c r="L1" s="250"/>
      <c r="M1" s="254"/>
      <c r="P1" s="255" t="s">
        <v>1183</v>
      </c>
      <c r="Q1" s="256"/>
      <c r="R1" s="257" t="s">
        <v>12</v>
      </c>
      <c r="S1" s="258">
        <v>46046.0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6" si="1">('[1]ESCALA DE PRODUÇÃO'!AA3)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21.0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('[1]ESCALA DE PRODUÇÃO'!AC3)</f>
        <v>#REF!</v>
      </c>
      <c r="F4" s="279">
        <v>20.0</v>
      </c>
      <c r="G4" s="280" t="str">
        <f t="shared" ref="G4:G6" si="5">XLOOKUP(A4,'[1]ESCALA DE PRODUÇÃO'!$AL$1:$AL$1048566,'[1]ESCALA DE PRODUÇÃO'!$AM$1:$AM$1048566,"SEM PREÇO")</f>
        <v>#REF!</v>
      </c>
      <c r="H4" s="281" t="str">
        <f t="shared" ref="H4:H6" si="6">IFERROR(C4*G4,"0")</f>
        <v>0</v>
      </c>
      <c r="I4" s="282" t="str">
        <f t="array" ref="I4">XLOOKUP(A4,'DADOS DE VENDA'!AE:AE,'DADOS DE VENDA'!AH:AH,"SEM VENDA")</f>
        <v>#REF!</v>
      </c>
      <c r="J4" s="283" t="str">
        <f t="shared" ref="J4:J6" si="7">IFERROR(I4/E4,"0")</f>
        <v>0</v>
      </c>
      <c r="K4" s="284" t="str">
        <f t="shared" ref="K4:K6" si="8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9">(A4)</f>
        <v>#REF!</v>
      </c>
      <c r="Q4" s="275" t="str">
        <f t="shared" ref="Q4:Q6" si="10">XLOOKUP(P4,'[1]ESCALA DE PRODUÇÃO'!$AL$1:$AL$1048566,'[1]ESCALA DE PRODUÇÃO'!$AJ$1:$AJ$1048566,"NÃO ENCOTRADO")</f>
        <v>#REF!</v>
      </c>
      <c r="R4" s="276">
        <f t="shared" ref="R4:R6" si="11">C4</f>
        <v>21</v>
      </c>
      <c r="S4" s="279">
        <f t="shared" ref="S4:S6" si="12">(F4)</f>
        <v>20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12.0</v>
      </c>
      <c r="D5" s="277" t="str">
        <f t="shared" si="3"/>
        <v>#REF!</v>
      </c>
      <c r="E5" s="278" t="str">
        <f t="shared" si="4"/>
        <v>#REF!</v>
      </c>
      <c r="F5" s="279">
        <v>12.0</v>
      </c>
      <c r="G5" s="280" t="str">
        <f t="shared" si="5"/>
        <v>#REF!</v>
      </c>
      <c r="H5" s="287" t="str">
        <f t="shared" si="6"/>
        <v>0</v>
      </c>
      <c r="I5" s="282" t="str">
        <f t="array" ref="I5">XLOOKUP(A5,'DADOS DE VENDA'!AE:AE,'DADOS DE VENDA'!AH:AH,"SEM VENDA")</f>
        <v>#REF!</v>
      </c>
      <c r="J5" s="289" t="str">
        <f t="shared" si="7"/>
        <v>0</v>
      </c>
      <c r="K5" s="290" t="str">
        <f t="shared" si="8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9"/>
        <v>#REF!</v>
      </c>
      <c r="Q5" s="275" t="str">
        <f t="shared" si="10"/>
        <v>#REF!</v>
      </c>
      <c r="R5" s="276">
        <f t="shared" si="11"/>
        <v>12</v>
      </c>
      <c r="S5" s="279">
        <f t="shared" si="12"/>
        <v>12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>IFERROR(C6/E6,"0")</f>
        <v>0</v>
      </c>
      <c r="G6" s="280" t="str">
        <f t="shared" si="5"/>
        <v>#REF!</v>
      </c>
      <c r="H6" s="287" t="str">
        <f t="shared" si="6"/>
        <v>0</v>
      </c>
      <c r="I6" s="282" t="str">
        <f t="array" ref="I6">XLOOKUP(A6,'DADOS DE VENDA'!AE:AE,'DADOS DE VENDA'!AH:AH,"SEM VENDA")</f>
        <v>#REF!</v>
      </c>
      <c r="J6" s="289" t="str">
        <f t="shared" si="7"/>
        <v>0</v>
      </c>
      <c r="K6" s="290" t="str">
        <f t="shared" si="8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9"/>
        <v>#REF!</v>
      </c>
      <c r="Q6" s="275" t="str">
        <f t="shared" si="10"/>
        <v>#REF!</v>
      </c>
      <c r="R6" s="276">
        <f t="shared" si="11"/>
        <v>0</v>
      </c>
      <c r="S6" s="279" t="str">
        <f t="shared" si="12"/>
        <v>0</v>
      </c>
    </row>
    <row r="7" ht="14.25" customHeight="1">
      <c r="A7" s="348" t="s">
        <v>271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ref="A8:A10" si="13">('[1]ESCALA DE PRODUÇÃO'!AA7)</f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4.0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('[1]ESCALA DE PRODUÇÃO'!AC7)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2" t="str">
        <f t="array" ref="I8">XLOOKUP(A8,'DADOS DE VENDA'!AE:AE,'DADOS DE VENDA'!AH:AH,"SEM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(A8)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4</v>
      </c>
      <c r="S8" s="279" t="str">
        <f t="shared" ref="S8:S10" si="25">(F8)</f>
        <v>0</v>
      </c>
    </row>
    <row r="9" ht="14.25" customHeight="1">
      <c r="A9" s="277" t="str">
        <f t="shared" si="13"/>
        <v>#REF!</v>
      </c>
      <c r="B9" s="275" t="str">
        <f t="shared" si="14"/>
        <v>#REF!</v>
      </c>
      <c r="C9" s="276">
        <v>2.0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2" t="str">
        <f t="array" ref="I9">XLOOKUP(A9,'DADOS DE VENDA'!AE:AE,'DADOS DE VENDA'!AH:AH,"SEM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2</v>
      </c>
      <c r="S9" s="279" t="str">
        <f t="shared" si="25"/>
        <v>0</v>
      </c>
    </row>
    <row r="10" ht="14.25" customHeight="1">
      <c r="A10" s="277" t="str">
        <f t="shared" si="13"/>
        <v>#REF!</v>
      </c>
      <c r="B10" s="275" t="str">
        <f t="shared" si="14"/>
        <v>#REF!</v>
      </c>
      <c r="C10" s="276">
        <v>6.0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2" t="str">
        <f t="array" ref="I10">XLOOKUP(A10,'DADOS DE VENDA'!AE:AE,'DADOS DE VENDA'!AH:AH,"SEM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6</v>
      </c>
      <c r="S10" s="279" t="str">
        <f t="shared" si="25"/>
        <v>0</v>
      </c>
    </row>
    <row r="11" ht="14.25" customHeight="1">
      <c r="A11" s="348" t="s">
        <v>271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ref="A12:A13" si="26">('[1]ESCALA DE PRODUÇÃO'!AA11)</f>
        <v>#REF!</v>
      </c>
      <c r="B12" s="275" t="str">
        <f t="shared" ref="B12:B13" si="27">XLOOKUP(A12,'[1]ESCALA DE PRODUÇÃO'!$AL$1:$AL$1048566,'[1]ESCALA DE PRODUÇÃO'!$AJ$1:$AJ$1048566,"NÃO ENCOTRADO")</f>
        <v>#REF!</v>
      </c>
      <c r="C12" s="276">
        <v>1.5</v>
      </c>
      <c r="D12" s="277" t="str">
        <f t="shared" ref="D12:D13" si="28">XLOOKUP(A12,'[1]ESCALA DE PRODUÇÃO'!$AL$1:$AL$1048566,'[1]ESCALA DE PRODUÇÃO'!$AK$1:$AK$1048566,"0")</f>
        <v>#REF!</v>
      </c>
      <c r="E12" s="278" t="str">
        <f t="shared" ref="E12:E13" si="29">('[1]ESCALA DE PRODUÇÃO'!AC11)</f>
        <v>#REF!</v>
      </c>
      <c r="F12" s="279" t="str">
        <f t="shared" ref="F12:F13" si="30">IFERROR(C12/E12,"0")</f>
        <v>0</v>
      </c>
      <c r="G12" s="280" t="str">
        <f t="shared" ref="G12:G13" si="31">XLOOKUP(A12,'[1]ESCALA DE PRODUÇÃO'!$AL$1:$AL$1048566,'[1]ESCALA DE PRODUÇÃO'!$AM$1:$AM$1048566,"SEM PREÇO")</f>
        <v>#REF!</v>
      </c>
      <c r="H12" s="287" t="str">
        <f t="shared" ref="H12:H13" si="32">IFERROR(C12*G12,"0")</f>
        <v>0</v>
      </c>
      <c r="I12" s="282" t="str">
        <f t="array" ref="I12">XLOOKUP(A12,'DADOS DE VENDA'!AE:AE,'DADOS DE VENDA'!AH:AH,"SEM VENDA")</f>
        <v>#REF!</v>
      </c>
      <c r="J12" s="289" t="str">
        <f t="shared" ref="J12:J13" si="33">IFERROR(I12/E12,"0")</f>
        <v>0</v>
      </c>
      <c r="K12" s="290" t="str">
        <f t="shared" ref="K12:K13" si="34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5">(A12)</f>
        <v>#REF!</v>
      </c>
      <c r="Q12" s="275" t="str">
        <f t="shared" ref="Q12:Q13" si="36">XLOOKUP(P12,'[1]ESCALA DE PRODUÇÃO'!$AL$1:$AL$1048566,'[1]ESCALA DE PRODUÇÃO'!$AJ$1:$AJ$1048566,"NÃO ENCOTRADO")</f>
        <v>#REF!</v>
      </c>
      <c r="R12" s="276">
        <f t="shared" ref="R12:R13" si="37">C12</f>
        <v>1.5</v>
      </c>
      <c r="S12" s="279" t="str">
        <f t="shared" ref="S12:S13" si="38">(F12)</f>
        <v>0</v>
      </c>
    </row>
    <row r="13" ht="14.25" customHeight="1">
      <c r="A13" s="277" t="str">
        <f t="shared" si="26"/>
        <v>#REF!</v>
      </c>
      <c r="B13" s="275" t="str">
        <f t="shared" si="27"/>
        <v>#REF!</v>
      </c>
      <c r="C13" s="276">
        <v>0.0</v>
      </c>
      <c r="D13" s="277" t="str">
        <f t="shared" si="28"/>
        <v>#REF!</v>
      </c>
      <c r="E13" s="278" t="str">
        <f t="shared" si="29"/>
        <v>#REF!</v>
      </c>
      <c r="F13" s="279" t="str">
        <f t="shared" si="30"/>
        <v>0</v>
      </c>
      <c r="G13" s="280" t="str">
        <f t="shared" si="31"/>
        <v>#REF!</v>
      </c>
      <c r="H13" s="287" t="str">
        <f t="shared" si="32"/>
        <v>0</v>
      </c>
      <c r="I13" s="282" t="str">
        <f t="array" ref="I13">XLOOKUP(A13,'DADOS DE VENDA'!AE:AE,'DADOS DE VENDA'!AH:AH,"SEM VENDA")</f>
        <v>#REF!</v>
      </c>
      <c r="J13" s="289" t="str">
        <f t="shared" si="33"/>
        <v>0</v>
      </c>
      <c r="K13" s="290" t="str">
        <f t="shared" si="34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5"/>
        <v>#REF!</v>
      </c>
      <c r="Q13" s="275" t="str">
        <f t="shared" si="36"/>
        <v>#REF!</v>
      </c>
      <c r="R13" s="276">
        <f t="shared" si="37"/>
        <v>0</v>
      </c>
      <c r="S13" s="279" t="str">
        <f t="shared" si="38"/>
        <v>0</v>
      </c>
    </row>
    <row r="14" ht="14.25" customHeight="1">
      <c r="A14" s="348" t="s">
        <v>271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ref="A15:A16" si="39">('[1]ESCALA DE PRODUÇÃO'!AA14)</f>
        <v>#REF!</v>
      </c>
      <c r="B15" s="275" t="str">
        <f t="shared" ref="B15:B16" si="40">XLOOKUP(A15,'[1]ESCALA DE PRODUÇÃO'!$AL$1:$AL$1048566,'[1]ESCALA DE PRODUÇÃO'!$AJ$1:$AJ$1048566,"NÃO ENCOTRADO")</f>
        <v>#REF!</v>
      </c>
      <c r="C15" s="276">
        <v>1.0</v>
      </c>
      <c r="D15" s="277" t="str">
        <f t="shared" ref="D15:D16" si="41">XLOOKUP(A15,'[1]ESCALA DE PRODUÇÃO'!$AL$1:$AL$1048566,'[1]ESCALA DE PRODUÇÃO'!$AK$1:$AK$1048566,"0")</f>
        <v>#REF!</v>
      </c>
      <c r="E15" s="278" t="str">
        <f t="shared" ref="E15:E16" si="42">('[1]ESCALA DE PRODUÇÃO'!AC14)</f>
        <v>#REF!</v>
      </c>
      <c r="F15" s="279" t="str">
        <f t="shared" ref="F15:F16" si="43">IFERROR(C15/E15,"0")</f>
        <v>0</v>
      </c>
      <c r="G15" s="280" t="str">
        <f t="shared" ref="G15:G16" si="44">XLOOKUP(A15,'[1]ESCALA DE PRODUÇÃO'!$AL$1:$AL$1048566,'[1]ESCALA DE PRODUÇÃO'!$AM$1:$AM$1048566,"SEM PREÇO")</f>
        <v>#REF!</v>
      </c>
      <c r="H15" s="287" t="str">
        <f t="shared" ref="H15:H16" si="45">IFERROR(C15*G15,"0")</f>
        <v>0</v>
      </c>
      <c r="I15" s="282" t="str">
        <f t="array" ref="I15">XLOOKUP(A15,'DADOS DE VENDA'!AE:AE,'DADOS DE VENDA'!AH:AH,"SEM VENDA")</f>
        <v>#REF!</v>
      </c>
      <c r="J15" s="289" t="str">
        <f t="shared" ref="J15:J16" si="46">IFERROR(I15/E15,"0")</f>
        <v>0</v>
      </c>
      <c r="K15" s="290" t="str">
        <f t="shared" ref="K15:K16" si="47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8">(A15)</f>
        <v>#REF!</v>
      </c>
      <c r="Q15" s="275" t="str">
        <f t="shared" ref="Q15:Q16" si="49">XLOOKUP(P15,'[1]ESCALA DE PRODUÇÃO'!$AL$1:$AL$1048566,'[1]ESCALA DE PRODUÇÃO'!$AJ$1:$AJ$1048566,"NÃO ENCOTRADO")</f>
        <v>#REF!</v>
      </c>
      <c r="R15" s="276">
        <f t="shared" ref="R15:R16" si="50">C15</f>
        <v>1</v>
      </c>
      <c r="S15" s="279" t="str">
        <f t="shared" ref="S15:S16" si="51">(F15)</f>
        <v>0</v>
      </c>
    </row>
    <row r="16" ht="14.25" customHeight="1">
      <c r="A16" s="277" t="str">
        <f t="shared" si="39"/>
        <v>#REF!</v>
      </c>
      <c r="B16" s="275" t="str">
        <f t="shared" si="40"/>
        <v>#REF!</v>
      </c>
      <c r="C16" s="276">
        <v>2.0</v>
      </c>
      <c r="D16" s="277" t="str">
        <f t="shared" si="41"/>
        <v>#REF!</v>
      </c>
      <c r="E16" s="278" t="str">
        <f t="shared" si="42"/>
        <v>#REF!</v>
      </c>
      <c r="F16" s="279" t="str">
        <f t="shared" si="43"/>
        <v>0</v>
      </c>
      <c r="G16" s="280" t="str">
        <f t="shared" si="44"/>
        <v>#REF!</v>
      </c>
      <c r="H16" s="287" t="str">
        <f t="shared" si="45"/>
        <v>0</v>
      </c>
      <c r="I16" s="282" t="str">
        <f t="array" ref="I16">XLOOKUP(A16,'DADOS DE VENDA'!AE:AE,'DADOS DE VENDA'!AH:AH,"SEM VENDA")</f>
        <v>#REF!</v>
      </c>
      <c r="J16" s="289" t="str">
        <f t="shared" si="46"/>
        <v>0</v>
      </c>
      <c r="K16" s="290" t="str">
        <f t="shared" si="47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8"/>
        <v>#REF!</v>
      </c>
      <c r="Q16" s="275" t="str">
        <f t="shared" si="49"/>
        <v>#REF!</v>
      </c>
      <c r="R16" s="276">
        <f t="shared" si="50"/>
        <v>2</v>
      </c>
      <c r="S16" s="279" t="str">
        <f t="shared" si="51"/>
        <v>0</v>
      </c>
    </row>
    <row r="17" ht="14.25" customHeight="1">
      <c r="A17" s="348" t="s">
        <v>271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ref="A18:A20" si="52">('[1]ESCALA DE PRODUÇÃO'!AA17)</f>
        <v>#REF!</v>
      </c>
      <c r="B18" s="275" t="str">
        <f t="shared" ref="B18:B20" si="53">XLOOKUP(A18,'[1]ESCALA DE PRODUÇÃO'!$AL$1:$AL$1048566,'[1]ESCALA DE PRODUÇÃO'!$AJ$1:$AJ$1048566,"NÃO ENCOTRADO")</f>
        <v>#REF!</v>
      </c>
      <c r="C18" s="276">
        <v>1.0</v>
      </c>
      <c r="D18" s="277" t="str">
        <f t="shared" ref="D18:D20" si="54">XLOOKUP(A18,'[1]ESCALA DE PRODUÇÃO'!$AL$1:$AL$1048566,'[1]ESCALA DE PRODUÇÃO'!$AK$1:$AK$1048566,"0")</f>
        <v>#REF!</v>
      </c>
      <c r="E18" s="278" t="str">
        <f t="shared" ref="E18:E20" si="55">('[1]ESCALA DE PRODUÇÃO'!AC17)</f>
        <v>#REF!</v>
      </c>
      <c r="F18" s="279" t="str">
        <f t="shared" ref="F18:F20" si="56">IFERROR(C18/E18,"0")</f>
        <v>0</v>
      </c>
      <c r="G18" s="280" t="str">
        <f t="shared" ref="G18:G20" si="57">XLOOKUP(A18,'[1]ESCALA DE PRODUÇÃO'!$AL$1:$AL$1048566,'[1]ESCALA DE PRODUÇÃO'!$AM$1:$AM$1048566,"SEM PREÇO")</f>
        <v>#REF!</v>
      </c>
      <c r="H18" s="287" t="str">
        <f t="shared" ref="H18:H20" si="58">IFERROR(C18*G18,"0")</f>
        <v>0</v>
      </c>
      <c r="I18" s="282" t="str">
        <f t="array" ref="I18">XLOOKUP(A18,'DADOS DE VENDA'!AE:AE,'DADOS DE VENDA'!AH:AH,"SEM VENDA")</f>
        <v>#REF!</v>
      </c>
      <c r="J18" s="289" t="str">
        <f t="shared" ref="J18:J20" si="59">IFERROR(I18/E18,"0")</f>
        <v>0</v>
      </c>
      <c r="K18" s="290" t="str">
        <f t="shared" ref="K18:K20" si="60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61">(A18)</f>
        <v>#REF!</v>
      </c>
      <c r="Q18" s="275" t="str">
        <f t="shared" ref="Q18:Q20" si="62">XLOOKUP(P18,'[1]ESCALA DE PRODUÇÃO'!$AL$1:$AL$1048566,'[1]ESCALA DE PRODUÇÃO'!$AJ$1:$AJ$1048566,"NÃO ENCOTRADO")</f>
        <v>#REF!</v>
      </c>
      <c r="R18" s="276">
        <f t="shared" ref="R18:R20" si="63">C18</f>
        <v>1</v>
      </c>
      <c r="S18" s="279" t="str">
        <f t="shared" ref="S18:S20" si="64">(F18)</f>
        <v>0</v>
      </c>
    </row>
    <row r="19" ht="14.25" customHeight="1">
      <c r="A19" s="277" t="str">
        <f t="shared" si="52"/>
        <v>#REF!</v>
      </c>
      <c r="B19" s="275" t="str">
        <f t="shared" si="53"/>
        <v>#REF!</v>
      </c>
      <c r="C19" s="276">
        <v>0.5</v>
      </c>
      <c r="D19" s="277" t="str">
        <f t="shared" si="54"/>
        <v>#REF!</v>
      </c>
      <c r="E19" s="278" t="str">
        <f t="shared" si="55"/>
        <v>#REF!</v>
      </c>
      <c r="F19" s="279" t="str">
        <f t="shared" si="56"/>
        <v>0</v>
      </c>
      <c r="G19" s="280" t="str">
        <f t="shared" si="57"/>
        <v>#REF!</v>
      </c>
      <c r="H19" s="287" t="str">
        <f t="shared" si="58"/>
        <v>0</v>
      </c>
      <c r="I19" s="282" t="str">
        <f t="array" ref="I19">XLOOKUP(A19,'DADOS DE VENDA'!AE:AE,'DADOS DE VENDA'!AH:AH,"SEM VENDA")</f>
        <v>#REF!</v>
      </c>
      <c r="J19" s="289" t="str">
        <f t="shared" si="59"/>
        <v>0</v>
      </c>
      <c r="K19" s="290" t="str">
        <f t="shared" si="60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61"/>
        <v>#REF!</v>
      </c>
      <c r="Q19" s="275" t="str">
        <f t="shared" si="62"/>
        <v>#REF!</v>
      </c>
      <c r="R19" s="276">
        <f t="shared" si="63"/>
        <v>0.5</v>
      </c>
      <c r="S19" s="279" t="str">
        <f t="shared" si="64"/>
        <v>0</v>
      </c>
    </row>
    <row r="20" ht="14.25" customHeight="1">
      <c r="A20" s="277" t="str">
        <f t="shared" si="52"/>
        <v>#REF!</v>
      </c>
      <c r="B20" s="275" t="str">
        <f t="shared" si="53"/>
        <v>#REF!</v>
      </c>
      <c r="C20" s="276">
        <v>1.0</v>
      </c>
      <c r="D20" s="277" t="str">
        <f t="shared" si="54"/>
        <v>#REF!</v>
      </c>
      <c r="E20" s="278" t="str">
        <f t="shared" si="55"/>
        <v>#REF!</v>
      </c>
      <c r="F20" s="279" t="str">
        <f t="shared" si="56"/>
        <v>0</v>
      </c>
      <c r="G20" s="280" t="str">
        <f t="shared" si="57"/>
        <v>#REF!</v>
      </c>
      <c r="H20" s="287" t="str">
        <f t="shared" si="58"/>
        <v>0</v>
      </c>
      <c r="I20" s="282" t="str">
        <f t="array" ref="I20">XLOOKUP(A20,'DADOS DE VENDA'!AE:AE,'DADOS DE VENDA'!AH:AH,"SEM VENDA")</f>
        <v>#REF!</v>
      </c>
      <c r="J20" s="289" t="str">
        <f t="shared" si="59"/>
        <v>0</v>
      </c>
      <c r="K20" s="290" t="str">
        <f t="shared" si="60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61"/>
        <v>#REF!</v>
      </c>
      <c r="Q20" s="275" t="str">
        <f t="shared" si="62"/>
        <v>#REF!</v>
      </c>
      <c r="R20" s="276">
        <f t="shared" si="63"/>
        <v>1</v>
      </c>
      <c r="S20" s="279" t="str">
        <f t="shared" si="64"/>
        <v>0</v>
      </c>
    </row>
    <row r="21" ht="14.25" customHeight="1">
      <c r="A21" s="348" t="s">
        <v>271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>('[1]ESCALA DE PRODUÇÃO'!AA21)</f>
        <v>#REF!</v>
      </c>
      <c r="B22" s="275" t="str">
        <f t="shared" ref="B22:B24" si="65">XLOOKUP(A22,'[1]ESCALA DE PRODUÇÃO'!$AL$1:$AL$1048566,'[1]ESCALA DE PRODUÇÃO'!$AJ$1:$AJ$1048566,"NÃO ENCOTRADO")</f>
        <v>#REF!</v>
      </c>
      <c r="C22" s="276">
        <v>3.0</v>
      </c>
      <c r="D22" s="277" t="str">
        <f t="shared" ref="D22:D24" si="66">XLOOKUP(A22,'[1]ESCALA DE PRODUÇÃO'!$AL$1:$AL$1048566,'[1]ESCALA DE PRODUÇÃO'!$AK$1:$AK$1048566,"0")</f>
        <v>#REF!</v>
      </c>
      <c r="E22" s="278" t="str">
        <f t="shared" ref="E22:E24" si="67">('[1]ESCALA DE PRODUÇÃO'!AC21)</f>
        <v>#REF!</v>
      </c>
      <c r="F22" s="279" t="str">
        <f t="shared" ref="F22:F24" si="68">IFERROR(C22/E22,"0")</f>
        <v>0</v>
      </c>
      <c r="G22" s="280" t="str">
        <f t="shared" ref="G22:G24" si="69">XLOOKUP(A22,'[1]ESCALA DE PRODUÇÃO'!$AL$1:$AL$1048566,'[1]ESCALA DE PRODUÇÃO'!$AM$1:$AM$1048566,"SEM PREÇO")</f>
        <v>#REF!</v>
      </c>
      <c r="H22" s="287" t="str">
        <f t="shared" ref="H22:H24" si="70">IFERROR(C22*G22,"0")</f>
        <v>0</v>
      </c>
      <c r="I22" s="282" t="str">
        <f t="array" ref="I22">XLOOKUP(A22,'DADOS DE VENDA'!AE:AE,'DADOS DE VENDA'!AH:AH,"SEM VENDA")</f>
        <v>#REF!</v>
      </c>
      <c r="J22" s="289" t="str">
        <f t="shared" ref="J22:J24" si="71">IFERROR(I22/E22,"0")</f>
        <v>0</v>
      </c>
      <c r="K22" s="290" t="str">
        <f t="shared" ref="K22:K24" si="72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 t="shared" ref="P22:P24" si="73">(A22)</f>
        <v>#REF!</v>
      </c>
      <c r="Q22" s="275" t="str">
        <f t="shared" ref="Q22:Q24" si="74">XLOOKUP(P22,'[1]ESCALA DE PRODUÇÃO'!$AL$1:$AL$1048566,'[1]ESCALA DE PRODUÇÃO'!$AJ$1:$AJ$1048566,"NÃO ENCOTRADO")</f>
        <v>#REF!</v>
      </c>
      <c r="R22" s="276">
        <f t="shared" ref="R22:R24" si="75">C22</f>
        <v>3</v>
      </c>
      <c r="S22" s="279" t="str">
        <f t="shared" ref="S22:S24" si="76">(F22)</f>
        <v>0</v>
      </c>
    </row>
    <row r="23" ht="14.25" customHeight="1">
      <c r="A23" s="277" t="str">
        <f t="shared" ref="A23:A24" si="77">('[1]ESCALA DE PRODUÇÃO'!AA23)</f>
        <v>#REF!</v>
      </c>
      <c r="B23" s="275" t="str">
        <f t="shared" si="65"/>
        <v>#REF!</v>
      </c>
      <c r="C23" s="276">
        <v>0.0</v>
      </c>
      <c r="D23" s="277" t="str">
        <f t="shared" si="66"/>
        <v>#REF!</v>
      </c>
      <c r="E23" s="278" t="str">
        <f t="shared" si="67"/>
        <v>#REF!</v>
      </c>
      <c r="F23" s="279" t="str">
        <f t="shared" si="68"/>
        <v>0</v>
      </c>
      <c r="G23" s="280" t="str">
        <f t="shared" si="69"/>
        <v>#REF!</v>
      </c>
      <c r="H23" s="287" t="str">
        <f t="shared" si="70"/>
        <v>0</v>
      </c>
      <c r="I23" s="282" t="str">
        <f t="array" ref="I23">XLOOKUP(A23,'DADOS DE VENDA'!AE:AE,'DADOS DE VENDA'!AH:AH,"SEM VENDA")</f>
        <v>#REF!</v>
      </c>
      <c r="J23" s="289" t="str">
        <f t="shared" si="71"/>
        <v>0</v>
      </c>
      <c r="K23" s="290" t="str">
        <f t="shared" si="72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si="73"/>
        <v>#REF!</v>
      </c>
      <c r="Q23" s="275" t="str">
        <f t="shared" si="74"/>
        <v>#REF!</v>
      </c>
      <c r="R23" s="276">
        <f t="shared" si="75"/>
        <v>0</v>
      </c>
      <c r="S23" s="279" t="str">
        <f t="shared" si="76"/>
        <v>0</v>
      </c>
    </row>
    <row r="24" ht="14.25" customHeight="1">
      <c r="A24" s="277" t="str">
        <f t="shared" si="77"/>
        <v>#REF!</v>
      </c>
      <c r="B24" s="275" t="str">
        <f t="shared" si="65"/>
        <v>#REF!</v>
      </c>
      <c r="C24" s="276">
        <v>2.0</v>
      </c>
      <c r="D24" s="277" t="str">
        <f t="shared" si="66"/>
        <v>#REF!</v>
      </c>
      <c r="E24" s="278" t="str">
        <f t="shared" si="67"/>
        <v>#REF!</v>
      </c>
      <c r="F24" s="279" t="str">
        <f t="shared" si="68"/>
        <v>0</v>
      </c>
      <c r="G24" s="280" t="str">
        <f t="shared" si="69"/>
        <v>#REF!</v>
      </c>
      <c r="H24" s="287" t="str">
        <f t="shared" si="70"/>
        <v>0</v>
      </c>
      <c r="I24" s="282" t="str">
        <f t="array" ref="I24">XLOOKUP(A24,'DADOS DE VENDA'!AE:AE,'DADOS DE VENDA'!AH:AH,"SEM VENDA")</f>
        <v>#REF!</v>
      </c>
      <c r="J24" s="289" t="str">
        <f t="shared" si="71"/>
        <v>0</v>
      </c>
      <c r="K24" s="290" t="str">
        <f t="shared" si="72"/>
        <v>0</v>
      </c>
      <c r="L24" s="291" t="str">
        <f t="array" ref="L24">XLOOKUP(A24,'DADOS DE VENDA'!A:A,'DADOS DE VENDA'!E:E,"RUPTURA NO PERIODO")</f>
        <v>#REF!</v>
      </c>
      <c r="M24" s="286" t="str">
        <f t="array" ref="M24">IFS(C24&lt;I24,"ABAIXO",C24&gt;I24,"ACIMA",C24=I24,"OK")</f>
        <v>#REF!</v>
      </c>
      <c r="P24" s="274" t="str">
        <f t="shared" si="73"/>
        <v>#REF!</v>
      </c>
      <c r="Q24" s="275" t="str">
        <f t="shared" si="74"/>
        <v>#REF!</v>
      </c>
      <c r="R24" s="276">
        <f t="shared" si="75"/>
        <v>2</v>
      </c>
      <c r="S24" s="279" t="str">
        <f t="shared" si="76"/>
        <v>0</v>
      </c>
    </row>
    <row r="25" ht="14.25" customHeight="1">
      <c r="A25" s="348" t="s">
        <v>271</v>
      </c>
      <c r="B25" s="269" t="s">
        <v>313</v>
      </c>
      <c r="C25" s="270" t="s">
        <v>1151</v>
      </c>
      <c r="D25" s="270" t="s">
        <v>1152</v>
      </c>
      <c r="E25" s="270" t="s">
        <v>1153</v>
      </c>
      <c r="F25" s="270" t="s">
        <v>1154</v>
      </c>
      <c r="G25" s="271" t="s">
        <v>1155</v>
      </c>
      <c r="H25" s="270" t="s">
        <v>1156</v>
      </c>
      <c r="I25" s="272" t="s">
        <v>1157</v>
      </c>
      <c r="J25" s="272" t="s">
        <v>1158</v>
      </c>
      <c r="K25" s="272" t="s">
        <v>1159</v>
      </c>
      <c r="L25" s="270" t="s">
        <v>1160</v>
      </c>
      <c r="M25" s="273" t="s">
        <v>1161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77" t="str">
        <f t="shared" ref="A26:A27" si="78">('[1]ESCALA DE PRODUÇÃO'!AA25)</f>
        <v>#REF!</v>
      </c>
      <c r="B26" s="275" t="str">
        <f t="shared" ref="B26:B27" si="79">XLOOKUP(A26,'[1]ESCALA DE PRODUÇÃO'!$AL$1:$AL$1048566,'[1]ESCALA DE PRODUÇÃO'!$AJ$1:$AJ$1048566,"NÃO ENCOTRADO")</f>
        <v>#REF!</v>
      </c>
      <c r="C26" s="276">
        <v>0.0</v>
      </c>
      <c r="D26" s="277" t="str">
        <f t="shared" ref="D26:D27" si="80">XLOOKUP(A26,'[1]ESCALA DE PRODUÇÃO'!$AL$1:$AL$1048566,'[1]ESCALA DE PRODUÇÃO'!$AK$1:$AK$1048566,"0")</f>
        <v>#REF!</v>
      </c>
      <c r="E26" s="278" t="str">
        <f t="shared" ref="E26:E27" si="81">('[1]ESCALA DE PRODUÇÃO'!AC25)</f>
        <v>#REF!</v>
      </c>
      <c r="F26" s="279" t="str">
        <f t="shared" ref="F26:F27" si="82">IFERROR(C26/E26,"0")</f>
        <v>0</v>
      </c>
      <c r="G26" s="280" t="str">
        <f t="shared" ref="G26:G27" si="83">XLOOKUP(A26,'[1]ESCALA DE PRODUÇÃO'!$AL$1:$AL$1048566,'[1]ESCALA DE PRODUÇÃO'!$AM$1:$AM$1048566,"SEM PREÇO")</f>
        <v>#REF!</v>
      </c>
      <c r="H26" s="287" t="str">
        <f t="shared" ref="H26:H27" si="84">IFERROR(C26*G26,"0")</f>
        <v>0</v>
      </c>
      <c r="I26" s="282" t="str">
        <f t="array" ref="I26">XLOOKUP(A26,'DADOS DE VENDA'!AE:AE,'DADOS DE VENDA'!AH:AH,"SEM VENDA")</f>
        <v>#REF!</v>
      </c>
      <c r="J26" s="289" t="str">
        <f t="shared" ref="J26:J27" si="85">IFERROR(I26/E26,"0")</f>
        <v>0</v>
      </c>
      <c r="K26" s="290" t="str">
        <f t="shared" ref="K26:K27" si="86">IFERROR(I26*G26,"0")</f>
        <v>0</v>
      </c>
      <c r="L26" s="291" t="str">
        <f t="array" ref="L26">XLOOKUP(A26,'DADOS DE VENDA'!A:A,'DADOS DE VENDA'!E:E,"RUPTURA NO PERIODO")</f>
        <v>#REF!</v>
      </c>
      <c r="M26" s="286" t="str">
        <f t="array" ref="M26">IFS(C26&lt;I26,"ABAIXO",C26&gt;I26,"ACIMA",C26=I26,"OK")</f>
        <v>#REF!</v>
      </c>
      <c r="P26" s="274" t="str">
        <f t="shared" ref="P26:P27" si="87">(A26)</f>
        <v>#REF!</v>
      </c>
      <c r="Q26" s="275" t="str">
        <f t="shared" ref="Q26:Q27" si="88">XLOOKUP(P26,'[1]ESCALA DE PRODUÇÃO'!$AL$1:$AL$1048566,'[1]ESCALA DE PRODUÇÃO'!$AJ$1:$AJ$1048566,"NÃO ENCOTRADO")</f>
        <v>#REF!</v>
      </c>
      <c r="R26" s="276">
        <f t="shared" ref="R26:R27" si="89">C26</f>
        <v>0</v>
      </c>
      <c r="S26" s="279" t="str">
        <f t="shared" ref="S26:S27" si="90">(F26)</f>
        <v>0</v>
      </c>
    </row>
    <row r="27" ht="14.25" customHeight="1">
      <c r="A27" s="277" t="str">
        <f t="shared" si="78"/>
        <v>#REF!</v>
      </c>
      <c r="B27" s="349" t="str">
        <f t="shared" si="79"/>
        <v>#REF!</v>
      </c>
      <c r="C27" s="292">
        <v>0.0</v>
      </c>
      <c r="D27" s="293" t="str">
        <f t="shared" si="80"/>
        <v>#REF!</v>
      </c>
      <c r="E27" s="278" t="str">
        <f t="shared" si="81"/>
        <v>#REF!</v>
      </c>
      <c r="F27" s="294" t="str">
        <f t="shared" si="82"/>
        <v>0</v>
      </c>
      <c r="G27" s="295" t="str">
        <f t="shared" si="83"/>
        <v>#REF!</v>
      </c>
      <c r="H27" s="296" t="str">
        <f t="shared" si="84"/>
        <v>0</v>
      </c>
      <c r="I27" s="282" t="str">
        <f t="array" ref="I27">XLOOKUP(A27,'DADOS DE VENDA'!AE:AE,'DADOS DE VENDA'!AH:AH,"SEM VENDA")</f>
        <v>#REF!</v>
      </c>
      <c r="J27" s="298" t="str">
        <f t="shared" si="85"/>
        <v>0</v>
      </c>
      <c r="K27" s="299" t="str">
        <f t="shared" si="86"/>
        <v>0</v>
      </c>
      <c r="L27" s="300" t="str">
        <f t="array" ref="L27">XLOOKUP(A27,'DADOS DE VENDA'!A:A,'DADOS DE VENDA'!E:E,"RUPTURA NO PERIODO")</f>
        <v>#REF!</v>
      </c>
      <c r="M27" s="301" t="str">
        <f t="array" ref="M27">IFS(C27&lt;I27,"ABAIXO",C27&gt;I27,"ACIMA",C27=I27,"OK")</f>
        <v>#REF!</v>
      </c>
      <c r="P27" s="274" t="str">
        <f t="shared" si="87"/>
        <v>#REF!</v>
      </c>
      <c r="Q27" s="302" t="str">
        <f t="shared" si="88"/>
        <v>#REF!</v>
      </c>
      <c r="R27" s="292">
        <f t="shared" si="89"/>
        <v>0</v>
      </c>
      <c r="S27" s="279" t="str">
        <f t="shared" si="90"/>
        <v>0</v>
      </c>
    </row>
    <row r="28" ht="14.25" customHeight="1">
      <c r="A28" s="348" t="s">
        <v>271</v>
      </c>
      <c r="B28" s="269" t="s">
        <v>313</v>
      </c>
      <c r="C28" s="270" t="s">
        <v>1151</v>
      </c>
      <c r="D28" s="270" t="s">
        <v>1152</v>
      </c>
      <c r="E28" s="270" t="s">
        <v>1153</v>
      </c>
      <c r="F28" s="270" t="s">
        <v>1154</v>
      </c>
      <c r="G28" s="271" t="s">
        <v>1155</v>
      </c>
      <c r="H28" s="270" t="s">
        <v>1156</v>
      </c>
      <c r="I28" s="272" t="s">
        <v>1157</v>
      </c>
      <c r="J28" s="272" t="s">
        <v>1158</v>
      </c>
      <c r="K28" s="272" t="s">
        <v>1159</v>
      </c>
      <c r="L28" s="270" t="s">
        <v>1160</v>
      </c>
      <c r="M28" s="273" t="s">
        <v>1161</v>
      </c>
      <c r="P28" s="268" t="s">
        <v>271</v>
      </c>
      <c r="Q28" s="269" t="s">
        <v>313</v>
      </c>
      <c r="R28" s="270" t="s">
        <v>1151</v>
      </c>
      <c r="S28" s="270" t="s">
        <v>1154</v>
      </c>
    </row>
    <row r="29" ht="14.25" customHeight="1">
      <c r="A29" s="277" t="str">
        <f t="shared" ref="A29:A35" si="91">('[1]ESCALA DE PRODUÇÃO'!AA28)</f>
        <v>#REF!</v>
      </c>
      <c r="B29" s="349" t="str">
        <f t="shared" ref="B29:B35" si="92">XLOOKUP(A29,'[1]ESCALA DE PRODUÇÃO'!$AL$1:$AL$1048566,'[1]ESCALA DE PRODUÇÃO'!$AJ$1:$AJ$1048566,"NÃO ENCOTRADO")</f>
        <v>#REF!</v>
      </c>
      <c r="C29" s="292">
        <v>0.0</v>
      </c>
      <c r="D29" s="293" t="str">
        <f t="shared" ref="D29:D35" si="93">XLOOKUP(A29,'[1]ESCALA DE PRODUÇÃO'!$AL$1:$AL$1048566,'[1]ESCALA DE PRODUÇÃO'!$AK$1:$AK$1048566,"0")</f>
        <v>#REF!</v>
      </c>
      <c r="E29" s="278" t="str">
        <f t="shared" ref="E29:E35" si="94">('[1]ESCALA DE PRODUÇÃO'!AC28)</f>
        <v>#REF!</v>
      </c>
      <c r="F29" s="294" t="str">
        <f t="shared" ref="F29:F35" si="95">IFERROR(C29/E29,"0")</f>
        <v>0</v>
      </c>
      <c r="G29" s="295" t="str">
        <f t="shared" ref="G29:G35" si="96">XLOOKUP(A29,'[1]ESCALA DE PRODUÇÃO'!$AL$1:$AL$1048566,'[1]ESCALA DE PRODUÇÃO'!$AM$1:$AM$1048566,"SEM PREÇO")</f>
        <v>#REF!</v>
      </c>
      <c r="H29" s="296" t="str">
        <f t="shared" ref="H29:H35" si="97">IFERROR(C29*G29,"0")</f>
        <v>0</v>
      </c>
      <c r="I29" s="282" t="str">
        <f t="array" ref="I29">XLOOKUP(A29,'DADOS DE VENDA'!AE:AE,'DADOS DE VENDA'!AH:AH,"SEM VENDA")</f>
        <v>#REF!</v>
      </c>
      <c r="J29" s="298" t="str">
        <f t="shared" ref="J29:J35" si="98">IFERROR(I29/E29,"0")</f>
        <v>0</v>
      </c>
      <c r="K29" s="299" t="str">
        <f t="shared" ref="K29:K35" si="99">IFERROR(I29*G29,"0")</f>
        <v>0</v>
      </c>
      <c r="L29" s="300" t="str">
        <f t="array" ref="L29">XLOOKUP(A29,'DADOS DE VENDA'!A:A,'DADOS DE VENDA'!E:E,"RUPTURA NO PERIODO")</f>
        <v>#REF!</v>
      </c>
      <c r="M29" s="301" t="str">
        <f t="array" ref="M29">IFS(C29&lt;I29,"ABAIXO",C29&gt;I29,"ACIMA",C29=I29,"OK")</f>
        <v>#REF!</v>
      </c>
      <c r="P29" s="274" t="str">
        <f t="shared" ref="P29:P35" si="100">(A29)</f>
        <v>#REF!</v>
      </c>
      <c r="Q29" s="302" t="str">
        <f t="shared" ref="Q29:Q35" si="101">XLOOKUP(P29,'[1]ESCALA DE PRODUÇÃO'!$AL$1:$AL$1048566,'[1]ESCALA DE PRODUÇÃO'!$AJ$1:$AJ$1048566,"NÃO ENCOTRADO")</f>
        <v>#REF!</v>
      </c>
      <c r="R29" s="292">
        <f t="shared" ref="R29:R35" si="102">C29</f>
        <v>0</v>
      </c>
      <c r="S29" s="279" t="str">
        <f t="shared" ref="S29:S35" si="103">(F29)</f>
        <v>0</v>
      </c>
    </row>
    <row r="30" ht="14.25" customHeight="1">
      <c r="A30" s="277" t="str">
        <f t="shared" si="91"/>
        <v>#REF!</v>
      </c>
      <c r="B30" s="349" t="str">
        <f t="shared" si="92"/>
        <v>#REF!</v>
      </c>
      <c r="C30" s="292">
        <v>10.0</v>
      </c>
      <c r="D30" s="293" t="str">
        <f t="shared" si="93"/>
        <v>#REF!</v>
      </c>
      <c r="E30" s="278" t="str">
        <f t="shared" si="94"/>
        <v>#REF!</v>
      </c>
      <c r="F30" s="294" t="str">
        <f t="shared" si="95"/>
        <v>0</v>
      </c>
      <c r="G30" s="295" t="str">
        <f t="shared" si="96"/>
        <v>#REF!</v>
      </c>
      <c r="H30" s="296" t="str">
        <f t="shared" si="97"/>
        <v>0</v>
      </c>
      <c r="I30" s="282" t="str">
        <f t="array" ref="I30">XLOOKUP(A30,'DADOS DE VENDA'!AE:AE,'DADOS DE VENDA'!AH:AH,"SEM VENDA")</f>
        <v>#REF!</v>
      </c>
      <c r="J30" s="298" t="str">
        <f t="shared" si="98"/>
        <v>0</v>
      </c>
      <c r="K30" s="299" t="str">
        <f t="shared" si="99"/>
        <v>0</v>
      </c>
      <c r="L30" s="300" t="str">
        <f t="array" ref="L30">XLOOKUP(A30,'DADOS DE VENDA'!A:A,'DADOS DE VENDA'!E:E,"RUPTURA NO PERIODO")</f>
        <v>#REF!</v>
      </c>
      <c r="M30" s="301" t="str">
        <f t="array" ref="M30">IFS(C30&lt;I30,"ABAIXO",C30&gt;I30,"ACIMA",C30=I30,"OK")</f>
        <v>#REF!</v>
      </c>
      <c r="P30" s="274" t="str">
        <f t="shared" si="100"/>
        <v>#REF!</v>
      </c>
      <c r="Q30" s="302" t="str">
        <f t="shared" si="101"/>
        <v>#REF!</v>
      </c>
      <c r="R30" s="292">
        <f t="shared" si="102"/>
        <v>10</v>
      </c>
      <c r="S30" s="279" t="str">
        <f t="shared" si="103"/>
        <v>0</v>
      </c>
    </row>
    <row r="31" ht="14.25" customHeight="1">
      <c r="A31" s="277" t="str">
        <f t="shared" si="91"/>
        <v>#REF!</v>
      </c>
      <c r="B31" s="349" t="str">
        <f t="shared" si="92"/>
        <v>#REF!</v>
      </c>
      <c r="C31" s="292">
        <v>2.0</v>
      </c>
      <c r="D31" s="293" t="str">
        <f t="shared" si="93"/>
        <v>#REF!</v>
      </c>
      <c r="E31" s="278" t="str">
        <f t="shared" si="94"/>
        <v>#REF!</v>
      </c>
      <c r="F31" s="294" t="str">
        <f t="shared" si="95"/>
        <v>0</v>
      </c>
      <c r="G31" s="295" t="str">
        <f t="shared" si="96"/>
        <v>#REF!</v>
      </c>
      <c r="H31" s="296" t="str">
        <f t="shared" si="97"/>
        <v>0</v>
      </c>
      <c r="I31" s="282" t="str">
        <f t="array" ref="I31">XLOOKUP(A31,'DADOS DE VENDA'!AE:AE,'DADOS DE VENDA'!AH:AH,"SEM VENDA")</f>
        <v>#REF!</v>
      </c>
      <c r="J31" s="298" t="str">
        <f t="shared" si="98"/>
        <v>0</v>
      </c>
      <c r="K31" s="299" t="str">
        <f t="shared" si="99"/>
        <v>0</v>
      </c>
      <c r="L31" s="300" t="str">
        <f t="array" ref="L31">XLOOKUP(A31,'DADOS DE VENDA'!A:A,'DADOS DE VENDA'!E:E,"RUPTURA NO PERIODO")</f>
        <v>#REF!</v>
      </c>
      <c r="M31" s="301" t="str">
        <f t="array" ref="M31">IFS(C31&lt;I31,"ABAIXO",C31&gt;I31,"ACIMA",C31=I31,"OK")</f>
        <v>#REF!</v>
      </c>
      <c r="P31" s="274" t="str">
        <f t="shared" si="100"/>
        <v>#REF!</v>
      </c>
      <c r="Q31" s="302" t="str">
        <f t="shared" si="101"/>
        <v>#REF!</v>
      </c>
      <c r="R31" s="292">
        <f t="shared" si="102"/>
        <v>2</v>
      </c>
      <c r="S31" s="279" t="str">
        <f t="shared" si="103"/>
        <v>0</v>
      </c>
    </row>
    <row r="32" ht="14.25" customHeight="1">
      <c r="A32" s="277" t="str">
        <f t="shared" si="91"/>
        <v>#REF!</v>
      </c>
      <c r="B32" s="349" t="str">
        <f t="shared" si="92"/>
        <v>#REF!</v>
      </c>
      <c r="C32" s="292">
        <v>1.5</v>
      </c>
      <c r="D32" s="293" t="str">
        <f t="shared" si="93"/>
        <v>#REF!</v>
      </c>
      <c r="E32" s="278" t="str">
        <f t="shared" si="94"/>
        <v>#REF!</v>
      </c>
      <c r="F32" s="294" t="str">
        <f t="shared" si="95"/>
        <v>0</v>
      </c>
      <c r="G32" s="295" t="str">
        <f t="shared" si="96"/>
        <v>#REF!</v>
      </c>
      <c r="H32" s="296" t="str">
        <f t="shared" si="97"/>
        <v>0</v>
      </c>
      <c r="I32" s="282" t="str">
        <f t="array" ref="I32">XLOOKUP(A32,'DADOS DE VENDA'!AE:AE,'DADOS DE VENDA'!AH:AH,"SEM VENDA")</f>
        <v>#REF!</v>
      </c>
      <c r="J32" s="298" t="str">
        <f t="shared" si="98"/>
        <v>0</v>
      </c>
      <c r="K32" s="299" t="str">
        <f t="shared" si="99"/>
        <v>0</v>
      </c>
      <c r="L32" s="300" t="str">
        <f t="array" ref="L32">XLOOKUP(A32,'DADOS DE VENDA'!A:A,'DADOS DE VENDA'!E:E,"RUPTURA NO PERIODO")</f>
        <v>#REF!</v>
      </c>
      <c r="M32" s="301" t="str">
        <f t="array" ref="M32">IFS(C32&lt;I32,"ABAIXO",C32&gt;I32,"ACIMA",C32=I32,"OK")</f>
        <v>#REF!</v>
      </c>
      <c r="P32" s="274" t="str">
        <f t="shared" si="100"/>
        <v>#REF!</v>
      </c>
      <c r="Q32" s="302" t="str">
        <f t="shared" si="101"/>
        <v>#REF!</v>
      </c>
      <c r="R32" s="292">
        <f t="shared" si="102"/>
        <v>1.5</v>
      </c>
      <c r="S32" s="279" t="str">
        <f t="shared" si="103"/>
        <v>0</v>
      </c>
    </row>
    <row r="33" ht="14.25" customHeight="1">
      <c r="A33" s="277" t="str">
        <f t="shared" si="91"/>
        <v>#REF!</v>
      </c>
      <c r="B33" s="349" t="str">
        <f t="shared" si="92"/>
        <v>#REF!</v>
      </c>
      <c r="C33" s="292">
        <v>0.0</v>
      </c>
      <c r="D33" s="293" t="str">
        <f t="shared" si="93"/>
        <v>#REF!</v>
      </c>
      <c r="E33" s="278" t="str">
        <f t="shared" si="94"/>
        <v>#REF!</v>
      </c>
      <c r="F33" s="294" t="str">
        <f t="shared" si="95"/>
        <v>0</v>
      </c>
      <c r="G33" s="295" t="str">
        <f t="shared" si="96"/>
        <v>#REF!</v>
      </c>
      <c r="H33" s="296" t="str">
        <f t="shared" si="97"/>
        <v>0</v>
      </c>
      <c r="I33" s="282" t="str">
        <f t="array" ref="I33">XLOOKUP(A33,'DADOS DE VENDA'!AE:AE,'DADOS DE VENDA'!AH:AH,"SEM VENDA")</f>
        <v>#REF!</v>
      </c>
      <c r="J33" s="298" t="str">
        <f t="shared" si="98"/>
        <v>0</v>
      </c>
      <c r="K33" s="299" t="str">
        <f t="shared" si="99"/>
        <v>0</v>
      </c>
      <c r="L33" s="300" t="str">
        <f t="array" ref="L33">XLOOKUP(A33,'DADOS DE VENDA'!A:A,'DADOS DE VENDA'!E:E,"RUPTURA NO PERIODO")</f>
        <v>#REF!</v>
      </c>
      <c r="M33" s="301" t="str">
        <f t="array" ref="M33">IFS(C33&lt;I33,"ABAIXO",C33&gt;I33,"ACIMA",C33=I33,"OK")</f>
        <v>#REF!</v>
      </c>
      <c r="P33" s="274" t="str">
        <f t="shared" si="100"/>
        <v>#REF!</v>
      </c>
      <c r="Q33" s="302" t="str">
        <f t="shared" si="101"/>
        <v>#REF!</v>
      </c>
      <c r="R33" s="292">
        <f t="shared" si="102"/>
        <v>0</v>
      </c>
      <c r="S33" s="279" t="str">
        <f t="shared" si="103"/>
        <v>0</v>
      </c>
    </row>
    <row r="34" ht="14.25" customHeight="1">
      <c r="A34" s="277" t="str">
        <f t="shared" si="91"/>
        <v>#REF!</v>
      </c>
      <c r="B34" s="349" t="str">
        <f t="shared" si="92"/>
        <v>#REF!</v>
      </c>
      <c r="C34" s="292">
        <v>0.0</v>
      </c>
      <c r="D34" s="293" t="str">
        <f t="shared" si="93"/>
        <v>#REF!</v>
      </c>
      <c r="E34" s="278" t="str">
        <f t="shared" si="94"/>
        <v>#REF!</v>
      </c>
      <c r="F34" s="294" t="str">
        <f t="shared" si="95"/>
        <v>0</v>
      </c>
      <c r="G34" s="295" t="str">
        <f t="shared" si="96"/>
        <v>#REF!</v>
      </c>
      <c r="H34" s="296" t="str">
        <f t="shared" si="97"/>
        <v>0</v>
      </c>
      <c r="I34" s="282" t="str">
        <f t="array" ref="I34">XLOOKUP(A34,'DADOS DE VENDA'!AE:AE,'DADOS DE VENDA'!AH:AH,"SEM VENDA")</f>
        <v>#REF!</v>
      </c>
      <c r="J34" s="298" t="str">
        <f t="shared" si="98"/>
        <v>0</v>
      </c>
      <c r="K34" s="299" t="str">
        <f t="shared" si="99"/>
        <v>0</v>
      </c>
      <c r="L34" s="300" t="str">
        <f t="array" ref="L34">XLOOKUP(A34,'DADOS DE VENDA'!A:A,'DADOS DE VENDA'!E:E,"RUPTURA NO PERIODO")</f>
        <v>#REF!</v>
      </c>
      <c r="M34" s="301" t="str">
        <f t="array" ref="M34">IFS(C34&lt;I34,"ABAIXO",C34&gt;I34,"ACIMA",C34=I34,"OK")</f>
        <v>#REF!</v>
      </c>
      <c r="P34" s="274" t="str">
        <f t="shared" si="100"/>
        <v>#REF!</v>
      </c>
      <c r="Q34" s="302" t="str">
        <f t="shared" si="101"/>
        <v>#REF!</v>
      </c>
      <c r="R34" s="292">
        <f t="shared" si="102"/>
        <v>0</v>
      </c>
      <c r="S34" s="279" t="str">
        <f t="shared" si="103"/>
        <v>0</v>
      </c>
    </row>
    <row r="35" ht="14.25" customHeight="1">
      <c r="A35" s="277" t="str">
        <f t="shared" si="91"/>
        <v>#REF!</v>
      </c>
      <c r="B35" s="349" t="str">
        <f t="shared" si="92"/>
        <v>#REF!</v>
      </c>
      <c r="C35" s="292">
        <v>0.0</v>
      </c>
      <c r="D35" s="293" t="str">
        <f t="shared" si="93"/>
        <v>#REF!</v>
      </c>
      <c r="E35" s="278" t="str">
        <f t="shared" si="94"/>
        <v>#REF!</v>
      </c>
      <c r="F35" s="294" t="str">
        <f t="shared" si="95"/>
        <v>0</v>
      </c>
      <c r="G35" s="295" t="str">
        <f t="shared" si="96"/>
        <v>#REF!</v>
      </c>
      <c r="H35" s="296" t="str">
        <f t="shared" si="97"/>
        <v>0</v>
      </c>
      <c r="I35" s="282" t="str">
        <f t="array" ref="I35">XLOOKUP(A35,'DADOS DE VENDA'!AE:AE,'DADOS DE VENDA'!AH:AH,"SEM VENDA")</f>
        <v>#REF!</v>
      </c>
      <c r="J35" s="298" t="str">
        <f t="shared" si="98"/>
        <v>0</v>
      </c>
      <c r="K35" s="299" t="str">
        <f t="shared" si="99"/>
        <v>0</v>
      </c>
      <c r="L35" s="300" t="str">
        <f t="array" ref="L35">XLOOKUP(A35,'DADOS DE VENDA'!A:A,'DADOS DE VENDA'!E:E,"RUPTURA NO PERIODO")</f>
        <v>#REF!</v>
      </c>
      <c r="M35" s="301" t="str">
        <f t="array" ref="M35">IFS(C35&lt;I35,"ABAIXO",C35&gt;I35,"ACIMA",C35=I35,"OK")</f>
        <v>#REF!</v>
      </c>
      <c r="P35" s="274" t="str">
        <f t="shared" si="100"/>
        <v>#REF!</v>
      </c>
      <c r="Q35" s="302" t="str">
        <f t="shared" si="101"/>
        <v>#REF!</v>
      </c>
      <c r="R35" s="292">
        <f t="shared" si="102"/>
        <v>0</v>
      </c>
      <c r="S35" s="279" t="str">
        <f t="shared" si="103"/>
        <v>0</v>
      </c>
    </row>
    <row r="36" ht="14.25" customHeight="1">
      <c r="A36" s="350"/>
      <c r="B36" s="351" t="s">
        <v>1162</v>
      </c>
      <c r="C36" s="351" t="s">
        <v>1163</v>
      </c>
      <c r="D36" s="352"/>
      <c r="E36" s="353"/>
      <c r="F36" s="354" t="s">
        <v>1164</v>
      </c>
      <c r="G36" s="355">
        <f>SUM(H4,H5,H6,H8,H9,H10,H12,H13,H15,H16,H18,H19,H20,H22,H23,H24,H26,H27)</f>
        <v>0</v>
      </c>
      <c r="H36" s="353"/>
      <c r="I36" s="307" t="s">
        <v>1165</v>
      </c>
      <c r="J36" s="357">
        <f>SUM(K4+K5+K6+K8+K9+K10+K12+K13+K15+K16+K18+K19+K20+K22+K24+K26+K27)</f>
        <v>0</v>
      </c>
      <c r="K36" s="353"/>
      <c r="L36" s="358"/>
      <c r="M36" s="359"/>
      <c r="P36" s="312" t="s">
        <v>1156</v>
      </c>
      <c r="Q36" s="313"/>
      <c r="R36" s="314">
        <f>G36</f>
        <v>0</v>
      </c>
      <c r="S36" s="313"/>
    </row>
    <row r="37" ht="14.25" customHeight="1">
      <c r="A37" s="393"/>
      <c r="B37" s="315"/>
      <c r="C37" s="315"/>
      <c r="D37" s="394"/>
      <c r="E37" s="394"/>
      <c r="F37" s="316"/>
      <c r="G37" s="395"/>
      <c r="H37" s="395"/>
      <c r="I37" s="316"/>
      <c r="J37" s="318"/>
      <c r="K37" s="318"/>
      <c r="M37" s="331"/>
    </row>
    <row r="38" ht="14.25" customHeight="1">
      <c r="C38" s="396"/>
      <c r="E38" s="379"/>
      <c r="F38" s="316"/>
      <c r="G38" s="42"/>
      <c r="H38" s="42"/>
      <c r="I38" s="317"/>
      <c r="J38" s="380"/>
      <c r="K38" s="319"/>
      <c r="M38" s="331"/>
      <c r="R38" s="315"/>
      <c r="S38" s="316"/>
    </row>
    <row r="39" ht="14.25" customHeight="1">
      <c r="C39" s="396"/>
      <c r="E39" s="379"/>
      <c r="F39" s="316"/>
      <c r="G39" s="42"/>
      <c r="H39" s="42"/>
      <c r="I39" s="317"/>
      <c r="J39" s="380"/>
      <c r="K39" s="319"/>
      <c r="M39" s="331"/>
      <c r="R39" s="315"/>
      <c r="S39" s="316"/>
    </row>
    <row r="40" ht="14.25" customHeight="1">
      <c r="A40" s="391" t="s">
        <v>1182</v>
      </c>
      <c r="B40" s="250"/>
      <c r="C40" s="250"/>
      <c r="D40" s="250"/>
      <c r="E40" s="250"/>
      <c r="F40" s="250"/>
      <c r="G40" s="250"/>
      <c r="H40" s="251"/>
      <c r="I40" s="392" t="s">
        <v>1148</v>
      </c>
      <c r="J40" s="250"/>
      <c r="K40" s="250"/>
      <c r="L40" s="250"/>
      <c r="M40" s="254"/>
      <c r="P40" s="255" t="str">
        <f>P1</f>
        <v>SABADO (LOJA 1 BENDITO-ROTISSERIA)</v>
      </c>
      <c r="Q40" s="256"/>
      <c r="R40" s="257" t="s">
        <v>12</v>
      </c>
      <c r="S40" s="258">
        <f>(S1)</f>
        <v>46046</v>
      </c>
    </row>
    <row r="41" ht="14.25" customHeight="1">
      <c r="A41" s="259" t="s">
        <v>1166</v>
      </c>
      <c r="B41" s="260"/>
      <c r="C41" s="266" t="s">
        <v>1149</v>
      </c>
      <c r="D41" s="263"/>
      <c r="E41" s="263"/>
      <c r="F41" s="263"/>
      <c r="G41" s="263"/>
      <c r="H41" s="264"/>
      <c r="I41" s="262" t="s">
        <v>1150</v>
      </c>
      <c r="J41" s="263"/>
      <c r="K41" s="263"/>
      <c r="L41" s="263"/>
      <c r="M41" s="265"/>
      <c r="P41" s="259" t="s">
        <v>1166</v>
      </c>
      <c r="Q41" s="260"/>
      <c r="R41" s="266" t="s">
        <v>1149</v>
      </c>
      <c r="S41" s="267"/>
    </row>
    <row r="42" ht="14.25" customHeight="1">
      <c r="A42" s="268" t="s">
        <v>271</v>
      </c>
      <c r="B42" s="269" t="s">
        <v>1168</v>
      </c>
      <c r="C42" s="270" t="s">
        <v>1151</v>
      </c>
      <c r="D42" s="270" t="s">
        <v>1152</v>
      </c>
      <c r="E42" s="270" t="s">
        <v>1153</v>
      </c>
      <c r="F42" s="270" t="s">
        <v>1154</v>
      </c>
      <c r="G42" s="271" t="s">
        <v>1155</v>
      </c>
      <c r="H42" s="270" t="s">
        <v>1156</v>
      </c>
      <c r="I42" s="272" t="s">
        <v>1157</v>
      </c>
      <c r="J42" s="272" t="s">
        <v>1158</v>
      </c>
      <c r="K42" s="272" t="s">
        <v>1159</v>
      </c>
      <c r="L42" s="270" t="s">
        <v>1160</v>
      </c>
      <c r="M42" s="273" t="s">
        <v>1161</v>
      </c>
      <c r="P42" s="268" t="s">
        <v>271</v>
      </c>
      <c r="Q42" s="269" t="s">
        <v>1168</v>
      </c>
      <c r="R42" s="270" t="s">
        <v>1151</v>
      </c>
      <c r="S42" s="270" t="s">
        <v>1154</v>
      </c>
    </row>
    <row r="43" ht="14.25" customHeight="1">
      <c r="A43" s="274" t="str">
        <f t="shared" ref="A43:A45" si="104">('[1]ESCALA DE PRODUÇÃO'!AA38)</f>
        <v>#REF!</v>
      </c>
      <c r="B43" s="275" t="str">
        <f t="shared" ref="B43:B45" si="105">XLOOKUP(A43,'[1]ESCALA DE PRODUÇÃO'!$AL$1:$AL$1048566,'[1]ESCALA DE PRODUÇÃO'!$AJ$1:$AJ$1048566,"NÃO ENCOTRADO")</f>
        <v>#REF!</v>
      </c>
      <c r="C43" s="276">
        <v>0.0</v>
      </c>
      <c r="D43" s="277" t="str">
        <f t="shared" ref="D43:D45" si="106">XLOOKUP(A43,'[1]ESCALA DE PRODUÇÃO'!$AL$1:$AL$1048566,'[1]ESCALA DE PRODUÇÃO'!$AK$1:$AK$1048566,"0")</f>
        <v>#REF!</v>
      </c>
      <c r="E43" s="278" t="str">
        <f t="shared" ref="E43:E45" si="107">('[1]ESCALA DE PRODUÇÃO'!AC38)</f>
        <v>#REF!</v>
      </c>
      <c r="F43" s="279" t="str">
        <f t="shared" ref="F43:F45" si="108">IFERROR(C43/E43,"0")</f>
        <v>0</v>
      </c>
      <c r="G43" s="280" t="str">
        <f t="shared" ref="G43:G45" si="109">XLOOKUP(A43,'[1]ESCALA DE PRODUÇÃO'!$AL$1:$AL$1048566,'[1]ESCALA DE PRODUÇÃO'!$AM$1:$AM$1048566,"SEM PREÇO")</f>
        <v>#REF!</v>
      </c>
      <c r="H43" s="287" t="str">
        <f t="shared" ref="H43:H45" si="110">IFERROR(C43*G43,"0")</f>
        <v>0</v>
      </c>
      <c r="I43" s="288" t="str">
        <f t="array" ref="I43">XLOOKUP(A43,'DADOS DE VENDA'!AE:AE,'DADOS DE VENDA'!AH:AH,"SEM VENDA")</f>
        <v>#REF!</v>
      </c>
      <c r="J43" s="289" t="str">
        <f t="shared" ref="J43:J45" si="111">IFERROR(I43/E43,"0")</f>
        <v>0</v>
      </c>
      <c r="K43" s="290" t="str">
        <f t="shared" ref="K43:K45" si="112">IFERROR(I43*G43,"0")</f>
        <v>0</v>
      </c>
      <c r="L43" s="291" t="str">
        <f t="array" ref="L43">XLOOKUP(A43,'DADOS DE VENDA'!A:A,'DADOS DE VENDA'!E:E,"RUPTURA NO PERIODO")</f>
        <v>#REF!</v>
      </c>
      <c r="M43" s="286" t="str">
        <f t="array" ref="M43">IFS(C43&lt;I43,"ABAIXO",C43&gt;I43,"ACIMA",C43=I43,"OK")</f>
        <v>#REF!</v>
      </c>
      <c r="P43" s="274" t="str">
        <f t="shared" ref="P43:P45" si="113">(A43)</f>
        <v>#REF!</v>
      </c>
      <c r="Q43" s="275" t="str">
        <f t="shared" ref="Q43:Q45" si="114">XLOOKUP(P43,'[1]ESCALA DE PRODUÇÃO'!$AL$1:$AL$1048566,'[1]ESCALA DE PRODUÇÃO'!$AJ$1:$AJ$1048566,"NÃO ENCOTRADO")</f>
        <v>#REF!</v>
      </c>
      <c r="R43" s="276">
        <f t="shared" ref="R43:R45" si="115">C43</f>
        <v>0</v>
      </c>
      <c r="S43" s="279" t="str">
        <f t="shared" ref="S43:S45" si="116">F43</f>
        <v>0</v>
      </c>
    </row>
    <row r="44" ht="14.25" customHeight="1">
      <c r="A44" s="274" t="str">
        <f t="shared" si="104"/>
        <v>#REF!</v>
      </c>
      <c r="B44" s="275" t="str">
        <f t="shared" si="105"/>
        <v>#REF!</v>
      </c>
      <c r="C44" s="276">
        <v>10.0</v>
      </c>
      <c r="D44" s="277" t="str">
        <f t="shared" si="106"/>
        <v>#REF!</v>
      </c>
      <c r="E44" s="278" t="str">
        <f t="shared" si="107"/>
        <v>#REF!</v>
      </c>
      <c r="F44" s="279" t="str">
        <f t="shared" si="108"/>
        <v>0</v>
      </c>
      <c r="G44" s="280" t="str">
        <f t="shared" si="109"/>
        <v>#REF!</v>
      </c>
      <c r="H44" s="287" t="str">
        <f t="shared" si="110"/>
        <v>0</v>
      </c>
      <c r="I44" s="288" t="str">
        <f t="array" ref="I44">XLOOKUP(A44,'DADOS DE VENDA'!AE:AE,'DADOS DE VENDA'!AH:AH,"SEM VENDA")</f>
        <v>#REF!</v>
      </c>
      <c r="J44" s="289" t="str">
        <f t="shared" si="111"/>
        <v>0</v>
      </c>
      <c r="K44" s="290" t="str">
        <f t="shared" si="112"/>
        <v>0</v>
      </c>
      <c r="L44" s="291" t="str">
        <f t="array" ref="L44">XLOOKUP(A44,'DADOS DE VENDA'!A:A,'DADOS DE VENDA'!E:E,"RUPTURA NO PERIODO")</f>
        <v>#REF!</v>
      </c>
      <c r="M44" s="286" t="str">
        <f t="array" ref="M44">IFS(C44&lt;I44,"ABAIXO",C44&gt;I44,"ACIMA",C44=I44,"OK")</f>
        <v>#REF!</v>
      </c>
      <c r="P44" s="274" t="str">
        <f t="shared" si="113"/>
        <v>#REF!</v>
      </c>
      <c r="Q44" s="275" t="str">
        <f t="shared" si="114"/>
        <v>#REF!</v>
      </c>
      <c r="R44" s="276">
        <f t="shared" si="115"/>
        <v>10</v>
      </c>
      <c r="S44" s="279" t="str">
        <f t="shared" si="116"/>
        <v>0</v>
      </c>
    </row>
    <row r="45" ht="14.25" customHeight="1">
      <c r="A45" s="274" t="str">
        <f t="shared" si="104"/>
        <v>#REF!</v>
      </c>
      <c r="B45" s="275" t="str">
        <f t="shared" si="105"/>
        <v>#REF!</v>
      </c>
      <c r="C45" s="276">
        <v>0.0</v>
      </c>
      <c r="D45" s="277" t="str">
        <f t="shared" si="106"/>
        <v>#REF!</v>
      </c>
      <c r="E45" s="278" t="str">
        <f t="shared" si="107"/>
        <v>#REF!</v>
      </c>
      <c r="F45" s="279" t="str">
        <f t="shared" si="108"/>
        <v>0</v>
      </c>
      <c r="G45" s="280" t="str">
        <f t="shared" si="109"/>
        <v>#REF!</v>
      </c>
      <c r="H45" s="287" t="str">
        <f t="shared" si="110"/>
        <v>0</v>
      </c>
      <c r="I45" s="288" t="str">
        <f t="array" ref="I45">XLOOKUP(A45,'DADOS DE VENDA'!AE:AE,'DADOS DE VENDA'!AH:AH,"SEM VENDA")</f>
        <v>#REF!</v>
      </c>
      <c r="J45" s="289" t="str">
        <f t="shared" si="111"/>
        <v>0</v>
      </c>
      <c r="K45" s="290" t="str">
        <f t="shared" si="112"/>
        <v>0</v>
      </c>
      <c r="L45" s="291" t="str">
        <f t="array" ref="L45">XLOOKUP(A45,'DADOS DE VENDA'!A:A,'DADOS DE VENDA'!E:E,"RUPTURA NO PERIODO")</f>
        <v>#REF!</v>
      </c>
      <c r="M45" s="286" t="str">
        <f t="array" ref="M45">IFS(C45&lt;I45,"ABAIXO",C45&gt;I45,"ACIMA",C45=I45,"OK")</f>
        <v>#REF!</v>
      </c>
      <c r="P45" s="274" t="str">
        <f t="shared" si="113"/>
        <v>#REF!</v>
      </c>
      <c r="Q45" s="275" t="str">
        <f t="shared" si="114"/>
        <v>#REF!</v>
      </c>
      <c r="R45" s="276">
        <f t="shared" si="115"/>
        <v>0</v>
      </c>
      <c r="S45" s="279" t="str">
        <f t="shared" si="116"/>
        <v>0</v>
      </c>
    </row>
    <row r="46" ht="14.25" customHeight="1">
      <c r="A46" s="268" t="s">
        <v>271</v>
      </c>
      <c r="B46" s="269" t="s">
        <v>385</v>
      </c>
      <c r="C46" s="270" t="s">
        <v>1151</v>
      </c>
      <c r="D46" s="270" t="s">
        <v>1152</v>
      </c>
      <c r="E46" s="270" t="s">
        <v>1153</v>
      </c>
      <c r="F46" s="270" t="s">
        <v>1154</v>
      </c>
      <c r="G46" s="271" t="s">
        <v>1155</v>
      </c>
      <c r="H46" s="270" t="s">
        <v>1156</v>
      </c>
      <c r="I46" s="272" t="s">
        <v>1157</v>
      </c>
      <c r="J46" s="272" t="s">
        <v>1158</v>
      </c>
      <c r="K46" s="272" t="s">
        <v>1159</v>
      </c>
      <c r="L46" s="270" t="s">
        <v>1160</v>
      </c>
      <c r="M46" s="273" t="s">
        <v>1161</v>
      </c>
      <c r="P46" s="268" t="s">
        <v>271</v>
      </c>
      <c r="Q46" s="269" t="s">
        <v>385</v>
      </c>
      <c r="R46" s="270" t="s">
        <v>1151</v>
      </c>
      <c r="S46" s="270" t="s">
        <v>1154</v>
      </c>
    </row>
    <row r="47" ht="14.25" customHeight="1">
      <c r="A47" s="274" t="str">
        <f t="shared" ref="A47:A49" si="117">('[1]ESCALA DE PRODUÇÃO'!AA42)</f>
        <v>#REF!</v>
      </c>
      <c r="B47" s="275" t="str">
        <f t="shared" ref="B47:B49" si="118">XLOOKUP(A47,'[1]ESCALA DE PRODUÇÃO'!$AL$1:$AL$1048566,'[1]ESCALA DE PRODUÇÃO'!$AJ$1:$AJ$1048566,"NÃO ENCOTRADO")</f>
        <v>#REF!</v>
      </c>
      <c r="C47" s="276">
        <v>0.0</v>
      </c>
      <c r="D47" s="277" t="str">
        <f t="shared" ref="D47:D49" si="119">XLOOKUP(A47,'[1]ESCALA DE PRODUÇÃO'!$AL$1:$AL$1048566,'[1]ESCALA DE PRODUÇÃO'!$AK$1:$AK$1048566,"0")</f>
        <v>#REF!</v>
      </c>
      <c r="E47" s="278" t="str">
        <f t="shared" ref="E47:E49" si="120">('[1]ESCALA DE PRODUÇÃO'!AC42)</f>
        <v>#REF!</v>
      </c>
      <c r="F47" s="279" t="str">
        <f t="shared" ref="F47:F49" si="121">IFERROR(C47/E47,"0")</f>
        <v>0</v>
      </c>
      <c r="G47" s="280" t="str">
        <f t="shared" ref="G47:G49" si="122">XLOOKUP(A47,'[1]ESCALA DE PRODUÇÃO'!$AL$1:$AL$1048566,'[1]ESCALA DE PRODUÇÃO'!$AM$1:$AM$1048566,"SEM PREÇO")</f>
        <v>#REF!</v>
      </c>
      <c r="H47" s="287" t="str">
        <f t="shared" ref="H47:H49" si="123">IFERROR(C47*G47,"0")</f>
        <v>0</v>
      </c>
      <c r="I47" s="288" t="str">
        <f t="array" ref="I47">XLOOKUP(A47,'DADOS DE VENDA'!AE:AE,'DADOS DE VENDA'!AH:AH,"SEM VENDA")</f>
        <v>#REF!</v>
      </c>
      <c r="J47" s="289" t="str">
        <f t="shared" ref="J47:J49" si="124">IFERROR(I47/E47,"0")</f>
        <v>0</v>
      </c>
      <c r="K47" s="290" t="str">
        <f t="shared" ref="K47:K49" si="125">IFERROR(I47*G47,"0")</f>
        <v>0</v>
      </c>
      <c r="L47" s="291" t="str">
        <f t="array" ref="L47">XLOOKUP(A47,'DADOS DE VENDA'!A:A,'DADOS DE VENDA'!E:E,"RUPTURA NO PERIODO")</f>
        <v>#REF!</v>
      </c>
      <c r="M47" s="286" t="str">
        <f t="array" ref="M47">IFS(C47&lt;I47,"ABAIXO",C47&gt;I47,"ACIMA",C47=I47,"OK")</f>
        <v>#REF!</v>
      </c>
      <c r="P47" s="274" t="str">
        <f t="shared" ref="P47:P49" si="126">(A47)</f>
        <v>#REF!</v>
      </c>
      <c r="Q47" s="275" t="str">
        <f t="shared" ref="Q47:Q49" si="127">XLOOKUP(P47,'[1]ESCALA DE PRODUÇÃO'!$AL$1:$AL$1048566,'[1]ESCALA DE PRODUÇÃO'!$AJ$1:$AJ$1048566,"NÃO ENCOTRADO")</f>
        <v>#REF!</v>
      </c>
      <c r="R47" s="276">
        <f t="shared" ref="R47:R49" si="128">C47</f>
        <v>0</v>
      </c>
      <c r="S47" s="279" t="str">
        <f t="shared" ref="S47:S49" si="129">F47</f>
        <v>0</v>
      </c>
    </row>
    <row r="48" ht="14.25" customHeight="1">
      <c r="A48" s="274" t="str">
        <f t="shared" si="117"/>
        <v>#REF!</v>
      </c>
      <c r="B48" s="275" t="str">
        <f t="shared" si="118"/>
        <v>#REF!</v>
      </c>
      <c r="C48" s="276">
        <v>0.0</v>
      </c>
      <c r="D48" s="277" t="str">
        <f t="shared" si="119"/>
        <v>#REF!</v>
      </c>
      <c r="E48" s="278" t="str">
        <f t="shared" si="120"/>
        <v>#REF!</v>
      </c>
      <c r="F48" s="279" t="str">
        <f t="shared" si="121"/>
        <v>0</v>
      </c>
      <c r="G48" s="280" t="str">
        <f t="shared" si="122"/>
        <v>#REF!</v>
      </c>
      <c r="H48" s="287" t="str">
        <f t="shared" si="123"/>
        <v>0</v>
      </c>
      <c r="I48" s="288" t="str">
        <f t="array" ref="I48">XLOOKUP(A48,'DADOS DE VENDA'!AE:AE,'DADOS DE VENDA'!AH:AH,"SEM VENDA")</f>
        <v>#REF!</v>
      </c>
      <c r="J48" s="289" t="str">
        <f t="shared" si="124"/>
        <v>0</v>
      </c>
      <c r="K48" s="290" t="str">
        <f t="shared" si="125"/>
        <v>0</v>
      </c>
      <c r="L48" s="291" t="str">
        <f t="array" ref="L48">XLOOKUP(A48,'DADOS DE VENDA'!A:A,'DADOS DE VENDA'!E:E,"RUPTURA NO PERIODO")</f>
        <v>#REF!</v>
      </c>
      <c r="M48" s="286" t="str">
        <f t="array" ref="M48">IFS(C48&lt;I48,"ABAIXO",C48&gt;I48,"ACIMA",C48=I48,"OK")</f>
        <v>#REF!</v>
      </c>
      <c r="P48" s="274" t="str">
        <f t="shared" si="126"/>
        <v>#REF!</v>
      </c>
      <c r="Q48" s="275" t="str">
        <f t="shared" si="127"/>
        <v>#REF!</v>
      </c>
      <c r="R48" s="276">
        <f t="shared" si="128"/>
        <v>0</v>
      </c>
      <c r="S48" s="279" t="str">
        <f t="shared" si="129"/>
        <v>0</v>
      </c>
    </row>
    <row r="49" ht="14.25" customHeight="1">
      <c r="A49" s="274" t="str">
        <f t="shared" si="117"/>
        <v>#REF!</v>
      </c>
      <c r="B49" s="275" t="str">
        <f t="shared" si="118"/>
        <v>#REF!</v>
      </c>
      <c r="C49" s="276">
        <v>5.0</v>
      </c>
      <c r="D49" s="277" t="str">
        <f t="shared" si="119"/>
        <v>#REF!</v>
      </c>
      <c r="E49" s="278" t="str">
        <f t="shared" si="120"/>
        <v>#REF!</v>
      </c>
      <c r="F49" s="279" t="str">
        <f t="shared" si="121"/>
        <v>0</v>
      </c>
      <c r="G49" s="280" t="str">
        <f t="shared" si="122"/>
        <v>#REF!</v>
      </c>
      <c r="H49" s="287" t="str">
        <f t="shared" si="123"/>
        <v>0</v>
      </c>
      <c r="I49" s="288" t="str">
        <f t="array" ref="I49">XLOOKUP(A49,'DADOS DE VENDA'!AE:AE,'DADOS DE VENDA'!AH:AH,"SEM VENDA")</f>
        <v>#REF!</v>
      </c>
      <c r="J49" s="289" t="str">
        <f t="shared" si="124"/>
        <v>0</v>
      </c>
      <c r="K49" s="290" t="str">
        <f t="shared" si="125"/>
        <v>0</v>
      </c>
      <c r="L49" s="291">
        <v>15.0</v>
      </c>
      <c r="M49" s="286" t="str">
        <f t="array" ref="M49">IFS(C49&lt;I49,"ABAIXO",C49&gt;I49,"ACIMA",C49=I49,"OK")</f>
        <v>#REF!</v>
      </c>
      <c r="P49" s="274" t="str">
        <f t="shared" si="126"/>
        <v>#REF!</v>
      </c>
      <c r="Q49" s="275" t="str">
        <f t="shared" si="127"/>
        <v>#REF!</v>
      </c>
      <c r="R49" s="276">
        <f t="shared" si="128"/>
        <v>5</v>
      </c>
      <c r="S49" s="279" t="str">
        <f t="shared" si="129"/>
        <v>0</v>
      </c>
    </row>
    <row r="50" ht="14.25" customHeight="1">
      <c r="A50" s="268" t="s">
        <v>271</v>
      </c>
      <c r="B50" s="269" t="s">
        <v>1169</v>
      </c>
      <c r="C50" s="270" t="s">
        <v>1151</v>
      </c>
      <c r="D50" s="270" t="s">
        <v>1152</v>
      </c>
      <c r="E50" s="270" t="s">
        <v>1153</v>
      </c>
      <c r="F50" s="270" t="s">
        <v>1154</v>
      </c>
      <c r="G50" s="271" t="s">
        <v>1155</v>
      </c>
      <c r="H50" s="270" t="s">
        <v>1156</v>
      </c>
      <c r="I50" s="272" t="s">
        <v>1157</v>
      </c>
      <c r="J50" s="272" t="s">
        <v>1158</v>
      </c>
      <c r="K50" s="272" t="s">
        <v>1159</v>
      </c>
      <c r="L50" s="270" t="s">
        <v>1160</v>
      </c>
      <c r="M50" s="273" t="s">
        <v>1161</v>
      </c>
      <c r="P50" s="268" t="s">
        <v>271</v>
      </c>
      <c r="Q50" s="269" t="s">
        <v>1169</v>
      </c>
      <c r="R50" s="270" t="s">
        <v>1151</v>
      </c>
      <c r="S50" s="270" t="s">
        <v>1154</v>
      </c>
    </row>
    <row r="51" ht="14.25" customHeight="1">
      <c r="A51" s="274" t="str">
        <f>('[1]ESCALA DE PRODUÇÃO'!AA46)</f>
        <v>#REF!</v>
      </c>
      <c r="B51" s="275" t="str">
        <f t="shared" ref="B51:B53" si="130">XLOOKUP(A51,'[1]ESCALA DE PRODUÇÃO'!$AL$1:$AL$1048566,'[1]ESCALA DE PRODUÇÃO'!$AJ$1:$AJ$1048566,"NÃO ENCOTRADO")</f>
        <v>#REF!</v>
      </c>
      <c r="C51" s="276">
        <v>0.0</v>
      </c>
      <c r="D51" s="277" t="str">
        <f t="shared" ref="D51:D53" si="131">XLOOKUP(A51,'[1]ESCALA DE PRODUÇÃO'!$AL$1:$AL$1048566,'[1]ESCALA DE PRODUÇÃO'!$AK$1:$AK$1048566,"0")</f>
        <v>#REF!</v>
      </c>
      <c r="E51" s="278" t="str">
        <f>('[1]ESCALA DE PRODUÇÃO'!AC46)</f>
        <v>#REF!</v>
      </c>
      <c r="F51" s="279" t="str">
        <f t="shared" ref="F51:F53" si="132">IFERROR(C51/E51,"0")</f>
        <v>0</v>
      </c>
      <c r="G51" s="280" t="str">
        <f t="shared" ref="G51:G53" si="133">XLOOKUP(A51,'[1]ESCALA DE PRODUÇÃO'!$AL$1:$AL$1048566,'[1]ESCALA DE PRODUÇÃO'!$AM$1:$AM$1048566,"SEM PREÇO")</f>
        <v>#REF!</v>
      </c>
      <c r="H51" s="287" t="str">
        <f t="shared" ref="H51:H53" si="134">IFERROR(C51*G51,"0")</f>
        <v>0</v>
      </c>
      <c r="I51" s="288" t="str">
        <f t="array" ref="I51">XLOOKUP(A51,'DADOS DE VENDA'!AE:AE,'DADOS DE VENDA'!AH:AH,"SEM VENDA")</f>
        <v>#REF!</v>
      </c>
      <c r="J51" s="289" t="str">
        <f t="shared" ref="J51:J53" si="135">IFERROR(I51/E51,"0")</f>
        <v>0</v>
      </c>
      <c r="K51" s="290" t="str">
        <f t="shared" ref="K51:K53" si="136">IFERROR(I51*G51,"0")</f>
        <v>0</v>
      </c>
      <c r="L51" s="291" t="str">
        <f t="array" ref="L51">XLOOKUP(A51,'DADOS DE VENDA'!A:A,'DADOS DE VENDA'!E:E,"RUPTURA NO PERIODO")</f>
        <v>#REF!</v>
      </c>
      <c r="M51" s="286" t="str">
        <f t="array" ref="M51">IFS(C51&lt;I51,"ABAIXO",C51&gt;I51,"ACIMA",C51=I51,"OK")</f>
        <v>#REF!</v>
      </c>
      <c r="P51" s="274" t="str">
        <f t="shared" ref="P51:P53" si="137">(A51)</f>
        <v>#REF!</v>
      </c>
      <c r="Q51" s="275" t="str">
        <f t="shared" ref="Q51:Q53" si="138">XLOOKUP(P51,'[1]ESCALA DE PRODUÇÃO'!$AL$1:$AL$1048566,'[1]ESCALA DE PRODUÇÃO'!$AJ$1:$AJ$1048566,"NÃO ENCOTRADO")</f>
        <v>#REF!</v>
      </c>
      <c r="R51" s="276">
        <f t="shared" ref="R51:R53" si="139">C51</f>
        <v>0</v>
      </c>
      <c r="S51" s="279" t="str">
        <f t="shared" ref="S51:S53" si="140">F51</f>
        <v>0</v>
      </c>
    </row>
    <row r="52" ht="14.25" customHeight="1">
      <c r="A52" s="274" t="str">
        <f t="shared" ref="A52:A53" si="141">('[1]ESCALA DE PRODUÇÃO'!B38)</f>
        <v>#REF!</v>
      </c>
      <c r="B52" s="275" t="str">
        <f t="shared" si="130"/>
        <v>#REF!</v>
      </c>
      <c r="C52" s="276">
        <v>0.0</v>
      </c>
      <c r="D52" s="277" t="str">
        <f t="shared" si="131"/>
        <v>#REF!</v>
      </c>
      <c r="E52" s="278" t="str">
        <f t="shared" ref="E52:E53" si="142">XLOOKUP(A52,'[1]ESCALA DE PRODUÇÃO'!$A$4:$A$42,'[1]ESCALA DE PRODUÇÃO'!$C$4:$C$42,"0")</f>
        <v>#REF!</v>
      </c>
      <c r="F52" s="279" t="str">
        <f t="shared" si="132"/>
        <v>0</v>
      </c>
      <c r="G52" s="280" t="str">
        <f t="shared" si="133"/>
        <v>#REF!</v>
      </c>
      <c r="H52" s="287" t="str">
        <f t="shared" si="134"/>
        <v>0</v>
      </c>
      <c r="I52" s="288" t="str">
        <f t="array" ref="I52">XLOOKUP(A52,'DADOS DE VENDA'!AE:AE,'DADOS DE VENDA'!AH:AH,"SEM VENDA")</f>
        <v>#REF!</v>
      </c>
      <c r="J52" s="289" t="str">
        <f t="shared" si="135"/>
        <v>0</v>
      </c>
      <c r="K52" s="290" t="str">
        <f t="shared" si="136"/>
        <v>0</v>
      </c>
      <c r="L52" s="291" t="str">
        <f t="array" ref="L52">XLOOKUP(A52,'DADOS DE VENDA'!A:A,'DADOS DE VENDA'!E:E,"RUPTURA NO PERIODO")</f>
        <v>#REF!</v>
      </c>
      <c r="M52" s="286" t="str">
        <f t="array" ref="M52">IFS(C52&lt;I52,"ABAIXO",C52&gt;I52,"ACIMA",C52=I52,"OK")</f>
        <v>#REF!</v>
      </c>
      <c r="P52" s="274" t="str">
        <f t="shared" si="137"/>
        <v>#REF!</v>
      </c>
      <c r="Q52" s="275" t="str">
        <f t="shared" si="138"/>
        <v>#REF!</v>
      </c>
      <c r="R52" s="276">
        <f t="shared" si="139"/>
        <v>0</v>
      </c>
      <c r="S52" s="279" t="str">
        <f t="shared" si="140"/>
        <v>0</v>
      </c>
    </row>
    <row r="53" ht="14.25" customHeight="1">
      <c r="A53" s="397" t="str">
        <f t="shared" si="141"/>
        <v>#REF!</v>
      </c>
      <c r="B53" s="302" t="str">
        <f t="shared" si="130"/>
        <v>#REF!</v>
      </c>
      <c r="C53" s="321">
        <v>0.0</v>
      </c>
      <c r="D53" s="322" t="str">
        <f t="shared" si="131"/>
        <v>#REF!</v>
      </c>
      <c r="E53" s="381" t="str">
        <f t="shared" si="142"/>
        <v>#REF!</v>
      </c>
      <c r="F53" s="323" t="str">
        <f t="shared" si="132"/>
        <v>0</v>
      </c>
      <c r="G53" s="324" t="str">
        <f t="shared" si="133"/>
        <v>#REF!</v>
      </c>
      <c r="H53" s="325" t="str">
        <f t="shared" si="134"/>
        <v>0</v>
      </c>
      <c r="I53" s="288" t="str">
        <f t="array" ref="I53">XLOOKUP(A53,'DADOS DE VENDA'!AE:AE,'DADOS DE VENDA'!AH:AH,"SEM VENDA")</f>
        <v>#REF!</v>
      </c>
      <c r="J53" s="327" t="str">
        <f t="shared" si="135"/>
        <v>0</v>
      </c>
      <c r="K53" s="328" t="str">
        <f t="shared" si="136"/>
        <v>0</v>
      </c>
      <c r="L53" s="329" t="str">
        <f t="array" ref="L53">XLOOKUP(A53,'DADOS DE VENDA'!A:A,'DADOS DE VENDA'!E:E,"RUPTURA NO PERIODO")</f>
        <v>#REF!</v>
      </c>
      <c r="M53" s="330" t="str">
        <f t="array" ref="M53">IFS(C53&lt;I53,"ABAIXO",C53&gt;I53,"ACIMA",C53=I53,"OK")</f>
        <v>#REF!</v>
      </c>
      <c r="P53" s="274" t="str">
        <f t="shared" si="137"/>
        <v>#REF!</v>
      </c>
      <c r="Q53" s="302" t="str">
        <f t="shared" si="138"/>
        <v>#REF!</v>
      </c>
      <c r="R53" s="276">
        <f t="shared" si="139"/>
        <v>0</v>
      </c>
      <c r="S53" s="279" t="str">
        <f t="shared" si="140"/>
        <v>0</v>
      </c>
    </row>
    <row r="54" ht="14.25" customHeight="1">
      <c r="A54" s="303"/>
      <c r="B54" s="304" t="s">
        <v>1162</v>
      </c>
      <c r="C54" s="304" t="s">
        <v>1163</v>
      </c>
      <c r="D54" s="305"/>
      <c r="E54" s="306"/>
      <c r="F54" s="307" t="s">
        <v>1164</v>
      </c>
      <c r="G54" s="308">
        <f>SUM(H43,H44,H45,H47,H48,H49,H51,H52,H53)</f>
        <v>0</v>
      </c>
      <c r="H54" s="306"/>
      <c r="I54" s="307" t="s">
        <v>1165</v>
      </c>
      <c r="J54" s="309" t="str">
        <f>SUM(K21+K22+K24+K26+K27+K36+K39+K40+K42+K43+K45+K46+K47+K49+K50+K52+K53)</f>
        <v>#VALUE!</v>
      </c>
      <c r="K54" s="306"/>
      <c r="L54" s="310"/>
      <c r="M54" s="311"/>
      <c r="P54" s="312" t="s">
        <v>1156</v>
      </c>
      <c r="Q54" s="313"/>
      <c r="R54" s="314">
        <f>G54</f>
        <v>0</v>
      </c>
      <c r="S54" s="313"/>
    </row>
    <row r="55" ht="14.25" customHeight="1">
      <c r="G55" s="42"/>
      <c r="R55" s="315"/>
      <c r="S55" s="316"/>
    </row>
    <row r="56" ht="14.25" customHeight="1">
      <c r="G56" s="42"/>
    </row>
    <row r="57" ht="14.25" customHeight="1">
      <c r="A57" s="391" t="s">
        <v>1182</v>
      </c>
      <c r="B57" s="250"/>
      <c r="C57" s="250"/>
      <c r="D57" s="250"/>
      <c r="E57" s="250"/>
      <c r="F57" s="250"/>
      <c r="G57" s="250"/>
      <c r="H57" s="251"/>
      <c r="I57" s="392" t="s">
        <v>1148</v>
      </c>
      <c r="J57" s="250"/>
      <c r="K57" s="250"/>
      <c r="L57" s="250"/>
      <c r="M57" s="254"/>
      <c r="P57" s="255" t="str">
        <f>P40</f>
        <v>SABADO (LOJA 1 BENDITO-ROTISSERIA)</v>
      </c>
      <c r="Q57" s="256"/>
      <c r="R57" s="257" t="s">
        <v>12</v>
      </c>
      <c r="S57" s="258">
        <f>S40</f>
        <v>46046</v>
      </c>
    </row>
    <row r="58" ht="14.25" customHeight="1">
      <c r="A58" s="259" t="s">
        <v>1170</v>
      </c>
      <c r="B58" s="260"/>
      <c r="C58" s="266" t="s">
        <v>1149</v>
      </c>
      <c r="D58" s="263"/>
      <c r="E58" s="263"/>
      <c r="F58" s="263"/>
      <c r="G58" s="263"/>
      <c r="H58" s="264"/>
      <c r="I58" s="262" t="s">
        <v>1150</v>
      </c>
      <c r="J58" s="263"/>
      <c r="K58" s="263"/>
      <c r="L58" s="263"/>
      <c r="M58" s="265"/>
      <c r="P58" s="366" t="s">
        <v>1170</v>
      </c>
      <c r="Q58" s="367"/>
      <c r="R58" s="368" t="s">
        <v>1149</v>
      </c>
      <c r="S58" s="369"/>
    </row>
    <row r="59" ht="14.25" customHeight="1">
      <c r="A59" s="268" t="s">
        <v>271</v>
      </c>
      <c r="B59" s="269" t="s">
        <v>289</v>
      </c>
      <c r="C59" s="270" t="s">
        <v>1151</v>
      </c>
      <c r="D59" s="270" t="s">
        <v>1152</v>
      </c>
      <c r="E59" s="270" t="s">
        <v>1153</v>
      </c>
      <c r="F59" s="270" t="s">
        <v>1154</v>
      </c>
      <c r="G59" s="271" t="s">
        <v>1155</v>
      </c>
      <c r="H59" s="270" t="s">
        <v>1156</v>
      </c>
      <c r="I59" s="272" t="s">
        <v>1157</v>
      </c>
      <c r="J59" s="272" t="s">
        <v>1158</v>
      </c>
      <c r="K59" s="272" t="s">
        <v>1159</v>
      </c>
      <c r="L59" s="270" t="s">
        <v>1160</v>
      </c>
      <c r="M59" s="273" t="s">
        <v>1161</v>
      </c>
      <c r="P59" s="268" t="s">
        <v>271</v>
      </c>
      <c r="Q59" s="269" t="s">
        <v>289</v>
      </c>
      <c r="R59" s="270" t="s">
        <v>1151</v>
      </c>
      <c r="S59" s="270" t="s">
        <v>1154</v>
      </c>
    </row>
    <row r="60" ht="14.25" customHeight="1">
      <c r="A60" s="274" t="str">
        <f t="shared" ref="A60:A63" si="143">('[1]ESCALA DE PRODUÇÃO'!AA50)</f>
        <v>#REF!</v>
      </c>
      <c r="B60" s="275" t="str">
        <f t="shared" ref="B60:B63" si="144">XLOOKUP(A60,'[1]ESCALA DE PRODUÇÃO'!$AL$1:$AL$1048566,'[1]ESCALA DE PRODUÇÃO'!$AJ$1:$AJ$1048566,"NÃO ENCOTRADO")</f>
        <v>#REF!</v>
      </c>
      <c r="C60" s="276"/>
      <c r="D60" s="277" t="str">
        <f t="shared" ref="D60:D63" si="145">XLOOKUP(A60,'[1]ESCALA DE PRODUÇÃO'!$AL$1:$AL$1048566,'[1]ESCALA DE PRODUÇÃO'!$AK$1:$AK$1048566,"0")</f>
        <v>#REF!</v>
      </c>
      <c r="E60" s="278" t="str">
        <f t="shared" ref="E60:E63" si="146">XLOOKUP(A60,'[1]ESCALA DE PRODUÇÃO'!$A$4:$A$42,'[1]ESCALA DE PRODUÇÃO'!$C$4:$C$42,"0")</f>
        <v>#REF!</v>
      </c>
      <c r="F60" s="279" t="str">
        <f t="shared" ref="F60:F63" si="147">IFERROR(C60/E60,"0")</f>
        <v>0</v>
      </c>
      <c r="G60" s="280" t="str">
        <f t="shared" ref="G60:G63" si="148">XLOOKUP(A60,'[1]ESCALA DE PRODUÇÃO'!$AL$1:$AL$1048566,'[1]ESCALA DE PRODUÇÃO'!$AM$1:$AM$1048566,"SEM PREÇO")</f>
        <v>#REF!</v>
      </c>
      <c r="H60" s="287" t="str">
        <f t="shared" ref="H60:H63" si="149">IFERROR(C60*G60,"0")</f>
        <v>0</v>
      </c>
      <c r="I60" s="288" t="str">
        <f t="array" ref="I60">XLOOKUP(A60,'DADOS DE VENDA'!AE:AE,'DADOS DE VENDA'!AH:AH,"SEM VENDA")</f>
        <v>#REF!</v>
      </c>
      <c r="J60" s="289" t="str">
        <f t="shared" ref="J60:J63" si="150">IFERROR(I60/E60,"0")</f>
        <v>0</v>
      </c>
      <c r="K60" s="290" t="str">
        <f t="shared" ref="K60:K63" si="151">IFERROR(I60*G60,"0")</f>
        <v>0</v>
      </c>
      <c r="L60" s="291" t="str">
        <f t="array" ref="L60">XLOOKUP(A60,'DADOS DE VENDA'!A:A,'DADOS DE VENDA'!E:E,"RUPTURA NO PERIODO")</f>
        <v>#REF!</v>
      </c>
      <c r="M60" s="286" t="str">
        <f t="array" ref="M60">IFS(C60&lt;I60,"ABAIXO",C60&gt;I60,"ACIMA",C60=I60,"OK")</f>
        <v>#REF!</v>
      </c>
      <c r="P60" s="274" t="str">
        <f t="shared" ref="P60:P63" si="152">(A60)</f>
        <v>#REF!</v>
      </c>
      <c r="Q60" s="275" t="str">
        <f t="shared" ref="Q60:Q63" si="153">XLOOKUP(P60,'[1]ESCALA DE PRODUÇÃO'!$AL$1:$AL$1048566,'[1]ESCALA DE PRODUÇÃO'!$AJ$1:$AJ$1048566,"NÃO ENCOTRADO")</f>
        <v>#REF!</v>
      </c>
      <c r="R60" s="276" t="str">
        <f t="shared" ref="R60:R63" si="154">C60</f>
        <v/>
      </c>
      <c r="S60" s="279" t="str">
        <f t="shared" ref="S60:S63" si="155">(F60)</f>
        <v>0</v>
      </c>
    </row>
    <row r="61" ht="14.25" customHeight="1">
      <c r="A61" s="274" t="str">
        <f t="shared" si="143"/>
        <v>#REF!</v>
      </c>
      <c r="B61" s="275" t="str">
        <f t="shared" si="144"/>
        <v>#REF!</v>
      </c>
      <c r="C61" s="276">
        <v>0.0</v>
      </c>
      <c r="D61" s="277" t="str">
        <f t="shared" si="145"/>
        <v>#REF!</v>
      </c>
      <c r="E61" s="278" t="str">
        <f t="shared" si="146"/>
        <v>#REF!</v>
      </c>
      <c r="F61" s="279" t="str">
        <f t="shared" si="147"/>
        <v>0</v>
      </c>
      <c r="G61" s="280" t="str">
        <f t="shared" si="148"/>
        <v>#REF!</v>
      </c>
      <c r="H61" s="287" t="str">
        <f t="shared" si="149"/>
        <v>0</v>
      </c>
      <c r="I61" s="288" t="str">
        <f t="array" ref="I61">XLOOKUP(A61,'DADOS DE VENDA'!AE:AE,'DADOS DE VENDA'!AH:AH,"SEM VENDA")</f>
        <v>#REF!</v>
      </c>
      <c r="J61" s="289" t="str">
        <f t="shared" si="150"/>
        <v>0</v>
      </c>
      <c r="K61" s="290" t="str">
        <f t="shared" si="151"/>
        <v>0</v>
      </c>
      <c r="L61" s="291" t="str">
        <f t="array" ref="L61">XLOOKUP(A61,'DADOS DE VENDA'!A:A,'DADOS DE VENDA'!E:E,"RUPTURA NO PERIODO")</f>
        <v>#REF!</v>
      </c>
      <c r="M61" s="286" t="str">
        <f t="array" ref="M61">IFS(C61&lt;I61,"ABAIXO",C61&gt;I61,"ACIMA",C61=I61,"OK")</f>
        <v>#REF!</v>
      </c>
      <c r="P61" s="274" t="str">
        <f t="shared" si="152"/>
        <v>#REF!</v>
      </c>
      <c r="Q61" s="275" t="str">
        <f t="shared" si="153"/>
        <v>#REF!</v>
      </c>
      <c r="R61" s="276">
        <f t="shared" si="154"/>
        <v>0</v>
      </c>
      <c r="S61" s="279" t="str">
        <f t="shared" si="155"/>
        <v>0</v>
      </c>
    </row>
    <row r="62" ht="14.25" customHeight="1">
      <c r="A62" s="274" t="str">
        <f t="shared" si="143"/>
        <v>#REF!</v>
      </c>
      <c r="B62" s="275" t="str">
        <f t="shared" si="144"/>
        <v>#REF!</v>
      </c>
      <c r="C62" s="276">
        <v>0.0</v>
      </c>
      <c r="D62" s="277" t="str">
        <f t="shared" si="145"/>
        <v>#REF!</v>
      </c>
      <c r="E62" s="278" t="str">
        <f t="shared" si="146"/>
        <v>#REF!</v>
      </c>
      <c r="F62" s="279" t="str">
        <f t="shared" si="147"/>
        <v>0</v>
      </c>
      <c r="G62" s="280" t="str">
        <f t="shared" si="148"/>
        <v>#REF!</v>
      </c>
      <c r="H62" s="287" t="str">
        <f t="shared" si="149"/>
        <v>0</v>
      </c>
      <c r="I62" s="288" t="str">
        <f t="array" ref="I62">XLOOKUP(A62,'DADOS DE VENDA'!AE:AE,'DADOS DE VENDA'!AH:AH,"SEM VENDA")</f>
        <v>#REF!</v>
      </c>
      <c r="J62" s="289" t="str">
        <f t="shared" si="150"/>
        <v>0</v>
      </c>
      <c r="K62" s="290" t="str">
        <f t="shared" si="151"/>
        <v>0</v>
      </c>
      <c r="L62" s="291" t="str">
        <f t="array" ref="L62">XLOOKUP(A62,'DADOS DE VENDA'!A:A,'DADOS DE VENDA'!E:E,"RUPTURA NO PERIODO")</f>
        <v>#REF!</v>
      </c>
      <c r="M62" s="286" t="str">
        <f t="array" ref="M62">IFS(C62&lt;I62,"ABAIXO",C62&gt;I62,"ACIMA",C62=I62,"OK")</f>
        <v>#REF!</v>
      </c>
      <c r="P62" s="274" t="str">
        <f t="shared" si="152"/>
        <v>#REF!</v>
      </c>
      <c r="Q62" s="275" t="str">
        <f t="shared" si="153"/>
        <v>#REF!</v>
      </c>
      <c r="R62" s="276">
        <f t="shared" si="154"/>
        <v>0</v>
      </c>
      <c r="S62" s="279" t="str">
        <f t="shared" si="155"/>
        <v>0</v>
      </c>
    </row>
    <row r="63" ht="14.25" customHeight="1">
      <c r="A63" s="274" t="str">
        <f t="shared" si="143"/>
        <v>#REF!</v>
      </c>
      <c r="B63" s="275" t="str">
        <f t="shared" si="144"/>
        <v>#REF!</v>
      </c>
      <c r="C63" s="276">
        <v>0.0</v>
      </c>
      <c r="D63" s="277" t="str">
        <f t="shared" si="145"/>
        <v>#REF!</v>
      </c>
      <c r="E63" s="278" t="str">
        <f t="shared" si="146"/>
        <v>#REF!</v>
      </c>
      <c r="F63" s="279" t="str">
        <f t="shared" si="147"/>
        <v>0</v>
      </c>
      <c r="G63" s="280" t="str">
        <f t="shared" si="148"/>
        <v>#REF!</v>
      </c>
      <c r="H63" s="287" t="str">
        <f t="shared" si="149"/>
        <v>0</v>
      </c>
      <c r="I63" s="288" t="str">
        <f t="array" ref="I63">XLOOKUP(A63,'DADOS DE VENDA'!AE:AE,'DADOS DE VENDA'!AH:AH,"SEM VENDA")</f>
        <v>#REF!</v>
      </c>
      <c r="J63" s="289" t="str">
        <f t="shared" si="150"/>
        <v>0</v>
      </c>
      <c r="K63" s="290" t="str">
        <f t="shared" si="151"/>
        <v>0</v>
      </c>
      <c r="L63" s="291" t="str">
        <f t="array" ref="L63">XLOOKUP(A63,'DADOS DE VENDA'!A:A,'DADOS DE VENDA'!E:E,"RUPTURA NO PERIODO")</f>
        <v>#REF!</v>
      </c>
      <c r="M63" s="286" t="str">
        <f t="array" ref="M63">IFS(C63&lt;I63,"ABAIXO",C63&gt;I63,"ACIMA",C63=I63,"OK")</f>
        <v>#REF!</v>
      </c>
      <c r="P63" s="274" t="str">
        <f t="shared" si="152"/>
        <v>#REF!</v>
      </c>
      <c r="Q63" s="275" t="str">
        <f t="shared" si="153"/>
        <v>#REF!</v>
      </c>
      <c r="R63" s="276">
        <f t="shared" si="154"/>
        <v>0</v>
      </c>
      <c r="S63" s="279" t="str">
        <f t="shared" si="155"/>
        <v>0</v>
      </c>
    </row>
    <row r="64" ht="14.25" customHeight="1">
      <c r="A64" s="268" t="s">
        <v>271</v>
      </c>
      <c r="B64" s="269" t="s">
        <v>289</v>
      </c>
      <c r="C64" s="270" t="s">
        <v>1151</v>
      </c>
      <c r="D64" s="270" t="s">
        <v>1152</v>
      </c>
      <c r="E64" s="270" t="s">
        <v>1153</v>
      </c>
      <c r="F64" s="270" t="s">
        <v>1154</v>
      </c>
      <c r="G64" s="271" t="s">
        <v>1155</v>
      </c>
      <c r="H64" s="270" t="s">
        <v>1156</v>
      </c>
      <c r="I64" s="272" t="s">
        <v>1157</v>
      </c>
      <c r="J64" s="272" t="s">
        <v>1158</v>
      </c>
      <c r="K64" s="272" t="s">
        <v>1159</v>
      </c>
      <c r="L64" s="270" t="s">
        <v>1160</v>
      </c>
      <c r="M64" s="273" t="s">
        <v>1161</v>
      </c>
      <c r="P64" s="268" t="s">
        <v>271</v>
      </c>
      <c r="Q64" s="269" t="s">
        <v>289</v>
      </c>
      <c r="R64" s="270" t="s">
        <v>1151</v>
      </c>
      <c r="S64" s="270" t="s">
        <v>1154</v>
      </c>
    </row>
    <row r="65" ht="14.25" customHeight="1">
      <c r="A65" s="274" t="str">
        <f t="shared" ref="A65:A68" si="156">('[1]ESCALA DE PRODUÇÃO'!AA54)</f>
        <v>#REF!</v>
      </c>
      <c r="B65" s="275" t="str">
        <f t="shared" ref="B65:B68" si="157">XLOOKUP(A65,'[1]ESCALA DE PRODUÇÃO'!$AL$1:$AL$1048566,'[1]ESCALA DE PRODUÇÃO'!$AJ$1:$AJ$1048566,"NÃO ENCOTRADO")</f>
        <v>#REF!</v>
      </c>
      <c r="C65" s="276">
        <v>0.0</v>
      </c>
      <c r="D65" s="277" t="str">
        <f t="shared" ref="D65:D68" si="158">XLOOKUP(A65,'[1]ESCALA DE PRODUÇÃO'!$AL$1:$AL$1048566,'[1]ESCALA DE PRODUÇÃO'!$AK$1:$AK$1048566,"0")</f>
        <v>#REF!</v>
      </c>
      <c r="E65" s="278" t="str">
        <f t="shared" ref="E65:E68" si="159">XLOOKUP(A65,'[1]ESCALA DE PRODUÇÃO'!$A$4:$A$42,'[1]ESCALA DE PRODUÇÃO'!$C$4:$C$42,"0")</f>
        <v>#REF!</v>
      </c>
      <c r="F65" s="279" t="str">
        <f t="shared" ref="F65:F68" si="160">IFERROR(C65/E65,"0")</f>
        <v>0</v>
      </c>
      <c r="G65" s="280" t="str">
        <f t="shared" ref="G65:G68" si="161">XLOOKUP(A65,'[1]ESCALA DE PRODUÇÃO'!$AL$1:$AL$1048566,'[1]ESCALA DE PRODUÇÃO'!$AM$1:$AM$1048566,"SEM PREÇO")</f>
        <v>#REF!</v>
      </c>
      <c r="H65" s="287" t="str">
        <f t="shared" ref="H65:H68" si="162">IFERROR(C65*G65,"0")</f>
        <v>0</v>
      </c>
      <c r="I65" s="288" t="str">
        <f t="array" ref="I65">XLOOKUP(A65,'DADOS DE VENDA'!AE:AE,'DADOS DE VENDA'!AH:AH,"SEM VENDA")</f>
        <v>#REF!</v>
      </c>
      <c r="J65" s="289" t="str">
        <f t="shared" ref="J65:J68" si="163">IFERROR(I65/E65,"0")</f>
        <v>0</v>
      </c>
      <c r="K65" s="290" t="str">
        <f t="shared" ref="K65:K68" si="164">IFERROR(I65*G65,"0")</f>
        <v>0</v>
      </c>
      <c r="L65" s="291" t="str">
        <f t="array" ref="L65">XLOOKUP(A65,'DADOS DE VENDA'!A:A,'DADOS DE VENDA'!E:E,"RUPTURA NO PERIODO")</f>
        <v>#REF!</v>
      </c>
      <c r="M65" s="286" t="str">
        <f t="array" ref="M65">IFS(C65&lt;I65,"ABAIXO",C65&gt;I65,"ACIMA",C65=I65,"OK")</f>
        <v>#REF!</v>
      </c>
      <c r="P65" s="274" t="str">
        <f t="shared" ref="P65:P68" si="165">(A65)</f>
        <v>#REF!</v>
      </c>
      <c r="Q65" s="275" t="str">
        <f t="shared" ref="Q65:Q68" si="166">XLOOKUP(P65,'[1]ESCALA DE PRODUÇÃO'!$AL$1:$AL$1048566,'[1]ESCALA DE PRODUÇÃO'!$AJ$1:$AJ$1048566,"NÃO ENCOTRADO")</f>
        <v>#REF!</v>
      </c>
      <c r="R65" s="276">
        <f t="shared" ref="R65:R68" si="167">C65</f>
        <v>0</v>
      </c>
      <c r="S65" s="279" t="str">
        <f t="shared" ref="S65:S68" si="168">F65</f>
        <v>0</v>
      </c>
    </row>
    <row r="66" ht="14.25" customHeight="1">
      <c r="A66" s="274" t="str">
        <f t="shared" si="156"/>
        <v>#REF!</v>
      </c>
      <c r="B66" s="275" t="str">
        <f t="shared" si="157"/>
        <v>#REF!</v>
      </c>
      <c r="C66" s="276">
        <v>0.0</v>
      </c>
      <c r="D66" s="277" t="str">
        <f t="shared" si="158"/>
        <v>#REF!</v>
      </c>
      <c r="E66" s="278" t="str">
        <f t="shared" si="159"/>
        <v>#REF!</v>
      </c>
      <c r="F66" s="279" t="str">
        <f t="shared" si="160"/>
        <v>0</v>
      </c>
      <c r="G66" s="280" t="str">
        <f t="shared" si="161"/>
        <v>#REF!</v>
      </c>
      <c r="H66" s="287" t="str">
        <f t="shared" si="162"/>
        <v>0</v>
      </c>
      <c r="I66" s="288" t="str">
        <f t="array" ref="I66">XLOOKUP(A66,'DADOS DE VENDA'!AE:AE,'DADOS DE VENDA'!AH:AH,"SEM VENDA")</f>
        <v>#REF!</v>
      </c>
      <c r="J66" s="289" t="str">
        <f t="shared" si="163"/>
        <v>0</v>
      </c>
      <c r="K66" s="290" t="str">
        <f t="shared" si="164"/>
        <v>0</v>
      </c>
      <c r="L66" s="291" t="str">
        <f t="array" ref="L66">XLOOKUP(A66,'DADOS DE VENDA'!A:A,'DADOS DE VENDA'!E:E,"RUPTURA NO PERIODO")</f>
        <v>#REF!</v>
      </c>
      <c r="M66" s="286" t="str">
        <f t="array" ref="M66">IFS(C66&lt;I66,"ABAIXO",C66&gt;I66,"ACIMA",C66=I66,"OK")</f>
        <v>#REF!</v>
      </c>
      <c r="P66" s="274" t="str">
        <f t="shared" si="165"/>
        <v>#REF!</v>
      </c>
      <c r="Q66" s="275" t="str">
        <f t="shared" si="166"/>
        <v>#REF!</v>
      </c>
      <c r="R66" s="276">
        <f t="shared" si="167"/>
        <v>0</v>
      </c>
      <c r="S66" s="279" t="str">
        <f t="shared" si="168"/>
        <v>0</v>
      </c>
    </row>
    <row r="67" ht="14.25" customHeight="1">
      <c r="A67" s="274" t="str">
        <f t="shared" si="156"/>
        <v>#REF!</v>
      </c>
      <c r="B67" s="275" t="str">
        <f t="shared" si="157"/>
        <v>#REF!</v>
      </c>
      <c r="C67" s="276">
        <v>0.0</v>
      </c>
      <c r="D67" s="277" t="str">
        <f t="shared" si="158"/>
        <v>#REF!</v>
      </c>
      <c r="E67" s="278" t="str">
        <f t="shared" si="159"/>
        <v>#REF!</v>
      </c>
      <c r="F67" s="279" t="str">
        <f t="shared" si="160"/>
        <v>0</v>
      </c>
      <c r="G67" s="280" t="str">
        <f t="shared" si="161"/>
        <v>#REF!</v>
      </c>
      <c r="H67" s="287" t="str">
        <f t="shared" si="162"/>
        <v>0</v>
      </c>
      <c r="I67" s="288" t="str">
        <f t="array" ref="I67">XLOOKUP(A67,'DADOS DE VENDA'!AE:AE,'DADOS DE VENDA'!AH:AH,"SEM VENDA")</f>
        <v>#REF!</v>
      </c>
      <c r="J67" s="289" t="str">
        <f t="shared" si="163"/>
        <v>0</v>
      </c>
      <c r="K67" s="290" t="str">
        <f t="shared" si="164"/>
        <v>0</v>
      </c>
      <c r="L67" s="291" t="str">
        <f t="array" ref="L67">XLOOKUP(A67,'DADOS DE VENDA'!A:A,'DADOS DE VENDA'!E:E,"RUPTURA NO PERIODO")</f>
        <v>#REF!</v>
      </c>
      <c r="M67" s="286" t="str">
        <f t="array" ref="M67">IFS(C67&lt;I67,"ABAIXO",C67&gt;I67,"ACIMA",C67=I67,"OK")</f>
        <v>#REF!</v>
      </c>
      <c r="P67" s="274" t="str">
        <f t="shared" si="165"/>
        <v>#REF!</v>
      </c>
      <c r="Q67" s="275" t="str">
        <f t="shared" si="166"/>
        <v>#REF!</v>
      </c>
      <c r="R67" s="276">
        <f t="shared" si="167"/>
        <v>0</v>
      </c>
      <c r="S67" s="279" t="str">
        <f t="shared" si="168"/>
        <v>0</v>
      </c>
    </row>
    <row r="68" ht="14.25" customHeight="1">
      <c r="A68" s="274" t="str">
        <f t="shared" si="156"/>
        <v>#REF!</v>
      </c>
      <c r="B68" s="275" t="str">
        <f t="shared" si="157"/>
        <v>#REF!</v>
      </c>
      <c r="C68" s="276">
        <v>8.0</v>
      </c>
      <c r="D68" s="277" t="str">
        <f t="shared" si="158"/>
        <v>#REF!</v>
      </c>
      <c r="E68" s="278" t="str">
        <f t="shared" si="159"/>
        <v>#REF!</v>
      </c>
      <c r="F68" s="279" t="str">
        <f t="shared" si="160"/>
        <v>0</v>
      </c>
      <c r="G68" s="280" t="str">
        <f t="shared" si="161"/>
        <v>#REF!</v>
      </c>
      <c r="H68" s="287" t="str">
        <f t="shared" si="162"/>
        <v>0</v>
      </c>
      <c r="I68" s="288" t="str">
        <f t="array" ref="I68">XLOOKUP(A68,'DADOS DE VENDA'!AE:AE,'DADOS DE VENDA'!AH:AH,"SEM VENDA")</f>
        <v>#REF!</v>
      </c>
      <c r="J68" s="289" t="str">
        <f t="shared" si="163"/>
        <v>0</v>
      </c>
      <c r="K68" s="290" t="str">
        <f t="shared" si="164"/>
        <v>0</v>
      </c>
      <c r="L68" s="291" t="str">
        <f t="array" ref="L68">XLOOKUP(A68,'DADOS DE VENDA'!A:A,'DADOS DE VENDA'!E:E,"RUPTURA NO PERIODO")</f>
        <v>#REF!</v>
      </c>
      <c r="M68" s="286" t="str">
        <f t="array" ref="M68">IFS(C68&lt;I68,"ABAIXO",C68&gt;I68,"ACIMA",C68=I68,"OK")</f>
        <v>#REF!</v>
      </c>
      <c r="P68" s="274" t="str">
        <f t="shared" si="165"/>
        <v>#REF!</v>
      </c>
      <c r="Q68" s="275" t="str">
        <f t="shared" si="166"/>
        <v>#REF!</v>
      </c>
      <c r="R68" s="276">
        <f t="shared" si="167"/>
        <v>8</v>
      </c>
      <c r="S68" s="279" t="str">
        <f t="shared" si="168"/>
        <v>0</v>
      </c>
    </row>
    <row r="69" ht="14.25" customHeight="1">
      <c r="A69" s="274"/>
      <c r="B69" s="304" t="s">
        <v>1162</v>
      </c>
      <c r="C69" s="304" t="s">
        <v>1163</v>
      </c>
      <c r="D69" s="305"/>
      <c r="E69" s="306"/>
      <c r="F69" s="307" t="s">
        <v>1164</v>
      </c>
      <c r="G69" s="308">
        <f>SUM(H60,H61,H62,H63,H65,H66,H67,H68)</f>
        <v>0</v>
      </c>
      <c r="H69" s="306"/>
      <c r="I69" s="307" t="s">
        <v>1165</v>
      </c>
      <c r="J69" s="309" t="str">
        <f>SUM(K46+K47+K48+K50+K51+K52+K54+K55+K57+K58+K60+K61+K62+K64+K65+K67+K68)</f>
        <v>#VALUE!</v>
      </c>
      <c r="K69" s="306"/>
      <c r="L69" s="310"/>
      <c r="M69" s="311"/>
      <c r="P69" s="312" t="s">
        <v>1156</v>
      </c>
      <c r="Q69" s="313"/>
      <c r="R69" s="314">
        <f>(G69)</f>
        <v>0</v>
      </c>
      <c r="S69" s="313"/>
    </row>
    <row r="70" ht="14.25" customHeight="1">
      <c r="G70" s="42"/>
    </row>
    <row r="71" ht="14.25" customHeight="1">
      <c r="G71" s="42"/>
    </row>
    <row r="72" ht="14.25" customHeight="1">
      <c r="G72" s="42"/>
      <c r="P72" s="332" t="s">
        <v>1172</v>
      </c>
      <c r="Q72" s="333"/>
      <c r="R72" s="334">
        <f>SUM(R36,R54,R69)</f>
        <v>0</v>
      </c>
      <c r="S72" s="335"/>
    </row>
    <row r="73" ht="14.25" customHeight="1">
      <c r="G73" s="42"/>
      <c r="P73" s="336"/>
      <c r="R73" s="336"/>
      <c r="S73" s="337"/>
    </row>
    <row r="74" ht="14.25" customHeight="1">
      <c r="G74" s="42"/>
      <c r="P74" s="338"/>
      <c r="Q74" s="339"/>
      <c r="R74" s="338"/>
      <c r="S74" s="340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41">
    <mergeCell ref="A1:H1"/>
    <mergeCell ref="I1:M1"/>
    <mergeCell ref="P1:Q1"/>
    <mergeCell ref="C2:H2"/>
    <mergeCell ref="I2:M2"/>
    <mergeCell ref="P2:Q2"/>
    <mergeCell ref="R2:S2"/>
    <mergeCell ref="A41:B41"/>
    <mergeCell ref="C41:H41"/>
    <mergeCell ref="I41:M41"/>
    <mergeCell ref="P41:Q41"/>
    <mergeCell ref="R41:S41"/>
    <mergeCell ref="A2:B2"/>
    <mergeCell ref="D36:E36"/>
    <mergeCell ref="G36:H36"/>
    <mergeCell ref="J36:K36"/>
    <mergeCell ref="P36:Q36"/>
    <mergeCell ref="R36:S36"/>
    <mergeCell ref="A40:H40"/>
    <mergeCell ref="I40:M40"/>
    <mergeCell ref="P40:Q40"/>
    <mergeCell ref="D54:E54"/>
    <mergeCell ref="G54:H54"/>
    <mergeCell ref="J54:K54"/>
    <mergeCell ref="P54:Q54"/>
    <mergeCell ref="R54:S54"/>
    <mergeCell ref="A58:B58"/>
    <mergeCell ref="D69:E69"/>
    <mergeCell ref="G69:H69"/>
    <mergeCell ref="J69:K69"/>
    <mergeCell ref="P69:Q69"/>
    <mergeCell ref="R69:S69"/>
    <mergeCell ref="P72:Q74"/>
    <mergeCell ref="R72:S74"/>
    <mergeCell ref="A57:H57"/>
    <mergeCell ref="I57:M57"/>
    <mergeCell ref="P57:Q57"/>
    <mergeCell ref="C58:H58"/>
    <mergeCell ref="I58:M58"/>
    <mergeCell ref="P58:Q58"/>
    <mergeCell ref="R58:S58"/>
  </mergeCells>
  <conditionalFormatting sqref="I4:I6 I8:I10 I12:I13 I15:I16 I18:I20 I22:I24 I26:I27 I29:I35">
    <cfRule type="containsText" dxfId="0" priority="1" operator="containsText" text="SEM VENDA">
      <formula>NOT(ISERROR(SEARCH(("SEM VENDA"),(I4))))</formula>
    </cfRule>
  </conditionalFormatting>
  <conditionalFormatting sqref="I38:I39">
    <cfRule type="containsText" dxfId="0" priority="2" operator="containsText" text="SEM VENDAS">
      <formula>NOT(ISERROR(SEARCH(("SEM VENDAS"),(I38))))</formula>
    </cfRule>
  </conditionalFormatting>
  <conditionalFormatting sqref="I43:I45 I47:I49 I51:I53">
    <cfRule type="containsText" dxfId="0" priority="3" operator="containsText" text="SEM VENDA">
      <formula>NOT(ISERROR(SEARCH(("SEM VENDA"),(I43))))</formula>
    </cfRule>
  </conditionalFormatting>
  <conditionalFormatting sqref="I60:I63 I65:I68">
    <cfRule type="containsText" dxfId="0" priority="4" operator="containsText" text="SEM VENDA">
      <formula>NOT(ISERROR(SEARCH(("SEM VENDA"),(I60))))</formula>
    </cfRule>
  </conditionalFormatting>
  <conditionalFormatting sqref="L4:L6 L8:L10 L12:L13 L15:L16 L18:L20 L22:L24 L26:L27 L29:L39">
    <cfRule type="containsText" dxfId="0" priority="5" operator="containsText" text="RUPTURA NO PERIODO">
      <formula>NOT(ISERROR(SEARCH(("RUPTURA NO PERIODO"),(L4))))</formula>
    </cfRule>
  </conditionalFormatting>
  <conditionalFormatting sqref="L43:L45 L47:L49 L51:L54">
    <cfRule type="containsText" dxfId="0" priority="6" operator="containsText" text="RUPTURA NO PERIODO">
      <formula>NOT(ISERROR(SEARCH(("RUPTURA NO PERIODO"),(L43))))</formula>
    </cfRule>
  </conditionalFormatting>
  <conditionalFormatting sqref="L60:L63">
    <cfRule type="containsText" dxfId="0" priority="7" operator="containsText" text="RUPTURA NO PERIODO">
      <formula>NOT(ISERROR(SEARCH(("RUPTURA NO PERIODO"),(L60))))</formula>
    </cfRule>
  </conditionalFormatting>
  <conditionalFormatting sqref="L65:L69">
    <cfRule type="containsText" dxfId="0" priority="8" operator="containsText" text="RUPTURA NO PERIODO">
      <formula>NOT(ISERROR(SEARCH(("RUPTURA NO PERIODO"),(L65))))</formula>
    </cfRule>
  </conditionalFormatting>
  <printOptions/>
  <pageMargins bottom="0.75" footer="0.0" header="0.0" left="0.25" right="0.2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505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71"/>
    <col customWidth="1" min="3" max="3" width="8.43"/>
    <col customWidth="1" min="4" max="4" width="6.43"/>
    <col customWidth="1" min="5" max="5" width="9.71"/>
    <col customWidth="1" min="6" max="6" width="7.86"/>
    <col customWidth="1" min="7" max="7" width="15.57"/>
    <col customWidth="1" min="8" max="8" width="13.57"/>
    <col customWidth="1" min="9" max="11" width="10.86"/>
    <col customWidth="1" min="12" max="12" width="17.43"/>
    <col customWidth="1" min="13" max="16" width="8.71"/>
    <col customWidth="1" min="17" max="17" width="83.14"/>
    <col customWidth="1" min="18" max="18" width="8.43"/>
    <col customWidth="1" min="19" max="19" width="14.43"/>
    <col customWidth="1" min="20" max="26" width="8.71"/>
  </cols>
  <sheetData>
    <row r="1" ht="14.25" customHeight="1">
      <c r="A1" s="398" t="s">
        <v>1184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3"/>
      <c r="P1" s="255" t="s">
        <v>1185</v>
      </c>
      <c r="Q1" s="256"/>
      <c r="R1" s="257" t="s">
        <v>12</v>
      </c>
      <c r="S1" s="258">
        <v>40400.0</v>
      </c>
    </row>
    <row r="2" ht="14.25" customHeight="1">
      <c r="A2" s="346" t="s">
        <v>1175</v>
      </c>
      <c r="B2" s="260"/>
      <c r="C2" s="266" t="s">
        <v>1149</v>
      </c>
      <c r="D2" s="263"/>
      <c r="E2" s="263"/>
      <c r="F2" s="263"/>
      <c r="G2" s="263"/>
      <c r="H2" s="264"/>
      <c r="I2" s="262" t="s">
        <v>1150</v>
      </c>
      <c r="J2" s="263"/>
      <c r="K2" s="263"/>
      <c r="L2" s="263"/>
      <c r="M2" s="267"/>
      <c r="P2" s="259" t="s">
        <v>270</v>
      </c>
      <c r="Q2" s="260"/>
      <c r="R2" s="266" t="s">
        <v>1149</v>
      </c>
      <c r="S2" s="267"/>
    </row>
    <row r="3" ht="14.25" customHeight="1">
      <c r="A3" s="348" t="s">
        <v>271</v>
      </c>
      <c r="B3" s="269" t="s">
        <v>276</v>
      </c>
      <c r="C3" s="270" t="s">
        <v>1151</v>
      </c>
      <c r="D3" s="270" t="s">
        <v>1152</v>
      </c>
      <c r="E3" s="270" t="s">
        <v>1153</v>
      </c>
      <c r="F3" s="270" t="s">
        <v>1154</v>
      </c>
      <c r="G3" s="271" t="s">
        <v>1155</v>
      </c>
      <c r="H3" s="270" t="s">
        <v>1156</v>
      </c>
      <c r="I3" s="272" t="s">
        <v>1157</v>
      </c>
      <c r="J3" s="272" t="s">
        <v>1158</v>
      </c>
      <c r="K3" s="272" t="s">
        <v>1159</v>
      </c>
      <c r="L3" s="270" t="s">
        <v>1160</v>
      </c>
      <c r="M3" s="273" t="s">
        <v>1161</v>
      </c>
      <c r="P3" s="268" t="s">
        <v>271</v>
      </c>
      <c r="Q3" s="269" t="s">
        <v>276</v>
      </c>
      <c r="R3" s="270" t="s">
        <v>1151</v>
      </c>
      <c r="S3" s="270" t="s">
        <v>1154</v>
      </c>
    </row>
    <row r="4" ht="14.25" customHeight="1">
      <c r="A4" s="277" t="str">
        <f t="shared" ref="A4:A27" si="1">('[1]ESCALA DE PRODUÇÃO'!AF4)</f>
        <v>#REF!</v>
      </c>
      <c r="B4" s="275" t="str">
        <f t="shared" ref="B4:B6" si="2">XLOOKUP(A4,'[1]ESCALA DE PRODUÇÃO'!$AL$1:$AL$1048566,'[1]ESCALA DE PRODUÇÃO'!$AJ$1:$AJ$1048566,"NÃO ENCOTRADO")</f>
        <v>#REF!</v>
      </c>
      <c r="C4" s="276">
        <v>0.0</v>
      </c>
      <c r="D4" s="277" t="str">
        <f t="shared" ref="D4:D6" si="3">XLOOKUP(A4,'[1]ESCALA DE PRODUÇÃO'!$AL$1:$AL$1048566,'[1]ESCALA DE PRODUÇÃO'!$AK$1:$AK$1048566,"0")</f>
        <v>#REF!</v>
      </c>
      <c r="E4" s="278" t="str">
        <f t="shared" ref="E4:E6" si="4">XLOOKUP(A4,'[1]ESCALA DE PRODUÇÃO'!$A$4:$A$42,'[1]ESCALA DE PRODUÇÃO'!$C$4:$C$42,"0")</f>
        <v>#REF!</v>
      </c>
      <c r="F4" s="279" t="str">
        <f t="shared" ref="F4:F6" si="5">IFERROR(C4/E4,"0")</f>
        <v>0</v>
      </c>
      <c r="G4" s="280" t="str">
        <f t="shared" ref="G4:G6" si="6">XLOOKUP(A4,'[1]ESCALA DE PRODUÇÃO'!$AL$1:$AL$1048566,'[1]ESCALA DE PRODUÇÃO'!$AM$1:$AM$1048566,"SEM PREÇO")</f>
        <v>#REF!</v>
      </c>
      <c r="H4" s="281" t="str">
        <f t="shared" ref="H4:H6" si="7">IFERROR(C4*G4,"0")</f>
        <v>0</v>
      </c>
      <c r="I4" s="282" t="str">
        <f t="array" ref="I4">XLOOKUP(A4,'DADOS DE VENDA'!A:A,'DADOS DE VENDA'!D:D,"SEM VENDA")</f>
        <v>#REF!</v>
      </c>
      <c r="J4" s="283" t="str">
        <f t="shared" ref="J4:J6" si="8">IFERROR(I4/E4,"0")</f>
        <v>0</v>
      </c>
      <c r="K4" s="284" t="str">
        <f t="shared" ref="K4:K6" si="9">IFERROR(I4*G4,"0")</f>
        <v>0</v>
      </c>
      <c r="L4" s="285" t="str">
        <f t="array" ref="L4">XLOOKUP(A4,'DADOS DE VENDA'!A:A,'DADOS DE VENDA'!E:E,"RUPTURA NO PERIODO")</f>
        <v>#REF!</v>
      </c>
      <c r="M4" s="286" t="str">
        <f t="array" ref="M4">IFS(C4&lt;I4,"ABAIXO",C4&gt;I4,"ACIMA",C4=I4,"OK")</f>
        <v>#REF!</v>
      </c>
      <c r="P4" s="274" t="str">
        <f t="shared" ref="P4:P6" si="10">('[1]ESCALA DE PRODUÇÃO'!Q3)</f>
        <v>#REF!</v>
      </c>
      <c r="Q4" s="275" t="str">
        <f t="shared" ref="Q4:Q6" si="11">XLOOKUP(P4,'[1]ESCALA DE PRODUÇÃO'!$AL$1:$AL$1048566,'[1]ESCALA DE PRODUÇÃO'!$AJ$1:$AJ$1048566,"NÃO ENCOTRADO")</f>
        <v>#REF!</v>
      </c>
      <c r="R4" s="276">
        <f t="shared" ref="R4:R6" si="12">C4</f>
        <v>0</v>
      </c>
      <c r="S4" s="279" t="str">
        <f t="shared" ref="S4:S6" si="13">(F4)</f>
        <v>0</v>
      </c>
    </row>
    <row r="5" ht="14.25" customHeight="1">
      <c r="A5" s="277" t="str">
        <f t="shared" si="1"/>
        <v>#REF!</v>
      </c>
      <c r="B5" s="275" t="str">
        <f t="shared" si="2"/>
        <v>#REF!</v>
      </c>
      <c r="C5" s="276">
        <v>0.0</v>
      </c>
      <c r="D5" s="277" t="str">
        <f t="shared" si="3"/>
        <v>#REF!</v>
      </c>
      <c r="E5" s="278" t="str">
        <f t="shared" si="4"/>
        <v>#REF!</v>
      </c>
      <c r="F5" s="279" t="str">
        <f t="shared" si="5"/>
        <v>0</v>
      </c>
      <c r="G5" s="280" t="str">
        <f t="shared" si="6"/>
        <v>#REF!</v>
      </c>
      <c r="H5" s="287" t="str">
        <f t="shared" si="7"/>
        <v>0</v>
      </c>
      <c r="I5" s="288" t="str">
        <f t="array" ref="I5">XLOOKUP(A5,'DADOS DE VENDA'!A:A,'DADOS DE VENDA'!D:D,"SEM VENDA")</f>
        <v>#REF!</v>
      </c>
      <c r="J5" s="289" t="str">
        <f t="shared" si="8"/>
        <v>0</v>
      </c>
      <c r="K5" s="290" t="str">
        <f t="shared" si="9"/>
        <v>0</v>
      </c>
      <c r="L5" s="291" t="str">
        <f t="array" ref="L5">XLOOKUP(A5,'DADOS DE VENDA'!A:A,'DADOS DE VENDA'!E:E,"RUPTURA NO PERIODO")</f>
        <v>#REF!</v>
      </c>
      <c r="M5" s="286" t="str">
        <f t="array" ref="M5">IFS(C5&lt;I5,"ABAIXO",C5&gt;I5,"ACIMA",C5=I5,"OK")</f>
        <v>#REF!</v>
      </c>
      <c r="P5" s="274" t="str">
        <f t="shared" si="10"/>
        <v>#REF!</v>
      </c>
      <c r="Q5" s="275" t="str">
        <f t="shared" si="11"/>
        <v>#REF!</v>
      </c>
      <c r="R5" s="276">
        <f t="shared" si="12"/>
        <v>0</v>
      </c>
      <c r="S5" s="279" t="str">
        <f t="shared" si="13"/>
        <v>0</v>
      </c>
    </row>
    <row r="6" ht="14.25" customHeight="1">
      <c r="A6" s="277" t="str">
        <f t="shared" si="1"/>
        <v>#REF!</v>
      </c>
      <c r="B6" s="275" t="str">
        <f t="shared" si="2"/>
        <v>#REF!</v>
      </c>
      <c r="C6" s="276">
        <v>0.0</v>
      </c>
      <c r="D6" s="277" t="str">
        <f t="shared" si="3"/>
        <v>#REF!</v>
      </c>
      <c r="E6" s="278" t="str">
        <f t="shared" si="4"/>
        <v>#REF!</v>
      </c>
      <c r="F6" s="279" t="str">
        <f t="shared" si="5"/>
        <v>0</v>
      </c>
      <c r="G6" s="280" t="str">
        <f t="shared" si="6"/>
        <v>#REF!</v>
      </c>
      <c r="H6" s="287" t="str">
        <f t="shared" si="7"/>
        <v>0</v>
      </c>
      <c r="I6" s="288" t="str">
        <f t="array" ref="I6">XLOOKUP(A6,'DADOS DE VENDA'!A:A,'DADOS DE VENDA'!D:D,"SEM VENDA")</f>
        <v>#REF!</v>
      </c>
      <c r="J6" s="289" t="str">
        <f t="shared" si="8"/>
        <v>0</v>
      </c>
      <c r="K6" s="290" t="str">
        <f t="shared" si="9"/>
        <v>0</v>
      </c>
      <c r="L6" s="291" t="str">
        <f t="array" ref="L6">XLOOKUP(A6,'DADOS DE VENDA'!A:A,'DADOS DE VENDA'!E:E,"RUPTURA NO PERIODO")</f>
        <v>#REF!</v>
      </c>
      <c r="M6" s="286" t="str">
        <f t="array" ref="M6">IFS(C6&lt;I6,"ABAIXO",C6&gt;I6,"ACIMA",C6=I6,"OK")</f>
        <v>#REF!</v>
      </c>
      <c r="P6" s="274" t="str">
        <f t="shared" si="10"/>
        <v>#REF!</v>
      </c>
      <c r="Q6" s="275" t="str">
        <f t="shared" si="11"/>
        <v>#REF!</v>
      </c>
      <c r="R6" s="276">
        <f t="shared" si="12"/>
        <v>0</v>
      </c>
      <c r="S6" s="279" t="str">
        <f t="shared" si="13"/>
        <v>0</v>
      </c>
    </row>
    <row r="7" ht="14.25" customHeight="1">
      <c r="A7" s="277" t="str">
        <f t="shared" si="1"/>
        <v>#REF!</v>
      </c>
      <c r="B7" s="269" t="s">
        <v>298</v>
      </c>
      <c r="C7" s="270" t="s">
        <v>1151</v>
      </c>
      <c r="D7" s="270" t="s">
        <v>1152</v>
      </c>
      <c r="E7" s="270" t="s">
        <v>1153</v>
      </c>
      <c r="F7" s="270" t="s">
        <v>1154</v>
      </c>
      <c r="G7" s="271" t="s">
        <v>1155</v>
      </c>
      <c r="H7" s="270" t="s">
        <v>1156</v>
      </c>
      <c r="I7" s="272" t="s">
        <v>1157</v>
      </c>
      <c r="J7" s="272" t="s">
        <v>1158</v>
      </c>
      <c r="K7" s="272" t="s">
        <v>1159</v>
      </c>
      <c r="L7" s="270" t="s">
        <v>1160</v>
      </c>
      <c r="M7" s="273" t="s">
        <v>1161</v>
      </c>
      <c r="P7" s="268" t="s">
        <v>271</v>
      </c>
      <c r="Q7" s="269" t="s">
        <v>298</v>
      </c>
      <c r="R7" s="270" t="s">
        <v>1151</v>
      </c>
      <c r="S7" s="270" t="s">
        <v>1154</v>
      </c>
    </row>
    <row r="8" ht="14.25" customHeight="1">
      <c r="A8" s="277" t="str">
        <f t="shared" si="1"/>
        <v>#REF!</v>
      </c>
      <c r="B8" s="275" t="str">
        <f t="shared" ref="B8:B10" si="14">XLOOKUP(A8,'[1]ESCALA DE PRODUÇÃO'!$AL$1:$AL$1048566,'[1]ESCALA DE PRODUÇÃO'!$AJ$1:$AJ$1048566,"NÃO ENCOTRADO")</f>
        <v>#REF!</v>
      </c>
      <c r="C8" s="276">
        <v>0.0</v>
      </c>
      <c r="D8" s="277" t="str">
        <f t="shared" ref="D8:D10" si="15">XLOOKUP(A8,'[1]ESCALA DE PRODUÇÃO'!$AL$1:$AL$1048566,'[1]ESCALA DE PRODUÇÃO'!$AK$1:$AK$1048566,"0")</f>
        <v>#REF!</v>
      </c>
      <c r="E8" s="278" t="str">
        <f t="shared" ref="E8:E10" si="16">XLOOKUP(A8,'[1]ESCALA DE PRODUÇÃO'!$A$4:$A$42,'[1]ESCALA DE PRODUÇÃO'!$C$4:$C$42,"0")</f>
        <v>#REF!</v>
      </c>
      <c r="F8" s="279" t="str">
        <f t="shared" ref="F8:F10" si="17">IFERROR(C8/E8,"0")</f>
        <v>0</v>
      </c>
      <c r="G8" s="280" t="str">
        <f t="shared" ref="G8:G10" si="18">XLOOKUP(A8,'[1]ESCALA DE PRODUÇÃO'!$AL$1:$AL$1048566,'[1]ESCALA DE PRODUÇÃO'!$AM$1:$AM$1048566,"SEM PREÇO")</f>
        <v>#REF!</v>
      </c>
      <c r="H8" s="287" t="str">
        <f t="shared" ref="H8:H10" si="19">IFERROR(C8*G8,"0")</f>
        <v>0</v>
      </c>
      <c r="I8" s="288" t="str">
        <f t="array" ref="I8">XLOOKUP(A8,'DADOS DE VENDA'!A:A,'DADOS DE VENDA'!D:D,"SEM VENDA")</f>
        <v>#REF!</v>
      </c>
      <c r="J8" s="289" t="str">
        <f t="shared" ref="J8:J10" si="20">IFERROR(I8/E8,"0")</f>
        <v>0</v>
      </c>
      <c r="K8" s="290" t="str">
        <f t="shared" ref="K8:K10" si="21">IFERROR(I8*G8,"0")</f>
        <v>0</v>
      </c>
      <c r="L8" s="291" t="str">
        <f t="array" ref="L8">XLOOKUP(A8,'DADOS DE VENDA'!A:A,'DADOS DE VENDA'!E:E,"RUPTURA NO PERIODO")</f>
        <v>#REF!</v>
      </c>
      <c r="M8" s="286" t="str">
        <f t="array" ref="M8">IFS(C8&lt;I8,"ABAIXO",C8&gt;I8,"ACIMA",C8=I8,"OK")</f>
        <v>#REF!</v>
      </c>
      <c r="P8" s="274" t="str">
        <f t="shared" ref="P8:P10" si="22">('[1]ESCALA DE PRODUÇÃO'!Q7)</f>
        <v>#REF!</v>
      </c>
      <c r="Q8" s="275" t="str">
        <f t="shared" ref="Q8:Q10" si="23">XLOOKUP(P8,'[1]ESCALA DE PRODUÇÃO'!$AL$1:$AL$1048566,'[1]ESCALA DE PRODUÇÃO'!$AJ$1:$AJ$1048566,"NÃO ENCOTRADO")</f>
        <v>#REF!</v>
      </c>
      <c r="R8" s="276">
        <f t="shared" ref="R8:R10" si="24">C8</f>
        <v>0</v>
      </c>
      <c r="S8" s="279" t="str">
        <f t="shared" ref="S8:S10" si="25">(F8)</f>
        <v>0</v>
      </c>
    </row>
    <row r="9" ht="14.25" customHeight="1">
      <c r="A9" s="277" t="str">
        <f t="shared" si="1"/>
        <v>#REF!</v>
      </c>
      <c r="B9" s="275" t="str">
        <f t="shared" si="14"/>
        <v>#REF!</v>
      </c>
      <c r="C9" s="276">
        <v>0.0</v>
      </c>
      <c r="D9" s="277" t="str">
        <f t="shared" si="15"/>
        <v>#REF!</v>
      </c>
      <c r="E9" s="278" t="str">
        <f t="shared" si="16"/>
        <v>#REF!</v>
      </c>
      <c r="F9" s="279" t="str">
        <f t="shared" si="17"/>
        <v>0</v>
      </c>
      <c r="G9" s="280" t="str">
        <f t="shared" si="18"/>
        <v>#REF!</v>
      </c>
      <c r="H9" s="287" t="str">
        <f t="shared" si="19"/>
        <v>0</v>
      </c>
      <c r="I9" s="288" t="str">
        <f t="array" ref="I9">XLOOKUP(A9,'DADOS DE VENDA'!A:A,'DADOS DE VENDA'!D:D,"SEM VENDA")</f>
        <v>#REF!</v>
      </c>
      <c r="J9" s="289" t="str">
        <f t="shared" si="20"/>
        <v>0</v>
      </c>
      <c r="K9" s="290" t="str">
        <f t="shared" si="21"/>
        <v>0</v>
      </c>
      <c r="L9" s="291" t="str">
        <f t="array" ref="L9">XLOOKUP(A9,'DADOS DE VENDA'!A:A,'DADOS DE VENDA'!E:E,"RUPTURA NO PERIODO")</f>
        <v>#REF!</v>
      </c>
      <c r="M9" s="286" t="str">
        <f t="array" ref="M9">IFS(C9&lt;I9,"ABAIXO",C9&gt;I9,"ACIMA",C9=I9,"OK")</f>
        <v>#REF!</v>
      </c>
      <c r="P9" s="274" t="str">
        <f t="shared" si="22"/>
        <v>#REF!</v>
      </c>
      <c r="Q9" s="275" t="str">
        <f t="shared" si="23"/>
        <v>#REF!</v>
      </c>
      <c r="R9" s="276">
        <f t="shared" si="24"/>
        <v>0</v>
      </c>
      <c r="S9" s="279" t="str">
        <f t="shared" si="25"/>
        <v>0</v>
      </c>
    </row>
    <row r="10" ht="14.25" customHeight="1">
      <c r="A10" s="277" t="str">
        <f t="shared" si="1"/>
        <v>#REF!</v>
      </c>
      <c r="B10" s="275" t="str">
        <f t="shared" si="14"/>
        <v>#REF!</v>
      </c>
      <c r="C10" s="276">
        <v>0.0</v>
      </c>
      <c r="D10" s="277" t="str">
        <f t="shared" si="15"/>
        <v>#REF!</v>
      </c>
      <c r="E10" s="278" t="str">
        <f t="shared" si="16"/>
        <v>#REF!</v>
      </c>
      <c r="F10" s="279" t="str">
        <f t="shared" si="17"/>
        <v>0</v>
      </c>
      <c r="G10" s="280" t="str">
        <f t="shared" si="18"/>
        <v>#REF!</v>
      </c>
      <c r="H10" s="287" t="str">
        <f t="shared" si="19"/>
        <v>0</v>
      </c>
      <c r="I10" s="288" t="str">
        <f t="array" ref="I10">XLOOKUP(A10,'DADOS DE VENDA'!A:A,'DADOS DE VENDA'!D:D,"SEM VENDA")</f>
        <v>#REF!</v>
      </c>
      <c r="J10" s="289" t="str">
        <f t="shared" si="20"/>
        <v>0</v>
      </c>
      <c r="K10" s="290" t="str">
        <f t="shared" si="21"/>
        <v>0</v>
      </c>
      <c r="L10" s="291" t="str">
        <f t="array" ref="L10">XLOOKUP(A10,'DADOS DE VENDA'!A:A,'DADOS DE VENDA'!E:E,"RUPTURA NO PERIODO")</f>
        <v>#REF!</v>
      </c>
      <c r="M10" s="286" t="str">
        <f t="array" ref="M10">IFS(C10&lt;I10,"ABAIXO",C10&gt;I10,"ACIMA",C10=I10,"OK")</f>
        <v>#REF!</v>
      </c>
      <c r="P10" s="274" t="str">
        <f t="shared" si="22"/>
        <v>#REF!</v>
      </c>
      <c r="Q10" s="275" t="str">
        <f t="shared" si="23"/>
        <v>#REF!</v>
      </c>
      <c r="R10" s="276">
        <f t="shared" si="24"/>
        <v>0</v>
      </c>
      <c r="S10" s="279" t="str">
        <f t="shared" si="25"/>
        <v>0</v>
      </c>
    </row>
    <row r="11" ht="14.25" customHeight="1">
      <c r="A11" s="277" t="str">
        <f t="shared" si="1"/>
        <v>#REF!</v>
      </c>
      <c r="B11" s="269" t="s">
        <v>304</v>
      </c>
      <c r="C11" s="270" t="s">
        <v>1151</v>
      </c>
      <c r="D11" s="270" t="s">
        <v>1152</v>
      </c>
      <c r="E11" s="270" t="s">
        <v>1153</v>
      </c>
      <c r="F11" s="270" t="s">
        <v>1154</v>
      </c>
      <c r="G11" s="271" t="s">
        <v>1155</v>
      </c>
      <c r="H11" s="270" t="s">
        <v>1156</v>
      </c>
      <c r="I11" s="272" t="s">
        <v>1157</v>
      </c>
      <c r="J11" s="272" t="s">
        <v>1158</v>
      </c>
      <c r="K11" s="272" t="s">
        <v>1159</v>
      </c>
      <c r="L11" s="270" t="s">
        <v>1160</v>
      </c>
      <c r="M11" s="273" t="s">
        <v>1161</v>
      </c>
      <c r="P11" s="268" t="s">
        <v>271</v>
      </c>
      <c r="Q11" s="269" t="s">
        <v>304</v>
      </c>
      <c r="R11" s="270" t="s">
        <v>1151</v>
      </c>
      <c r="S11" s="270" t="s">
        <v>1154</v>
      </c>
    </row>
    <row r="12" ht="14.25" customHeight="1">
      <c r="A12" s="277" t="str">
        <f t="shared" si="1"/>
        <v>#REF!</v>
      </c>
      <c r="B12" s="275" t="str">
        <f t="shared" ref="B12:B13" si="26">XLOOKUP(A12,'[1]ESCALA DE PRODUÇÃO'!$AL$1:$AL$1048566,'[1]ESCALA DE PRODUÇÃO'!$AJ$1:$AJ$1048566,"NÃO ENCOTRADO")</f>
        <v>#REF!</v>
      </c>
      <c r="C12" s="276">
        <v>0.0</v>
      </c>
      <c r="D12" s="277" t="str">
        <f t="shared" ref="D12:D13" si="27">XLOOKUP(A12,'[1]ESCALA DE PRODUÇÃO'!$AL$1:$AL$1048566,'[1]ESCALA DE PRODUÇÃO'!$AK$1:$AK$1048566,"0")</f>
        <v>#REF!</v>
      </c>
      <c r="E12" s="278" t="str">
        <f t="shared" ref="E12:E13" si="28">XLOOKUP(A12,'[1]ESCALA DE PRODUÇÃO'!$A$4:$A$42,'[1]ESCALA DE PRODUÇÃO'!$C$4:$C$42,"0")</f>
        <v>#REF!</v>
      </c>
      <c r="F12" s="279" t="str">
        <f t="shared" ref="F12:F13" si="29">IFERROR(C12/E12,"0")</f>
        <v>0</v>
      </c>
      <c r="G12" s="280" t="str">
        <f t="shared" ref="G12:G13" si="30">XLOOKUP(A12,'[1]ESCALA DE PRODUÇÃO'!$AL$1:$AL$1048566,'[1]ESCALA DE PRODUÇÃO'!$AM$1:$AM$1048566,"SEM PREÇO")</f>
        <v>#REF!</v>
      </c>
      <c r="H12" s="287" t="str">
        <f t="shared" ref="H12:H13" si="31">IFERROR(C12*G12,"0")</f>
        <v>0</v>
      </c>
      <c r="I12" s="288" t="str">
        <f t="array" ref="I12">XLOOKUP(A12,'DADOS DE VENDA'!A:A,'DADOS DE VENDA'!D:D,"SEM VENDA")</f>
        <v>#REF!</v>
      </c>
      <c r="J12" s="289" t="str">
        <f t="shared" ref="J12:J13" si="32">IFERROR(I12/E12,"0")</f>
        <v>0</v>
      </c>
      <c r="K12" s="290" t="str">
        <f t="shared" ref="K12:K13" si="33">IFERROR(I12*G12,"0")</f>
        <v>0</v>
      </c>
      <c r="L12" s="291" t="str">
        <f t="array" ref="L12">XLOOKUP(A12,'DADOS DE VENDA'!A:A,'DADOS DE VENDA'!E:E,"RUPTURA NO PERIODO")</f>
        <v>#REF!</v>
      </c>
      <c r="M12" s="286" t="str">
        <f t="array" ref="M12">IFS(C12&lt;I12,"ABAIXO",C12&gt;I12,"ACIMA",C12=I12,"OK")</f>
        <v>#REF!</v>
      </c>
      <c r="P12" s="274" t="str">
        <f t="shared" ref="P12:P13" si="34">('[1]ESCALA DE PRODUÇÃO'!Q11)</f>
        <v>#REF!</v>
      </c>
      <c r="Q12" s="275" t="str">
        <f t="shared" ref="Q12:Q13" si="35">XLOOKUP(P12,'[1]ESCALA DE PRODUÇÃO'!$AL$1:$AL$1048566,'[1]ESCALA DE PRODUÇÃO'!$AJ$1:$AJ$1048566,"NÃO ENCOTRADO")</f>
        <v>#REF!</v>
      </c>
      <c r="R12" s="276">
        <f t="shared" ref="R12:R13" si="36">C12</f>
        <v>0</v>
      </c>
      <c r="S12" s="279" t="str">
        <f t="shared" ref="S12:S13" si="37">(F12)</f>
        <v>0</v>
      </c>
    </row>
    <row r="13" ht="14.25" customHeight="1">
      <c r="A13" s="277" t="str">
        <f t="shared" si="1"/>
        <v>#REF!</v>
      </c>
      <c r="B13" s="275" t="str">
        <f t="shared" si="26"/>
        <v>#REF!</v>
      </c>
      <c r="C13" s="276">
        <v>0.0</v>
      </c>
      <c r="D13" s="277" t="str">
        <f t="shared" si="27"/>
        <v>#REF!</v>
      </c>
      <c r="E13" s="278" t="str">
        <f t="shared" si="28"/>
        <v>#REF!</v>
      </c>
      <c r="F13" s="279" t="str">
        <f t="shared" si="29"/>
        <v>0</v>
      </c>
      <c r="G13" s="280" t="str">
        <f t="shared" si="30"/>
        <v>#REF!</v>
      </c>
      <c r="H13" s="287" t="str">
        <f t="shared" si="31"/>
        <v>0</v>
      </c>
      <c r="I13" s="288" t="str">
        <f t="array" ref="I13">XLOOKUP(A13,'DADOS DE VENDA'!A:A,'DADOS DE VENDA'!D:D,"SEM VENDA")</f>
        <v>#REF!</v>
      </c>
      <c r="J13" s="289" t="str">
        <f t="shared" si="32"/>
        <v>0</v>
      </c>
      <c r="K13" s="290" t="str">
        <f t="shared" si="33"/>
        <v>0</v>
      </c>
      <c r="L13" s="291" t="str">
        <f t="array" ref="L13">XLOOKUP(A13,'DADOS DE VENDA'!A:A,'DADOS DE VENDA'!E:E,"RUPTURA NO PERIODO")</f>
        <v>#REF!</v>
      </c>
      <c r="M13" s="286" t="str">
        <f t="array" ref="M13">IFS(C13&lt;I13,"ABAIXO",C13&gt;I13,"ACIMA",C13=I13,"OK")</f>
        <v>#REF!</v>
      </c>
      <c r="P13" s="274" t="str">
        <f t="shared" si="34"/>
        <v>#REF!</v>
      </c>
      <c r="Q13" s="275" t="str">
        <f t="shared" si="35"/>
        <v>#REF!</v>
      </c>
      <c r="R13" s="276">
        <f t="shared" si="36"/>
        <v>0</v>
      </c>
      <c r="S13" s="279" t="str">
        <f t="shared" si="37"/>
        <v>0</v>
      </c>
    </row>
    <row r="14" ht="14.25" customHeight="1">
      <c r="A14" s="277" t="str">
        <f t="shared" si="1"/>
        <v>#REF!</v>
      </c>
      <c r="B14" s="269" t="s">
        <v>316</v>
      </c>
      <c r="C14" s="270" t="s">
        <v>1151</v>
      </c>
      <c r="D14" s="270" t="s">
        <v>1152</v>
      </c>
      <c r="E14" s="270" t="s">
        <v>1153</v>
      </c>
      <c r="F14" s="270" t="s">
        <v>1154</v>
      </c>
      <c r="G14" s="271" t="s">
        <v>1155</v>
      </c>
      <c r="H14" s="270" t="s">
        <v>1156</v>
      </c>
      <c r="I14" s="272" t="s">
        <v>1157</v>
      </c>
      <c r="J14" s="272" t="s">
        <v>1158</v>
      </c>
      <c r="K14" s="272" t="s">
        <v>1159</v>
      </c>
      <c r="L14" s="270" t="s">
        <v>1160</v>
      </c>
      <c r="M14" s="273" t="s">
        <v>1161</v>
      </c>
      <c r="P14" s="268" t="s">
        <v>271</v>
      </c>
      <c r="Q14" s="269" t="s">
        <v>316</v>
      </c>
      <c r="R14" s="270" t="s">
        <v>1151</v>
      </c>
      <c r="S14" s="270" t="s">
        <v>1154</v>
      </c>
    </row>
    <row r="15" ht="14.25" customHeight="1">
      <c r="A15" s="277" t="str">
        <f t="shared" si="1"/>
        <v>#REF!</v>
      </c>
      <c r="B15" s="275" t="str">
        <f t="shared" ref="B15:B16" si="38">XLOOKUP(A15,'[1]ESCALA DE PRODUÇÃO'!$AL$1:$AL$1048566,'[1]ESCALA DE PRODUÇÃO'!$AJ$1:$AJ$1048566,"NÃO ENCOTRADO")</f>
        <v>#REF!</v>
      </c>
      <c r="C15" s="276">
        <v>0.0</v>
      </c>
      <c r="D15" s="277" t="str">
        <f t="shared" ref="D15:D16" si="39">XLOOKUP(A15,'[1]ESCALA DE PRODUÇÃO'!$AL$1:$AL$1048566,'[1]ESCALA DE PRODUÇÃO'!$AK$1:$AK$1048566,"0")</f>
        <v>#REF!</v>
      </c>
      <c r="E15" s="278" t="str">
        <f t="shared" ref="E15:E16" si="40">XLOOKUP(A15,'[1]ESCALA DE PRODUÇÃO'!$A$4:$A$42,'[1]ESCALA DE PRODUÇÃO'!$C$4:$C$42,"0")</f>
        <v>#REF!</v>
      </c>
      <c r="F15" s="279" t="str">
        <f t="shared" ref="F15:F16" si="41">IFERROR(C15/E15,"0")</f>
        <v>0</v>
      </c>
      <c r="G15" s="280" t="str">
        <f t="shared" ref="G15:G16" si="42">XLOOKUP(A15,'[1]ESCALA DE PRODUÇÃO'!$AL$1:$AL$1048566,'[1]ESCALA DE PRODUÇÃO'!$AM$1:$AM$1048566,"SEM PREÇO")</f>
        <v>#REF!</v>
      </c>
      <c r="H15" s="287" t="str">
        <f t="shared" ref="H15:H16" si="43">IFERROR(C15*G15,"0")</f>
        <v>0</v>
      </c>
      <c r="I15" s="288" t="str">
        <f t="array" ref="I15">XLOOKUP(A15,'DADOS DE VENDA'!A:A,'DADOS DE VENDA'!D:D,"SEM VENDA")</f>
        <v>#REF!</v>
      </c>
      <c r="J15" s="289" t="str">
        <f t="shared" ref="J15:J16" si="44">IFERROR(I15/E15,"0")</f>
        <v>0</v>
      </c>
      <c r="K15" s="290" t="str">
        <f t="shared" ref="K15:K16" si="45">IFERROR(I15*G15,"0")</f>
        <v>0</v>
      </c>
      <c r="L15" s="291" t="str">
        <f t="array" ref="L15">XLOOKUP(A15,'DADOS DE VENDA'!A:A,'DADOS DE VENDA'!E:E,"RUPTURA NO PERIODO")</f>
        <v>#REF!</v>
      </c>
      <c r="M15" s="286" t="str">
        <f t="array" ref="M15">IFS(C15&lt;I15,"ABAIXO",C15&gt;I15,"ACIMA",C15=I15,"OK")</f>
        <v>#REF!</v>
      </c>
      <c r="P15" s="274" t="str">
        <f t="shared" ref="P15:P16" si="46">('[1]ESCALA DE PRODUÇÃO'!Q14)</f>
        <v>#REF!</v>
      </c>
      <c r="Q15" s="275" t="str">
        <f t="shared" ref="Q15:Q16" si="47">XLOOKUP(P15,'[1]ESCALA DE PRODUÇÃO'!$AL$1:$AL$1048566,'[1]ESCALA DE PRODUÇÃO'!$AJ$1:$AJ$1048566,"NÃO ENCOTRADO")</f>
        <v>#REF!</v>
      </c>
      <c r="R15" s="276">
        <f t="shared" ref="R15:R16" si="48">C15</f>
        <v>0</v>
      </c>
      <c r="S15" s="279" t="str">
        <f t="shared" ref="S15:S16" si="49">(F15)</f>
        <v>0</v>
      </c>
    </row>
    <row r="16" ht="14.25" customHeight="1">
      <c r="A16" s="277" t="str">
        <f t="shared" si="1"/>
        <v>#REF!</v>
      </c>
      <c r="B16" s="275" t="str">
        <f t="shared" si="38"/>
        <v>#REF!</v>
      </c>
      <c r="C16" s="276">
        <v>0.0</v>
      </c>
      <c r="D16" s="277" t="str">
        <f t="shared" si="39"/>
        <v>#REF!</v>
      </c>
      <c r="E16" s="278" t="str">
        <f t="shared" si="40"/>
        <v>#REF!</v>
      </c>
      <c r="F16" s="279" t="str">
        <f t="shared" si="41"/>
        <v>0</v>
      </c>
      <c r="G16" s="280" t="str">
        <f t="shared" si="42"/>
        <v>#REF!</v>
      </c>
      <c r="H16" s="287" t="str">
        <f t="shared" si="43"/>
        <v>0</v>
      </c>
      <c r="I16" s="288" t="str">
        <f t="array" ref="I16">XLOOKUP(A16,'DADOS DE VENDA'!A:A,'DADOS DE VENDA'!D:D,"SEM VENDA")</f>
        <v>#REF!</v>
      </c>
      <c r="J16" s="289" t="str">
        <f t="shared" si="44"/>
        <v>0</v>
      </c>
      <c r="K16" s="290" t="str">
        <f t="shared" si="45"/>
        <v>0</v>
      </c>
      <c r="L16" s="291" t="str">
        <f t="array" ref="L16">XLOOKUP(A16,'DADOS DE VENDA'!A:A,'DADOS DE VENDA'!E:E,"RUPTURA NO PERIODO")</f>
        <v>#REF!</v>
      </c>
      <c r="M16" s="286" t="str">
        <f t="array" ref="M16">IFS(C16&lt;I16,"ABAIXO",C16&gt;I16,"ACIMA",C16=I16,"OK")</f>
        <v>#REF!</v>
      </c>
      <c r="P16" s="274" t="str">
        <f t="shared" si="46"/>
        <v>#REF!</v>
      </c>
      <c r="Q16" s="275" t="str">
        <f t="shared" si="47"/>
        <v>#REF!</v>
      </c>
      <c r="R16" s="276">
        <f t="shared" si="48"/>
        <v>0</v>
      </c>
      <c r="S16" s="279" t="str">
        <f t="shared" si="49"/>
        <v>0</v>
      </c>
    </row>
    <row r="17" ht="14.25" customHeight="1">
      <c r="A17" s="277" t="str">
        <f t="shared" si="1"/>
        <v>#REF!</v>
      </c>
      <c r="B17" s="269" t="s">
        <v>323</v>
      </c>
      <c r="C17" s="270" t="s">
        <v>1151</v>
      </c>
      <c r="D17" s="270" t="s">
        <v>1152</v>
      </c>
      <c r="E17" s="270" t="s">
        <v>1153</v>
      </c>
      <c r="F17" s="270" t="s">
        <v>1154</v>
      </c>
      <c r="G17" s="271" t="s">
        <v>1155</v>
      </c>
      <c r="H17" s="270" t="s">
        <v>1156</v>
      </c>
      <c r="I17" s="272" t="s">
        <v>1157</v>
      </c>
      <c r="J17" s="272" t="s">
        <v>1158</v>
      </c>
      <c r="K17" s="272" t="s">
        <v>1159</v>
      </c>
      <c r="L17" s="270" t="s">
        <v>1160</v>
      </c>
      <c r="M17" s="273" t="s">
        <v>1161</v>
      </c>
      <c r="P17" s="268" t="s">
        <v>271</v>
      </c>
      <c r="Q17" s="269" t="s">
        <v>323</v>
      </c>
      <c r="R17" s="270" t="s">
        <v>1151</v>
      </c>
      <c r="S17" s="270" t="s">
        <v>1154</v>
      </c>
    </row>
    <row r="18" ht="14.25" customHeight="1">
      <c r="A18" s="277" t="str">
        <f t="shared" si="1"/>
        <v>#REF!</v>
      </c>
      <c r="B18" s="275" t="str">
        <f t="shared" ref="B18:B20" si="50">XLOOKUP(A18,'[1]ESCALA DE PRODUÇÃO'!$AL$1:$AL$1048566,'[1]ESCALA DE PRODUÇÃO'!$AJ$1:$AJ$1048566,"NÃO ENCOTRADO")</f>
        <v>#REF!</v>
      </c>
      <c r="C18" s="276">
        <v>0.0</v>
      </c>
      <c r="D18" s="277" t="str">
        <f t="shared" ref="D18:D20" si="51">XLOOKUP(A18,'[1]ESCALA DE PRODUÇÃO'!$AL$1:$AL$1048566,'[1]ESCALA DE PRODUÇÃO'!$AK$1:$AK$1048566,"0")</f>
        <v>#REF!</v>
      </c>
      <c r="E18" s="278" t="str">
        <f t="shared" ref="E18:E20" si="52">XLOOKUP(A18,'[1]ESCALA DE PRODUÇÃO'!$A$4:$A$42,'[1]ESCALA DE PRODUÇÃO'!$C$4:$C$42,"0")</f>
        <v>#REF!</v>
      </c>
      <c r="F18" s="279" t="str">
        <f t="shared" ref="F18:F20" si="53">IFERROR(C18/E18,"0")</f>
        <v>0</v>
      </c>
      <c r="G18" s="280" t="str">
        <f t="shared" ref="G18:G20" si="54">XLOOKUP(A18,'[1]ESCALA DE PRODUÇÃO'!$AL$1:$AL$1048566,'[1]ESCALA DE PRODUÇÃO'!$AM$1:$AM$1048566,"SEM PREÇO")</f>
        <v>#REF!</v>
      </c>
      <c r="H18" s="287" t="str">
        <f t="shared" ref="H18:H20" si="55">IFERROR(C18*G18,"0")</f>
        <v>0</v>
      </c>
      <c r="I18" s="288" t="str">
        <f t="array" ref="I18">XLOOKUP(A18,'DADOS DE VENDA'!A:A,'DADOS DE VENDA'!D:D,"SEM VENDA")</f>
        <v>#REF!</v>
      </c>
      <c r="J18" s="289" t="str">
        <f t="shared" ref="J18:J20" si="56">IFERROR(I18/E18,"0")</f>
        <v>0</v>
      </c>
      <c r="K18" s="290" t="str">
        <f t="shared" ref="K18:K20" si="57">IFERROR(I18*G18,"0")</f>
        <v>0</v>
      </c>
      <c r="L18" s="291" t="str">
        <f t="array" ref="L18">XLOOKUP(A18,'DADOS DE VENDA'!A:A,'DADOS DE VENDA'!E:E,"RUPTURA NO PERIODO")</f>
        <v>#REF!</v>
      </c>
      <c r="M18" s="286" t="str">
        <f t="array" ref="M18">IFS(C18&lt;I18,"ABAIXO",C18&gt;I18,"ACIMA",C18=I18,"OK")</f>
        <v>#REF!</v>
      </c>
      <c r="P18" s="274" t="str">
        <f t="shared" ref="P18:P20" si="58">('[1]ESCALA DE PRODUÇÃO'!Q17)</f>
        <v>#REF!</v>
      </c>
      <c r="Q18" s="275" t="str">
        <f t="shared" ref="Q18:Q20" si="59">XLOOKUP(P18,'[1]ESCALA DE PRODUÇÃO'!$AL$1:$AL$1048566,'[1]ESCALA DE PRODUÇÃO'!$AJ$1:$AJ$1048566,"NÃO ENCOTRADO")</f>
        <v>#REF!</v>
      </c>
      <c r="R18" s="276">
        <f t="shared" ref="R18:R20" si="60">C18</f>
        <v>0</v>
      </c>
      <c r="S18" s="279" t="str">
        <f t="shared" ref="S18:S20" si="61">(F18)</f>
        <v>0</v>
      </c>
    </row>
    <row r="19" ht="14.25" customHeight="1">
      <c r="A19" s="277" t="str">
        <f t="shared" si="1"/>
        <v>#REF!</v>
      </c>
      <c r="B19" s="275" t="str">
        <f t="shared" si="50"/>
        <v>#REF!</v>
      </c>
      <c r="C19" s="276">
        <v>0.0</v>
      </c>
      <c r="D19" s="277" t="str">
        <f t="shared" si="51"/>
        <v>#REF!</v>
      </c>
      <c r="E19" s="278" t="str">
        <f t="shared" si="52"/>
        <v>#REF!</v>
      </c>
      <c r="F19" s="279" t="str">
        <f t="shared" si="53"/>
        <v>0</v>
      </c>
      <c r="G19" s="280" t="str">
        <f t="shared" si="54"/>
        <v>#REF!</v>
      </c>
      <c r="H19" s="287" t="str">
        <f t="shared" si="55"/>
        <v>0</v>
      </c>
      <c r="I19" s="288" t="str">
        <f t="array" ref="I19">XLOOKUP(A19,'DADOS DE VENDA'!A:A,'DADOS DE VENDA'!D:D,"SEM VENDA")</f>
        <v>#REF!</v>
      </c>
      <c r="J19" s="289" t="str">
        <f t="shared" si="56"/>
        <v>0</v>
      </c>
      <c r="K19" s="290" t="str">
        <f t="shared" si="57"/>
        <v>0</v>
      </c>
      <c r="L19" s="291" t="str">
        <f t="array" ref="L19">XLOOKUP(A19,'DADOS DE VENDA'!A:A,'DADOS DE VENDA'!E:E,"RUPTURA NO PERIODO")</f>
        <v>#REF!</v>
      </c>
      <c r="M19" s="286" t="str">
        <f t="array" ref="M19">IFS(C19&lt;I19,"ABAIXO",C19&gt;I19,"ACIMA",C19=I19,"OK")</f>
        <v>#REF!</v>
      </c>
      <c r="P19" s="274" t="str">
        <f t="shared" si="58"/>
        <v>#REF!</v>
      </c>
      <c r="Q19" s="275" t="str">
        <f t="shared" si="59"/>
        <v>#REF!</v>
      </c>
      <c r="R19" s="276">
        <f t="shared" si="60"/>
        <v>0</v>
      </c>
      <c r="S19" s="279" t="str">
        <f t="shared" si="61"/>
        <v>0</v>
      </c>
    </row>
    <row r="20" ht="14.25" customHeight="1">
      <c r="A20" s="277" t="str">
        <f t="shared" si="1"/>
        <v>#REF!</v>
      </c>
      <c r="B20" s="275" t="str">
        <f t="shared" si="50"/>
        <v>#REF!</v>
      </c>
      <c r="C20" s="276">
        <v>0.0</v>
      </c>
      <c r="D20" s="277" t="str">
        <f t="shared" si="51"/>
        <v>#REF!</v>
      </c>
      <c r="E20" s="278" t="str">
        <f t="shared" si="52"/>
        <v>#REF!</v>
      </c>
      <c r="F20" s="279" t="str">
        <f t="shared" si="53"/>
        <v>0</v>
      </c>
      <c r="G20" s="280" t="str">
        <f t="shared" si="54"/>
        <v>#REF!</v>
      </c>
      <c r="H20" s="287" t="str">
        <f t="shared" si="55"/>
        <v>0</v>
      </c>
      <c r="I20" s="288" t="str">
        <f t="array" ref="I20">XLOOKUP(A20,'DADOS DE VENDA'!A:A,'DADOS DE VENDA'!D:D,"SEM VENDA")</f>
        <v>#REF!</v>
      </c>
      <c r="J20" s="289" t="str">
        <f t="shared" si="56"/>
        <v>0</v>
      </c>
      <c r="K20" s="290" t="str">
        <f t="shared" si="57"/>
        <v>0</v>
      </c>
      <c r="L20" s="291" t="str">
        <f t="array" ref="L20">XLOOKUP(A20,'DADOS DE VENDA'!A:A,'DADOS DE VENDA'!E:E,"RUPTURA NO PERIODO")</f>
        <v>#REF!</v>
      </c>
      <c r="M20" s="286" t="str">
        <f t="array" ref="M20">IFS(C20&lt;I20,"ABAIXO",C20&gt;I20,"ACIMA",C20=I20,"OK")</f>
        <v>#REF!</v>
      </c>
      <c r="P20" s="274" t="str">
        <f t="shared" si="58"/>
        <v>#REF!</v>
      </c>
      <c r="Q20" s="275" t="str">
        <f t="shared" si="59"/>
        <v>#REF!</v>
      </c>
      <c r="R20" s="276">
        <f t="shared" si="60"/>
        <v>0</v>
      </c>
      <c r="S20" s="279" t="str">
        <f t="shared" si="61"/>
        <v>0</v>
      </c>
    </row>
    <row r="21" ht="14.25" customHeight="1">
      <c r="A21" s="277" t="str">
        <f t="shared" si="1"/>
        <v>#REF!</v>
      </c>
      <c r="B21" s="269" t="s">
        <v>338</v>
      </c>
      <c r="C21" s="270" t="s">
        <v>1151</v>
      </c>
      <c r="D21" s="270" t="s">
        <v>1152</v>
      </c>
      <c r="E21" s="270" t="s">
        <v>1153</v>
      </c>
      <c r="F21" s="270" t="s">
        <v>1154</v>
      </c>
      <c r="G21" s="271" t="s">
        <v>1155</v>
      </c>
      <c r="H21" s="270" t="s">
        <v>1156</v>
      </c>
      <c r="I21" s="272" t="s">
        <v>1157</v>
      </c>
      <c r="J21" s="272" t="s">
        <v>1158</v>
      </c>
      <c r="K21" s="272" t="s">
        <v>1159</v>
      </c>
      <c r="L21" s="270" t="s">
        <v>1160</v>
      </c>
      <c r="M21" s="273" t="s">
        <v>1161</v>
      </c>
      <c r="P21" s="268" t="s">
        <v>271</v>
      </c>
      <c r="Q21" s="269" t="s">
        <v>338</v>
      </c>
      <c r="R21" s="270" t="s">
        <v>1151</v>
      </c>
      <c r="S21" s="270" t="s">
        <v>1154</v>
      </c>
    </row>
    <row r="22" ht="14.25" customHeight="1">
      <c r="A22" s="277" t="str">
        <f t="shared" si="1"/>
        <v>#REF!</v>
      </c>
      <c r="B22" s="275" t="str">
        <f t="shared" ref="B22:B23" si="62">XLOOKUP(A22,'[1]ESCALA DE PRODUÇÃO'!$AL$1:$AL$1048566,'[1]ESCALA DE PRODUÇÃO'!$AJ$1:$AJ$1048566,"NÃO ENCOTRADO")</f>
        <v>#REF!</v>
      </c>
      <c r="C22" s="276">
        <v>0.0</v>
      </c>
      <c r="D22" s="277" t="str">
        <f t="shared" ref="D22:D23" si="63">XLOOKUP(A22,'[1]ESCALA DE PRODUÇÃO'!$AL$1:$AL$1048566,'[1]ESCALA DE PRODUÇÃO'!$AK$1:$AK$1048566,"0")</f>
        <v>#REF!</v>
      </c>
      <c r="E22" s="278" t="str">
        <f t="shared" ref="E22:E23" si="64">XLOOKUP(A22,'[1]ESCALA DE PRODUÇÃO'!$A$4:$A$42,'[1]ESCALA DE PRODUÇÃO'!$C$4:$C$42,"0")</f>
        <v>#REF!</v>
      </c>
      <c r="F22" s="279" t="str">
        <f t="shared" ref="F22:F23" si="65">IFERROR(C22/E22,"0")</f>
        <v>0</v>
      </c>
      <c r="G22" s="280" t="str">
        <f t="shared" ref="G22:G23" si="66">XLOOKUP(A22,'[1]ESCALA DE PRODUÇÃO'!$AL$1:$AL$1048566,'[1]ESCALA DE PRODUÇÃO'!$AM$1:$AM$1048566,"SEM PREÇO")</f>
        <v>#REF!</v>
      </c>
      <c r="H22" s="287" t="str">
        <f t="shared" ref="H22:H23" si="67">IFERROR(C22*G22,"0")</f>
        <v>0</v>
      </c>
      <c r="I22" s="288" t="str">
        <f t="array" ref="I22">XLOOKUP(A22,'DADOS DE VENDA'!A:A,'DADOS DE VENDA'!D:D,"SEM VENDA")</f>
        <v>#REF!</v>
      </c>
      <c r="J22" s="289" t="str">
        <f t="shared" ref="J22:J23" si="68">IFERROR(I22/E22,"0")</f>
        <v>0</v>
      </c>
      <c r="K22" s="290" t="str">
        <f t="shared" ref="K22:K23" si="69">IFERROR(I22*G22,"0")</f>
        <v>0</v>
      </c>
      <c r="L22" s="291" t="str">
        <f t="array" ref="L22">XLOOKUP(A22,'DADOS DE VENDA'!A:A,'DADOS DE VENDA'!E:E,"RUPTURA NO PERIODO")</f>
        <v>#REF!</v>
      </c>
      <c r="M22" s="286" t="str">
        <f t="array" ref="M22">IFS(C22&lt;I22,"ABAIXO",C22&gt;I22,"ACIMA",C22=I22,"OK")</f>
        <v>#REF!</v>
      </c>
      <c r="P22" s="274" t="str">
        <f>('[1]ESCALA DE PRODUÇÃO'!Q21)</f>
        <v>#REF!</v>
      </c>
      <c r="Q22" s="275" t="str">
        <f t="shared" ref="Q22:Q24" si="70">XLOOKUP(P22,'[1]ESCALA DE PRODUÇÃO'!$AL$1:$AL$1048566,'[1]ESCALA DE PRODUÇÃO'!$AJ$1:$AJ$1048566,"NÃO ENCOTRADO")</f>
        <v>#REF!</v>
      </c>
      <c r="R22" s="276">
        <f t="shared" ref="R22:R24" si="71">C22</f>
        <v>0</v>
      </c>
      <c r="S22" s="279" t="str">
        <f t="shared" ref="S22:S24" si="72">(F22)</f>
        <v>0</v>
      </c>
    </row>
    <row r="23" ht="14.25" customHeight="1">
      <c r="A23" s="277" t="str">
        <f t="shared" si="1"/>
        <v>#REF!</v>
      </c>
      <c r="B23" s="275" t="str">
        <f t="shared" si="62"/>
        <v>#REF!</v>
      </c>
      <c r="C23" s="276">
        <v>0.0</v>
      </c>
      <c r="D23" s="277" t="str">
        <f t="shared" si="63"/>
        <v>#REF!</v>
      </c>
      <c r="E23" s="278" t="str">
        <f t="shared" si="64"/>
        <v>#REF!</v>
      </c>
      <c r="F23" s="279" t="str">
        <f t="shared" si="65"/>
        <v>0</v>
      </c>
      <c r="G23" s="280" t="str">
        <f t="shared" si="66"/>
        <v>#REF!</v>
      </c>
      <c r="H23" s="287" t="str">
        <f t="shared" si="67"/>
        <v>0</v>
      </c>
      <c r="I23" s="288" t="str">
        <f t="array" ref="I23">XLOOKUP(A23,'DADOS DE VENDA'!A:A,'DADOS DE VENDA'!D:D,"SEM VENDA")</f>
        <v>#REF!</v>
      </c>
      <c r="J23" s="289" t="str">
        <f t="shared" si="68"/>
        <v>0</v>
      </c>
      <c r="K23" s="290" t="str">
        <f t="shared" si="69"/>
        <v>0</v>
      </c>
      <c r="L23" s="291" t="str">
        <f t="array" ref="L23">XLOOKUP(A23,'DADOS DE VENDA'!A:A,'DADOS DE VENDA'!E:E,"RUPTURA NO PERIODO")</f>
        <v>#REF!</v>
      </c>
      <c r="M23" s="286" t="str">
        <f t="array" ref="M23">IFS(C23&lt;I23,"ABAIXO",C23&gt;I23,"ACIMA",C23=I23,"OK")</f>
        <v>#REF!</v>
      </c>
      <c r="P23" s="274" t="str">
        <f t="shared" ref="P23:P24" si="73">('[1]ESCALA DE PRODUÇÃO'!Q23)</f>
        <v>#REF!</v>
      </c>
      <c r="Q23" s="275" t="str">
        <f t="shared" si="70"/>
        <v>#REF!</v>
      </c>
      <c r="R23" s="276">
        <f t="shared" si="71"/>
        <v>0</v>
      </c>
      <c r="S23" s="279" t="str">
        <f t="shared" si="72"/>
        <v>0</v>
      </c>
    </row>
    <row r="24" ht="14.25" customHeight="1">
      <c r="A24" s="277" t="str">
        <f t="shared" si="1"/>
        <v>#REF!</v>
      </c>
      <c r="B24" s="269" t="s">
        <v>313</v>
      </c>
      <c r="C24" s="270" t="s">
        <v>1151</v>
      </c>
      <c r="D24" s="270" t="s">
        <v>1152</v>
      </c>
      <c r="E24" s="270" t="s">
        <v>1153</v>
      </c>
      <c r="F24" s="270" t="s">
        <v>1154</v>
      </c>
      <c r="G24" s="271" t="s">
        <v>1155</v>
      </c>
      <c r="H24" s="270" t="s">
        <v>1156</v>
      </c>
      <c r="I24" s="272" t="s">
        <v>1157</v>
      </c>
      <c r="J24" s="272" t="s">
        <v>1158</v>
      </c>
      <c r="K24" s="272" t="s">
        <v>1159</v>
      </c>
      <c r="L24" s="270" t="s">
        <v>1160</v>
      </c>
      <c r="M24" s="273" t="s">
        <v>1161</v>
      </c>
      <c r="P24" s="274" t="str">
        <f t="shared" si="73"/>
        <v>#REF!</v>
      </c>
      <c r="Q24" s="275" t="str">
        <f t="shared" si="70"/>
        <v>#REF!</v>
      </c>
      <c r="R24" s="276" t="str">
        <f t="shared" si="71"/>
        <v>QTD</v>
      </c>
      <c r="S24" s="279" t="str">
        <f t="shared" si="72"/>
        <v>Q.PCT</v>
      </c>
    </row>
    <row r="25" ht="14.25" customHeight="1">
      <c r="A25" s="277" t="str">
        <f t="shared" si="1"/>
        <v>#REF!</v>
      </c>
      <c r="B25" s="275" t="str">
        <f t="shared" ref="B25:B26" si="74">XLOOKUP(A25,'[1]ESCALA DE PRODUÇÃO'!$AL$1:$AL$1048566,'[1]ESCALA DE PRODUÇÃO'!$AJ$1:$AJ$1048566,"NÃO ENCOTRADO")</f>
        <v>#REF!</v>
      </c>
      <c r="C25" s="276">
        <v>0.0</v>
      </c>
      <c r="D25" s="277" t="str">
        <f t="shared" ref="D25:D26" si="75">XLOOKUP(A25,'[1]ESCALA DE PRODUÇÃO'!$AL$1:$AL$1048566,'[1]ESCALA DE PRODUÇÃO'!$AK$1:$AK$1048566,"0")</f>
        <v>#REF!</v>
      </c>
      <c r="E25" s="278" t="str">
        <f t="shared" ref="E25:E26" si="76">XLOOKUP(A25,'[1]ESCALA DE PRODUÇÃO'!$A$4:$A$42,'[1]ESCALA DE PRODUÇÃO'!$C$4:$C$42,"0")</f>
        <v>#REF!</v>
      </c>
      <c r="F25" s="279" t="str">
        <f t="shared" ref="F25:F26" si="77">IFERROR(C25/E25,"0")</f>
        <v>0</v>
      </c>
      <c r="G25" s="280" t="str">
        <f t="shared" ref="G25:G26" si="78">XLOOKUP(A25,'[1]ESCALA DE PRODUÇÃO'!$AL$1:$AL$1048566,'[1]ESCALA DE PRODUÇÃO'!$AM$1:$AM$1048566,"SEM PREÇO")</f>
        <v>#REF!</v>
      </c>
      <c r="H25" s="287" t="str">
        <f t="shared" ref="H25:H26" si="79">IFERROR(C25*G25,"0")</f>
        <v>0</v>
      </c>
      <c r="I25" s="288" t="str">
        <f t="array" ref="I25">XLOOKUP(A25,'DADOS DE VENDA'!A:A,'DADOS DE VENDA'!D:D,"SEM VENDA")</f>
        <v>#REF!</v>
      </c>
      <c r="J25" s="289" t="str">
        <f t="shared" ref="J25:J26" si="80">IFERROR(I25/E25,"0")</f>
        <v>0</v>
      </c>
      <c r="K25" s="290" t="str">
        <f t="shared" ref="K25:K26" si="81">IFERROR(I25*G25,"0")</f>
        <v>0</v>
      </c>
      <c r="L25" s="291" t="str">
        <f t="array" ref="L25">XLOOKUP(A25,'DADOS DE VENDA'!A:A,'DADOS DE VENDA'!E:E,"RUPTURA NO PERIODO")</f>
        <v>#REF!</v>
      </c>
      <c r="M25" s="286" t="str">
        <f t="array" ref="M25">IFS(C25&lt;I25,"ABAIXO",C25&gt;I25,"ACIMA",C25=I25,"OK")</f>
        <v>#REF!</v>
      </c>
      <c r="P25" s="268" t="s">
        <v>271</v>
      </c>
      <c r="Q25" s="269" t="s">
        <v>313</v>
      </c>
      <c r="R25" s="270" t="s">
        <v>1151</v>
      </c>
      <c r="S25" s="270" t="s">
        <v>1154</v>
      </c>
    </row>
    <row r="26" ht="14.25" customHeight="1">
      <c r="A26" s="293" t="str">
        <f t="shared" si="1"/>
        <v>#REF!</v>
      </c>
      <c r="B26" s="349" t="str">
        <f t="shared" si="74"/>
        <v>#REF!</v>
      </c>
      <c r="C26" s="292">
        <v>0.0</v>
      </c>
      <c r="D26" s="293" t="str">
        <f t="shared" si="75"/>
        <v>#REF!</v>
      </c>
      <c r="E26" s="399" t="str">
        <f t="shared" si="76"/>
        <v>#REF!</v>
      </c>
      <c r="F26" s="294" t="str">
        <f t="shared" si="77"/>
        <v>0</v>
      </c>
      <c r="G26" s="295" t="str">
        <f t="shared" si="78"/>
        <v>#REF!</v>
      </c>
      <c r="H26" s="296" t="str">
        <f t="shared" si="79"/>
        <v>0</v>
      </c>
      <c r="I26" s="297" t="str">
        <f t="array" ref="I26">XLOOKUP(A26,'DADOS DE VENDA'!A:A,'DADOS DE VENDA'!D:D,"SEM VENDA")</f>
        <v>#REF!</v>
      </c>
      <c r="J26" s="298" t="str">
        <f t="shared" si="80"/>
        <v>0</v>
      </c>
      <c r="K26" s="299" t="str">
        <f t="shared" si="81"/>
        <v>0</v>
      </c>
      <c r="L26" s="300" t="str">
        <f t="array" ref="L26">XLOOKUP(A26,'DADOS DE VENDA'!A:A,'DADOS DE VENDA'!E:E,"RUPTURA NO PERIODO")</f>
        <v>#REF!</v>
      </c>
      <c r="M26" s="301" t="str">
        <f t="array" ref="M26">IFS(C26&lt;I26,"ABAIXO",C26&gt;I26,"ACIMA",C26=I26,"OK")</f>
        <v>#REF!</v>
      </c>
      <c r="P26" s="274" t="str">
        <f t="shared" ref="P26:P27" si="82">('[1]ESCALA DE PRODUÇÃO'!Q26)</f>
        <v>#REF!</v>
      </c>
      <c r="Q26" s="275" t="str">
        <f t="shared" ref="Q26:Q27" si="83">XLOOKUP(P26,'[1]ESCALA DE PRODUÇÃO'!$AL$1:$AL$1048566,'[1]ESCALA DE PRODUÇÃO'!$AJ$1:$AJ$1048566,"NÃO ENCOTRADO")</f>
        <v>#REF!</v>
      </c>
      <c r="R26" s="276">
        <f t="shared" ref="R26:R27" si="84">C26</f>
        <v>0</v>
      </c>
      <c r="S26" s="279" t="str">
        <f t="shared" ref="S26:S27" si="85">(F26)</f>
        <v>0</v>
      </c>
    </row>
    <row r="27" ht="14.25" customHeight="1">
      <c r="A27" s="350" t="str">
        <f t="shared" si="1"/>
        <v>#REF!</v>
      </c>
      <c r="B27" s="351" t="s">
        <v>1162</v>
      </c>
      <c r="C27" s="351" t="s">
        <v>1163</v>
      </c>
      <c r="D27" s="352"/>
      <c r="E27" s="353"/>
      <c r="F27" s="354" t="s">
        <v>1164</v>
      </c>
      <c r="G27" s="355">
        <f>SUM(H4+H5+H6+H8+H9+H10+H12+H13+H15+H16+H18+H19+H20+H22+H23+H25+H26)</f>
        <v>0</v>
      </c>
      <c r="H27" s="353"/>
      <c r="I27" s="354" t="s">
        <v>1165</v>
      </c>
      <c r="J27" s="357">
        <f>SUM(K4+K5+K6+K8+K9+K10+K12+K13+K15+K16+K18+K19+K20+K22+K23+K25+K26)</f>
        <v>0</v>
      </c>
      <c r="K27" s="353"/>
      <c r="L27" s="358"/>
      <c r="M27" s="359"/>
      <c r="P27" s="397" t="str">
        <f t="shared" si="82"/>
        <v>#REF!</v>
      </c>
      <c r="Q27" s="302" t="str">
        <f t="shared" si="83"/>
        <v>#REF!</v>
      </c>
      <c r="R27" s="292" t="str">
        <f t="shared" si="84"/>
        <v>META</v>
      </c>
      <c r="S27" s="279" t="str">
        <f t="shared" si="85"/>
        <v>PEDIDO</v>
      </c>
    </row>
    <row r="28" ht="14.25" customHeight="1">
      <c r="C28" s="315"/>
      <c r="E28" s="379"/>
      <c r="F28" s="400"/>
      <c r="G28" s="42"/>
      <c r="H28" s="42"/>
      <c r="I28" s="317"/>
      <c r="J28" s="380"/>
      <c r="K28" s="319"/>
      <c r="M28" s="331"/>
      <c r="P28" s="312" t="s">
        <v>1156</v>
      </c>
      <c r="Q28" s="313"/>
      <c r="R28" s="314" t="str">
        <f>G28</f>
        <v/>
      </c>
      <c r="S28" s="313"/>
    </row>
    <row r="29" ht="14.25" customHeight="1">
      <c r="C29" s="315"/>
      <c r="E29" s="379"/>
      <c r="F29" s="400"/>
      <c r="G29" s="42"/>
      <c r="H29" s="42"/>
      <c r="I29" s="317"/>
      <c r="J29" s="380"/>
      <c r="K29" s="319"/>
      <c r="M29" s="331"/>
    </row>
    <row r="30" ht="14.25" customHeight="1">
      <c r="G30" s="42"/>
    </row>
    <row r="31" ht="14.25" customHeight="1">
      <c r="G31" s="42"/>
    </row>
    <row r="32" ht="14.25" customHeight="1">
      <c r="G32" s="42"/>
    </row>
    <row r="33" ht="14.25" customHeight="1">
      <c r="G33" s="42"/>
    </row>
    <row r="34" ht="14.25" customHeight="1">
      <c r="G34" s="42"/>
    </row>
    <row r="35" ht="14.25" customHeight="1">
      <c r="G35" s="42"/>
    </row>
    <row r="36" ht="14.25" customHeight="1">
      <c r="G36" s="42"/>
    </row>
    <row r="37" ht="14.25" customHeight="1">
      <c r="G37" s="42"/>
    </row>
    <row r="38" ht="14.25" customHeight="1">
      <c r="G38" s="42"/>
    </row>
    <row r="39" ht="14.25" customHeight="1">
      <c r="G39" s="42"/>
    </row>
    <row r="40" ht="14.25" customHeight="1">
      <c r="G40" s="42"/>
    </row>
    <row r="41" ht="14.25" customHeight="1">
      <c r="G41" s="42"/>
    </row>
    <row r="42" ht="14.25" customHeight="1">
      <c r="G42" s="42"/>
    </row>
    <row r="43" ht="14.25" customHeight="1">
      <c r="G43" s="42"/>
    </row>
    <row r="44" ht="14.25" customHeight="1">
      <c r="G44" s="42"/>
    </row>
    <row r="45" ht="14.25" customHeight="1">
      <c r="G45" s="42"/>
    </row>
    <row r="46" ht="14.25" customHeight="1">
      <c r="G46" s="42"/>
    </row>
    <row r="47" ht="14.25" customHeight="1">
      <c r="G47" s="42"/>
    </row>
    <row r="48" ht="14.25" customHeight="1">
      <c r="G48" s="42"/>
    </row>
    <row r="49" ht="14.25" customHeight="1">
      <c r="G49" s="42"/>
    </row>
    <row r="50" ht="14.25" customHeight="1">
      <c r="G50" s="42"/>
    </row>
    <row r="51" ht="14.25" customHeight="1">
      <c r="G51" s="42"/>
    </row>
    <row r="52" ht="14.25" customHeight="1">
      <c r="G52" s="42"/>
    </row>
    <row r="53" ht="14.25" customHeight="1">
      <c r="G53" s="42"/>
    </row>
    <row r="54" ht="14.25" customHeight="1">
      <c r="G54" s="42"/>
    </row>
    <row r="55" ht="14.25" customHeight="1">
      <c r="G55" s="42"/>
    </row>
    <row r="56" ht="14.25" customHeight="1">
      <c r="G56" s="42"/>
    </row>
    <row r="57" ht="14.25" customHeight="1">
      <c r="G57" s="42"/>
    </row>
    <row r="58" ht="14.25" customHeight="1">
      <c r="G58" s="42"/>
    </row>
    <row r="59" ht="14.25" customHeight="1">
      <c r="G59" s="42"/>
    </row>
    <row r="60" ht="14.25" customHeight="1">
      <c r="G60" s="42"/>
    </row>
    <row r="61" ht="14.25" customHeight="1">
      <c r="G61" s="42"/>
    </row>
    <row r="62" ht="14.25" customHeight="1">
      <c r="G62" s="42"/>
    </row>
    <row r="63" ht="14.25" customHeight="1">
      <c r="G63" s="42"/>
    </row>
    <row r="64" ht="14.25" customHeight="1">
      <c r="G64" s="42"/>
    </row>
    <row r="65" ht="14.25" customHeight="1">
      <c r="G65" s="42"/>
    </row>
    <row r="66" ht="14.25" customHeight="1">
      <c r="G66" s="42"/>
    </row>
    <row r="67" ht="14.25" customHeight="1">
      <c r="G67" s="42"/>
    </row>
    <row r="68" ht="14.25" customHeight="1">
      <c r="G68" s="42"/>
    </row>
    <row r="69" ht="14.25" customHeight="1">
      <c r="G69" s="42"/>
    </row>
    <row r="70" ht="14.25" customHeight="1">
      <c r="G70" s="42"/>
    </row>
    <row r="71" ht="14.25" customHeight="1">
      <c r="G71" s="42"/>
    </row>
    <row r="72" ht="14.25" customHeight="1">
      <c r="G72" s="42"/>
    </row>
    <row r="73" ht="14.25" customHeight="1">
      <c r="G73" s="42"/>
    </row>
    <row r="74" ht="14.25" customHeight="1">
      <c r="G74" s="42"/>
    </row>
    <row r="75" ht="14.25" customHeight="1">
      <c r="G75" s="42"/>
    </row>
    <row r="76" ht="14.25" customHeight="1">
      <c r="G76" s="42"/>
    </row>
    <row r="77" ht="14.25" customHeight="1">
      <c r="G77" s="42"/>
    </row>
    <row r="78" ht="14.25" customHeight="1">
      <c r="G78" s="42"/>
    </row>
    <row r="79" ht="14.25" customHeight="1">
      <c r="G79" s="42"/>
    </row>
    <row r="80" ht="14.25" customHeight="1">
      <c r="G80" s="42"/>
    </row>
    <row r="81" ht="14.25" customHeight="1">
      <c r="G81" s="42"/>
    </row>
    <row r="82" ht="14.25" customHeight="1">
      <c r="G82" s="42"/>
    </row>
    <row r="83" ht="14.25" customHeight="1">
      <c r="G83" s="42"/>
    </row>
    <row r="84" ht="14.25" customHeight="1">
      <c r="G84" s="42"/>
    </row>
    <row r="85" ht="14.25" customHeight="1">
      <c r="G85" s="42"/>
    </row>
    <row r="86" ht="14.25" customHeight="1">
      <c r="G86" s="42"/>
    </row>
    <row r="87" ht="14.25" customHeight="1">
      <c r="G87" s="42"/>
    </row>
    <row r="88" ht="14.25" customHeight="1">
      <c r="G88" s="42"/>
    </row>
    <row r="89" ht="14.25" customHeight="1">
      <c r="G89" s="42"/>
    </row>
    <row r="90" ht="14.25" customHeight="1">
      <c r="G90" s="42"/>
    </row>
    <row r="91" ht="14.25" customHeight="1">
      <c r="G91" s="42"/>
    </row>
    <row r="92" ht="14.25" customHeight="1">
      <c r="G92" s="42"/>
    </row>
    <row r="93" ht="14.25" customHeight="1">
      <c r="G93" s="42"/>
    </row>
    <row r="94" ht="14.25" customHeight="1">
      <c r="G94" s="42"/>
    </row>
    <row r="95" ht="14.25" customHeight="1">
      <c r="G95" s="42"/>
    </row>
    <row r="96" ht="14.25" customHeight="1">
      <c r="G96" s="42"/>
    </row>
    <row r="97" ht="14.25" customHeight="1">
      <c r="G97" s="42"/>
    </row>
    <row r="98" ht="14.25" customHeight="1">
      <c r="G98" s="42"/>
    </row>
    <row r="99" ht="14.25" customHeight="1">
      <c r="G99" s="42"/>
    </row>
    <row r="100" ht="14.25" customHeight="1">
      <c r="G100" s="42"/>
    </row>
    <row r="101" ht="14.25" customHeight="1">
      <c r="G101" s="42"/>
    </row>
    <row r="102" ht="14.25" customHeight="1">
      <c r="G102" s="42"/>
    </row>
    <row r="103" ht="14.25" customHeight="1">
      <c r="G103" s="42"/>
    </row>
    <row r="104" ht="14.25" customHeight="1">
      <c r="G104" s="42"/>
    </row>
    <row r="105" ht="14.25" customHeight="1">
      <c r="G105" s="42"/>
    </row>
    <row r="106" ht="14.25" customHeight="1">
      <c r="G106" s="42"/>
    </row>
    <row r="107" ht="14.25" customHeight="1">
      <c r="G107" s="42"/>
    </row>
    <row r="108" ht="14.25" customHeight="1">
      <c r="G108" s="42"/>
    </row>
    <row r="109" ht="14.25" customHeight="1">
      <c r="G109" s="42"/>
    </row>
    <row r="110" ht="14.25" customHeight="1">
      <c r="G110" s="42"/>
    </row>
    <row r="111" ht="14.25" customHeight="1">
      <c r="G111" s="42"/>
    </row>
    <row r="112" ht="14.25" customHeight="1">
      <c r="G112" s="42"/>
    </row>
    <row r="113" ht="14.25" customHeight="1">
      <c r="G113" s="42"/>
    </row>
    <row r="114" ht="14.25" customHeight="1">
      <c r="G114" s="42"/>
    </row>
    <row r="115" ht="14.25" customHeight="1">
      <c r="G115" s="42"/>
    </row>
    <row r="116" ht="14.25" customHeight="1">
      <c r="G116" s="42"/>
    </row>
    <row r="117" ht="14.25" customHeight="1">
      <c r="G117" s="42"/>
    </row>
    <row r="118" ht="14.25" customHeight="1">
      <c r="G118" s="42"/>
    </row>
    <row r="119" ht="14.25" customHeight="1">
      <c r="G119" s="42"/>
    </row>
    <row r="120" ht="14.25" customHeight="1">
      <c r="G120" s="42"/>
    </row>
    <row r="121" ht="14.25" customHeight="1">
      <c r="G121" s="42"/>
    </row>
    <row r="122" ht="14.25" customHeight="1">
      <c r="G122" s="42"/>
    </row>
    <row r="123" ht="14.25" customHeight="1">
      <c r="G123" s="42"/>
    </row>
    <row r="124" ht="14.25" customHeight="1">
      <c r="G124" s="42"/>
    </row>
    <row r="125" ht="14.25" customHeight="1">
      <c r="G125" s="42"/>
    </row>
    <row r="126" ht="14.25" customHeight="1">
      <c r="G126" s="42"/>
    </row>
    <row r="127" ht="14.25" customHeight="1">
      <c r="G127" s="42"/>
    </row>
    <row r="128" ht="14.25" customHeight="1">
      <c r="G128" s="42"/>
    </row>
    <row r="129" ht="14.25" customHeight="1">
      <c r="G129" s="42"/>
    </row>
    <row r="130" ht="14.25" customHeight="1">
      <c r="G130" s="42"/>
    </row>
    <row r="131" ht="14.25" customHeight="1">
      <c r="G131" s="42"/>
    </row>
    <row r="132" ht="14.25" customHeight="1">
      <c r="G132" s="42"/>
    </row>
    <row r="133" ht="14.25" customHeight="1">
      <c r="G133" s="42"/>
    </row>
    <row r="134" ht="14.25" customHeight="1">
      <c r="G134" s="42"/>
    </row>
    <row r="135" ht="14.25" customHeight="1">
      <c r="G135" s="42"/>
    </row>
    <row r="136" ht="14.25" customHeight="1">
      <c r="G136" s="42"/>
    </row>
    <row r="137" ht="14.25" customHeight="1">
      <c r="G137" s="42"/>
    </row>
    <row r="138" ht="14.25" customHeight="1">
      <c r="G138" s="42"/>
    </row>
    <row r="139" ht="14.25" customHeight="1">
      <c r="G139" s="42"/>
    </row>
    <row r="140" ht="14.25" customHeight="1">
      <c r="G140" s="42"/>
    </row>
    <row r="141" ht="14.25" customHeight="1">
      <c r="G141" s="42"/>
    </row>
    <row r="142" ht="14.25" customHeight="1">
      <c r="G142" s="42"/>
    </row>
    <row r="143" ht="14.25" customHeight="1">
      <c r="G143" s="42"/>
    </row>
    <row r="144" ht="14.25" customHeight="1">
      <c r="G144" s="42"/>
    </row>
    <row r="145" ht="14.25" customHeight="1">
      <c r="G145" s="42"/>
    </row>
    <row r="146" ht="14.25" customHeight="1">
      <c r="G146" s="42"/>
    </row>
    <row r="147" ht="14.25" customHeight="1">
      <c r="G147" s="42"/>
    </row>
    <row r="148" ht="14.25" customHeight="1">
      <c r="G148" s="42"/>
    </row>
    <row r="149" ht="14.25" customHeight="1">
      <c r="G149" s="42"/>
    </row>
    <row r="150" ht="14.25" customHeight="1">
      <c r="G150" s="42"/>
    </row>
    <row r="151" ht="14.25" customHeight="1">
      <c r="G151" s="42"/>
    </row>
    <row r="152" ht="14.25" customHeight="1">
      <c r="G152" s="42"/>
    </row>
    <row r="153" ht="14.25" customHeight="1">
      <c r="G153" s="42"/>
    </row>
    <row r="154" ht="14.25" customHeight="1">
      <c r="G154" s="42"/>
    </row>
    <row r="155" ht="14.25" customHeight="1">
      <c r="G155" s="42"/>
    </row>
    <row r="156" ht="14.25" customHeight="1">
      <c r="G156" s="42"/>
    </row>
    <row r="157" ht="14.25" customHeight="1">
      <c r="G157" s="42"/>
    </row>
    <row r="158" ht="14.25" customHeight="1">
      <c r="G158" s="42"/>
    </row>
    <row r="159" ht="14.25" customHeight="1">
      <c r="G159" s="42"/>
    </row>
    <row r="160" ht="14.25" customHeight="1">
      <c r="G160" s="42"/>
    </row>
    <row r="161" ht="14.25" customHeight="1">
      <c r="G161" s="42"/>
    </row>
    <row r="162" ht="14.25" customHeight="1">
      <c r="G162" s="42"/>
    </row>
    <row r="163" ht="14.25" customHeight="1">
      <c r="G163" s="42"/>
    </row>
    <row r="164" ht="14.25" customHeight="1">
      <c r="G164" s="42"/>
    </row>
    <row r="165" ht="14.25" customHeight="1">
      <c r="G165" s="42"/>
    </row>
    <row r="166" ht="14.25" customHeight="1">
      <c r="G166" s="42"/>
    </row>
    <row r="167" ht="14.25" customHeight="1">
      <c r="G167" s="42"/>
    </row>
    <row r="168" ht="14.25" customHeight="1">
      <c r="G168" s="42"/>
    </row>
    <row r="169" ht="14.25" customHeight="1">
      <c r="G169" s="42"/>
    </row>
    <row r="170" ht="14.25" customHeight="1">
      <c r="G170" s="42"/>
    </row>
    <row r="171" ht="14.25" customHeight="1">
      <c r="G171" s="42"/>
    </row>
    <row r="172" ht="14.25" customHeight="1">
      <c r="G172" s="42"/>
    </row>
    <row r="173" ht="14.25" customHeight="1">
      <c r="G173" s="42"/>
    </row>
    <row r="174" ht="14.25" customHeight="1">
      <c r="G174" s="42"/>
    </row>
    <row r="175" ht="14.25" customHeight="1">
      <c r="G175" s="42"/>
    </row>
    <row r="176" ht="14.25" customHeight="1">
      <c r="G176" s="42"/>
    </row>
    <row r="177" ht="14.25" customHeight="1">
      <c r="G177" s="42"/>
    </row>
    <row r="178" ht="14.25" customHeight="1">
      <c r="G178" s="42"/>
    </row>
    <row r="179" ht="14.25" customHeight="1">
      <c r="G179" s="42"/>
    </row>
    <row r="180" ht="14.25" customHeight="1">
      <c r="G180" s="42"/>
    </row>
    <row r="181" ht="14.25" customHeight="1">
      <c r="G181" s="42"/>
    </row>
    <row r="182" ht="14.25" customHeight="1">
      <c r="G182" s="42"/>
    </row>
    <row r="183" ht="14.25" customHeight="1">
      <c r="G183" s="42"/>
    </row>
    <row r="184" ht="14.25" customHeight="1">
      <c r="G184" s="42"/>
    </row>
    <row r="185" ht="14.25" customHeight="1">
      <c r="G185" s="42"/>
    </row>
    <row r="186" ht="14.25" customHeight="1">
      <c r="G186" s="42"/>
    </row>
    <row r="187" ht="14.25" customHeight="1">
      <c r="G187" s="42"/>
    </row>
    <row r="188" ht="14.25" customHeight="1">
      <c r="G188" s="42"/>
    </row>
    <row r="189" ht="14.25" customHeight="1">
      <c r="G189" s="42"/>
    </row>
    <row r="190" ht="14.25" customHeight="1">
      <c r="G190" s="42"/>
    </row>
    <row r="191" ht="14.25" customHeight="1">
      <c r="G191" s="42"/>
    </row>
    <row r="192" ht="14.25" customHeight="1">
      <c r="G192" s="42"/>
    </row>
    <row r="193" ht="14.25" customHeight="1">
      <c r="G193" s="42"/>
    </row>
    <row r="194" ht="14.25" customHeight="1">
      <c r="G194" s="42"/>
    </row>
    <row r="195" ht="14.25" customHeight="1">
      <c r="G195" s="42"/>
    </row>
    <row r="196" ht="14.25" customHeight="1">
      <c r="G196" s="42"/>
    </row>
    <row r="197" ht="14.25" customHeight="1">
      <c r="G197" s="42"/>
    </row>
    <row r="198" ht="14.25" customHeight="1">
      <c r="G198" s="42"/>
    </row>
    <row r="199" ht="14.25" customHeight="1">
      <c r="G199" s="42"/>
    </row>
    <row r="200" ht="14.25" customHeight="1">
      <c r="G200" s="42"/>
    </row>
    <row r="201" ht="14.25" customHeight="1">
      <c r="G201" s="42"/>
    </row>
    <row r="202" ht="14.25" customHeight="1">
      <c r="G202" s="42"/>
    </row>
    <row r="203" ht="14.25" customHeight="1">
      <c r="G203" s="42"/>
    </row>
    <row r="204" ht="14.25" customHeight="1">
      <c r="G204" s="42"/>
    </row>
    <row r="205" ht="14.25" customHeight="1">
      <c r="G205" s="42"/>
    </row>
    <row r="206" ht="14.25" customHeight="1">
      <c r="G206" s="42"/>
    </row>
    <row r="207" ht="14.25" customHeight="1">
      <c r="G207" s="42"/>
    </row>
    <row r="208" ht="14.25" customHeight="1">
      <c r="G208" s="42"/>
    </row>
    <row r="209" ht="14.25" customHeight="1">
      <c r="G209" s="42"/>
    </row>
    <row r="210" ht="14.25" customHeight="1">
      <c r="G210" s="42"/>
    </row>
    <row r="211" ht="14.25" customHeight="1">
      <c r="G211" s="42"/>
    </row>
    <row r="212" ht="14.25" customHeight="1">
      <c r="G212" s="42"/>
    </row>
    <row r="213" ht="14.25" customHeight="1">
      <c r="G213" s="42"/>
    </row>
    <row r="214" ht="14.25" customHeight="1">
      <c r="G214" s="42"/>
    </row>
    <row r="215" ht="14.25" customHeight="1">
      <c r="G215" s="42"/>
    </row>
    <row r="216" ht="14.25" customHeight="1">
      <c r="G216" s="42"/>
    </row>
    <row r="217" ht="14.25" customHeight="1">
      <c r="G217" s="42"/>
    </row>
    <row r="218" ht="14.25" customHeight="1">
      <c r="G218" s="42"/>
    </row>
    <row r="219" ht="14.25" customHeight="1">
      <c r="G219" s="42"/>
    </row>
    <row r="220" ht="14.25" customHeight="1">
      <c r="G220" s="42"/>
    </row>
    <row r="221" ht="14.25" customHeight="1">
      <c r="G221" s="42"/>
    </row>
    <row r="222" ht="14.25" customHeight="1">
      <c r="G222" s="42"/>
    </row>
    <row r="223" ht="14.25" customHeight="1">
      <c r="G223" s="42"/>
    </row>
    <row r="224" ht="14.25" customHeight="1">
      <c r="G224" s="42"/>
    </row>
    <row r="225" ht="14.25" customHeight="1">
      <c r="G225" s="42"/>
    </row>
    <row r="226" ht="14.25" customHeight="1">
      <c r="G226" s="42"/>
    </row>
    <row r="227" ht="14.25" customHeight="1">
      <c r="G227" s="42"/>
    </row>
    <row r="228" ht="14.25" customHeight="1">
      <c r="G228" s="42"/>
    </row>
    <row r="229" ht="14.25" customHeight="1">
      <c r="G229" s="42"/>
    </row>
    <row r="230" ht="14.25" customHeight="1">
      <c r="G230" s="42"/>
    </row>
    <row r="231" ht="14.25" customHeight="1">
      <c r="G231" s="42"/>
    </row>
    <row r="232" ht="14.25" customHeight="1">
      <c r="G232" s="42"/>
    </row>
    <row r="233" ht="14.25" customHeight="1">
      <c r="G233" s="42"/>
    </row>
    <row r="234" ht="14.25" customHeight="1">
      <c r="G234" s="42"/>
    </row>
    <row r="235" ht="14.25" customHeight="1">
      <c r="G235" s="42"/>
    </row>
    <row r="236" ht="14.25" customHeight="1">
      <c r="G236" s="42"/>
    </row>
    <row r="237" ht="14.25" customHeight="1">
      <c r="G237" s="42"/>
    </row>
    <row r="238" ht="14.25" customHeight="1">
      <c r="G238" s="42"/>
    </row>
    <row r="239" ht="14.25" customHeight="1">
      <c r="G239" s="42"/>
    </row>
    <row r="240" ht="14.25" customHeight="1">
      <c r="G240" s="42"/>
    </row>
    <row r="241" ht="14.25" customHeight="1">
      <c r="G241" s="42"/>
    </row>
    <row r="242" ht="14.25" customHeight="1">
      <c r="G242" s="42"/>
    </row>
    <row r="243" ht="14.25" customHeight="1">
      <c r="G243" s="42"/>
    </row>
    <row r="244" ht="14.25" customHeight="1">
      <c r="G244" s="42"/>
    </row>
    <row r="245" ht="14.25" customHeight="1">
      <c r="G245" s="42"/>
    </row>
    <row r="246" ht="14.25" customHeight="1">
      <c r="G246" s="42"/>
    </row>
    <row r="247" ht="14.25" customHeight="1">
      <c r="G247" s="42"/>
    </row>
    <row r="248" ht="14.25" customHeight="1">
      <c r="G248" s="42"/>
    </row>
    <row r="249" ht="14.25" customHeight="1">
      <c r="G249" s="42"/>
    </row>
    <row r="250" ht="14.25" customHeight="1">
      <c r="G250" s="42"/>
    </row>
    <row r="251" ht="14.25" customHeight="1">
      <c r="G251" s="42"/>
    </row>
    <row r="252" ht="14.25" customHeight="1">
      <c r="G252" s="42"/>
    </row>
    <row r="253" ht="14.25" customHeight="1">
      <c r="G253" s="42"/>
    </row>
    <row r="254" ht="14.25" customHeight="1">
      <c r="G254" s="42"/>
    </row>
    <row r="255" ht="14.25" customHeight="1">
      <c r="G255" s="42"/>
    </row>
    <row r="256" ht="14.25" customHeight="1">
      <c r="G256" s="42"/>
    </row>
    <row r="257" ht="14.25" customHeight="1">
      <c r="G257" s="42"/>
    </row>
    <row r="258" ht="14.25" customHeight="1">
      <c r="G258" s="42"/>
    </row>
    <row r="259" ht="14.25" customHeight="1">
      <c r="G259" s="42"/>
    </row>
    <row r="260" ht="14.25" customHeight="1">
      <c r="G260" s="42"/>
    </row>
    <row r="261" ht="14.25" customHeight="1">
      <c r="G261" s="42"/>
    </row>
    <row r="262" ht="14.25" customHeight="1">
      <c r="G262" s="42"/>
    </row>
    <row r="263" ht="14.25" customHeight="1">
      <c r="G263" s="42"/>
    </row>
    <row r="264" ht="14.25" customHeight="1">
      <c r="G264" s="42"/>
    </row>
    <row r="265" ht="14.25" customHeight="1">
      <c r="G265" s="42"/>
    </row>
    <row r="266" ht="14.25" customHeight="1">
      <c r="G266" s="42"/>
    </row>
    <row r="267" ht="14.25" customHeight="1">
      <c r="G267" s="42"/>
    </row>
    <row r="268" ht="14.25" customHeight="1">
      <c r="G268" s="42"/>
    </row>
    <row r="269" ht="14.25" customHeight="1">
      <c r="G269" s="42"/>
    </row>
    <row r="270" ht="14.25" customHeight="1">
      <c r="G270" s="42"/>
    </row>
    <row r="271" ht="14.25" customHeight="1">
      <c r="G271" s="42"/>
    </row>
    <row r="272" ht="14.25" customHeight="1">
      <c r="G272" s="42"/>
    </row>
    <row r="273" ht="14.25" customHeight="1">
      <c r="G273" s="42"/>
    </row>
    <row r="274" ht="14.25" customHeight="1">
      <c r="G274" s="42"/>
    </row>
    <row r="275" ht="14.25" customHeight="1">
      <c r="G275" s="42"/>
    </row>
    <row r="276" ht="14.25" customHeight="1">
      <c r="G276" s="42"/>
    </row>
    <row r="277" ht="14.25" customHeight="1">
      <c r="G277" s="42"/>
    </row>
    <row r="278" ht="14.25" customHeight="1">
      <c r="G278" s="42"/>
    </row>
    <row r="279" ht="14.25" customHeight="1">
      <c r="G279" s="42"/>
    </row>
    <row r="280" ht="14.25" customHeight="1">
      <c r="G280" s="42"/>
    </row>
    <row r="281" ht="14.25" customHeight="1">
      <c r="G281" s="42"/>
    </row>
    <row r="282" ht="14.25" customHeight="1">
      <c r="G282" s="42"/>
    </row>
    <row r="283" ht="14.25" customHeight="1">
      <c r="G283" s="42"/>
    </row>
    <row r="284" ht="14.25" customHeight="1">
      <c r="G284" s="42"/>
    </row>
    <row r="285" ht="14.25" customHeight="1">
      <c r="G285" s="42"/>
    </row>
    <row r="286" ht="14.25" customHeight="1">
      <c r="G286" s="42"/>
    </row>
    <row r="287" ht="14.25" customHeight="1">
      <c r="G287" s="42"/>
    </row>
    <row r="288" ht="14.25" customHeight="1">
      <c r="G288" s="42"/>
    </row>
    <row r="289" ht="14.25" customHeight="1">
      <c r="G289" s="42"/>
    </row>
    <row r="290" ht="14.25" customHeight="1">
      <c r="G290" s="42"/>
    </row>
    <row r="291" ht="14.25" customHeight="1">
      <c r="G291" s="42"/>
    </row>
    <row r="292" ht="14.25" customHeight="1">
      <c r="G292" s="42"/>
    </row>
    <row r="293" ht="14.25" customHeight="1">
      <c r="G293" s="42"/>
    </row>
    <row r="294" ht="14.25" customHeight="1">
      <c r="G294" s="42"/>
    </row>
    <row r="295" ht="14.25" customHeight="1">
      <c r="G295" s="42"/>
    </row>
    <row r="296" ht="14.25" customHeight="1">
      <c r="G296" s="42"/>
    </row>
    <row r="297" ht="14.25" customHeight="1">
      <c r="G297" s="42"/>
    </row>
    <row r="298" ht="14.25" customHeight="1">
      <c r="G298" s="42"/>
    </row>
    <row r="299" ht="14.25" customHeight="1">
      <c r="G299" s="42"/>
    </row>
    <row r="300" ht="14.25" customHeight="1">
      <c r="G300" s="42"/>
    </row>
    <row r="301" ht="14.25" customHeight="1">
      <c r="G301" s="42"/>
    </row>
    <row r="302" ht="14.25" customHeight="1">
      <c r="G302" s="42"/>
    </row>
    <row r="303" ht="14.25" customHeight="1">
      <c r="G303" s="42"/>
    </row>
    <row r="304" ht="14.25" customHeight="1">
      <c r="G304" s="42"/>
    </row>
    <row r="305" ht="14.25" customHeight="1">
      <c r="G305" s="42"/>
    </row>
    <row r="306" ht="14.25" customHeight="1">
      <c r="G306" s="42"/>
    </row>
    <row r="307" ht="14.25" customHeight="1">
      <c r="G307" s="42"/>
    </row>
    <row r="308" ht="14.25" customHeight="1">
      <c r="G308" s="42"/>
    </row>
    <row r="309" ht="14.25" customHeight="1">
      <c r="G309" s="42"/>
    </row>
    <row r="310" ht="14.25" customHeight="1">
      <c r="G310" s="42"/>
    </row>
    <row r="311" ht="14.25" customHeight="1">
      <c r="G311" s="42"/>
    </row>
    <row r="312" ht="14.25" customHeight="1">
      <c r="G312" s="42"/>
    </row>
    <row r="313" ht="14.25" customHeight="1">
      <c r="G313" s="42"/>
    </row>
    <row r="314" ht="14.25" customHeight="1">
      <c r="G314" s="42"/>
    </row>
    <row r="315" ht="14.25" customHeight="1">
      <c r="G315" s="42"/>
    </row>
    <row r="316" ht="14.25" customHeight="1">
      <c r="G316" s="42"/>
    </row>
    <row r="317" ht="14.25" customHeight="1">
      <c r="G317" s="42"/>
    </row>
    <row r="318" ht="14.25" customHeight="1">
      <c r="G318" s="42"/>
    </row>
    <row r="319" ht="14.25" customHeight="1">
      <c r="G319" s="42"/>
    </row>
    <row r="320" ht="14.25" customHeight="1">
      <c r="G320" s="42"/>
    </row>
    <row r="321" ht="14.25" customHeight="1">
      <c r="G321" s="42"/>
    </row>
    <row r="322" ht="14.25" customHeight="1">
      <c r="G322" s="42"/>
    </row>
    <row r="323" ht="14.25" customHeight="1">
      <c r="G323" s="42"/>
    </row>
    <row r="324" ht="14.25" customHeight="1">
      <c r="G324" s="42"/>
    </row>
    <row r="325" ht="14.25" customHeight="1">
      <c r="G325" s="42"/>
    </row>
    <row r="326" ht="14.25" customHeight="1">
      <c r="G326" s="42"/>
    </row>
    <row r="327" ht="14.25" customHeight="1">
      <c r="G327" s="42"/>
    </row>
    <row r="328" ht="14.25" customHeight="1">
      <c r="G328" s="42"/>
    </row>
    <row r="329" ht="14.25" customHeight="1">
      <c r="G329" s="42"/>
    </row>
    <row r="330" ht="14.25" customHeight="1">
      <c r="G330" s="42"/>
    </row>
    <row r="331" ht="14.25" customHeight="1">
      <c r="G331" s="42"/>
    </row>
    <row r="332" ht="14.25" customHeight="1">
      <c r="G332" s="42"/>
    </row>
    <row r="333" ht="14.25" customHeight="1">
      <c r="G333" s="42"/>
    </row>
    <row r="334" ht="14.25" customHeight="1">
      <c r="G334" s="42"/>
    </row>
    <row r="335" ht="14.25" customHeight="1">
      <c r="G335" s="42"/>
    </row>
    <row r="336" ht="14.25" customHeight="1">
      <c r="G336" s="42"/>
    </row>
    <row r="337" ht="14.25" customHeight="1">
      <c r="G337" s="42"/>
    </row>
    <row r="338" ht="14.25" customHeight="1">
      <c r="G338" s="42"/>
    </row>
    <row r="339" ht="14.25" customHeight="1">
      <c r="G339" s="42"/>
    </row>
    <row r="340" ht="14.25" customHeight="1">
      <c r="G340" s="42"/>
    </row>
    <row r="341" ht="14.25" customHeight="1">
      <c r="G341" s="42"/>
    </row>
    <row r="342" ht="14.25" customHeight="1">
      <c r="G342" s="42"/>
    </row>
    <row r="343" ht="14.25" customHeight="1">
      <c r="G343" s="42"/>
    </row>
    <row r="344" ht="14.25" customHeight="1">
      <c r="G344" s="42"/>
    </row>
    <row r="345" ht="14.25" customHeight="1">
      <c r="G345" s="42"/>
    </row>
    <row r="346" ht="14.25" customHeight="1">
      <c r="G346" s="42"/>
    </row>
    <row r="347" ht="14.25" customHeight="1">
      <c r="G347" s="42"/>
    </row>
    <row r="348" ht="14.25" customHeight="1">
      <c r="G348" s="42"/>
    </row>
    <row r="349" ht="14.25" customHeight="1">
      <c r="G349" s="42"/>
    </row>
    <row r="350" ht="14.25" customHeight="1">
      <c r="G350" s="42"/>
    </row>
    <row r="351" ht="14.25" customHeight="1">
      <c r="G351" s="42"/>
    </row>
    <row r="352" ht="14.25" customHeight="1">
      <c r="G352" s="42"/>
    </row>
    <row r="353" ht="14.25" customHeight="1">
      <c r="G353" s="42"/>
    </row>
    <row r="354" ht="14.25" customHeight="1">
      <c r="G354" s="42"/>
    </row>
    <row r="355" ht="14.25" customHeight="1">
      <c r="G355" s="42"/>
    </row>
    <row r="356" ht="14.25" customHeight="1">
      <c r="G356" s="42"/>
    </row>
    <row r="357" ht="14.25" customHeight="1">
      <c r="G357" s="42"/>
    </row>
    <row r="358" ht="14.25" customHeight="1">
      <c r="G358" s="42"/>
    </row>
    <row r="359" ht="14.25" customHeight="1">
      <c r="G359" s="42"/>
    </row>
    <row r="360" ht="14.25" customHeight="1">
      <c r="G360" s="42"/>
    </row>
    <row r="361" ht="14.25" customHeight="1">
      <c r="G361" s="42"/>
    </row>
    <row r="362" ht="14.25" customHeight="1">
      <c r="G362" s="42"/>
    </row>
    <row r="363" ht="14.25" customHeight="1">
      <c r="G363" s="42"/>
    </row>
    <row r="364" ht="14.25" customHeight="1">
      <c r="G364" s="42"/>
    </row>
    <row r="365" ht="14.25" customHeight="1">
      <c r="G365" s="42"/>
    </row>
    <row r="366" ht="14.25" customHeight="1">
      <c r="G366" s="42"/>
    </row>
    <row r="367" ht="14.25" customHeight="1">
      <c r="G367" s="42"/>
    </row>
    <row r="368" ht="14.25" customHeight="1">
      <c r="G368" s="42"/>
    </row>
    <row r="369" ht="14.25" customHeight="1">
      <c r="G369" s="42"/>
    </row>
    <row r="370" ht="14.25" customHeight="1">
      <c r="G370" s="42"/>
    </row>
    <row r="371" ht="14.25" customHeight="1">
      <c r="G371" s="42"/>
    </row>
    <row r="372" ht="14.25" customHeight="1">
      <c r="G372" s="42"/>
    </row>
    <row r="373" ht="14.25" customHeight="1">
      <c r="G373" s="42"/>
    </row>
    <row r="374" ht="14.25" customHeight="1">
      <c r="G374" s="42"/>
    </row>
    <row r="375" ht="14.25" customHeight="1">
      <c r="G375" s="42"/>
    </row>
    <row r="376" ht="14.25" customHeight="1">
      <c r="G376" s="42"/>
    </row>
    <row r="377" ht="14.25" customHeight="1">
      <c r="G377" s="42"/>
    </row>
    <row r="378" ht="14.25" customHeight="1">
      <c r="G378" s="42"/>
    </row>
    <row r="379" ht="14.25" customHeight="1">
      <c r="G379" s="42"/>
    </row>
    <row r="380" ht="14.25" customHeight="1">
      <c r="G380" s="42"/>
    </row>
    <row r="381" ht="14.25" customHeight="1">
      <c r="G381" s="42"/>
    </row>
    <row r="382" ht="14.25" customHeight="1">
      <c r="G382" s="42"/>
    </row>
    <row r="383" ht="14.25" customHeight="1">
      <c r="G383" s="42"/>
    </row>
    <row r="384" ht="14.25" customHeight="1">
      <c r="G384" s="42"/>
    </row>
    <row r="385" ht="14.25" customHeight="1">
      <c r="G385" s="42"/>
    </row>
    <row r="386" ht="14.25" customHeight="1">
      <c r="G386" s="42"/>
    </row>
    <row r="387" ht="14.25" customHeight="1">
      <c r="G387" s="42"/>
    </row>
    <row r="388" ht="14.25" customHeight="1">
      <c r="G388" s="42"/>
    </row>
    <row r="389" ht="14.25" customHeight="1">
      <c r="G389" s="42"/>
    </row>
    <row r="390" ht="14.25" customHeight="1">
      <c r="G390" s="42"/>
    </row>
    <row r="391" ht="14.25" customHeight="1">
      <c r="G391" s="42"/>
    </row>
    <row r="392" ht="14.25" customHeight="1">
      <c r="G392" s="42"/>
    </row>
    <row r="393" ht="14.25" customHeight="1">
      <c r="G393" s="42"/>
    </row>
    <row r="394" ht="14.25" customHeight="1">
      <c r="G394" s="42"/>
    </row>
    <row r="395" ht="14.25" customHeight="1">
      <c r="G395" s="42"/>
    </row>
    <row r="396" ht="14.25" customHeight="1">
      <c r="G396" s="42"/>
    </row>
    <row r="397" ht="14.25" customHeight="1">
      <c r="G397" s="42"/>
    </row>
    <row r="398" ht="14.25" customHeight="1">
      <c r="G398" s="42"/>
    </row>
    <row r="399" ht="14.25" customHeight="1">
      <c r="G399" s="42"/>
    </row>
    <row r="400" ht="14.25" customHeight="1">
      <c r="G400" s="42"/>
    </row>
    <row r="401" ht="14.25" customHeight="1">
      <c r="G401" s="42"/>
    </row>
    <row r="402" ht="14.25" customHeight="1">
      <c r="G402" s="42"/>
    </row>
    <row r="403" ht="14.25" customHeight="1">
      <c r="G403" s="42"/>
    </row>
    <row r="404" ht="14.25" customHeight="1">
      <c r="G404" s="42"/>
    </row>
    <row r="405" ht="14.25" customHeight="1">
      <c r="G405" s="42"/>
    </row>
    <row r="406" ht="14.25" customHeight="1">
      <c r="G406" s="42"/>
    </row>
    <row r="407" ht="14.25" customHeight="1">
      <c r="G407" s="42"/>
    </row>
    <row r="408" ht="14.25" customHeight="1">
      <c r="G408" s="42"/>
    </row>
    <row r="409" ht="14.25" customHeight="1">
      <c r="G409" s="42"/>
    </row>
    <row r="410" ht="14.25" customHeight="1">
      <c r="G410" s="42"/>
    </row>
    <row r="411" ht="14.25" customHeight="1">
      <c r="G411" s="42"/>
    </row>
    <row r="412" ht="14.25" customHeight="1">
      <c r="G412" s="42"/>
    </row>
    <row r="413" ht="14.25" customHeight="1">
      <c r="G413" s="42"/>
    </row>
    <row r="414" ht="14.25" customHeight="1">
      <c r="G414" s="42"/>
    </row>
    <row r="415" ht="14.25" customHeight="1">
      <c r="G415" s="42"/>
    </row>
    <row r="416" ht="14.25" customHeight="1">
      <c r="G416" s="42"/>
    </row>
    <row r="417" ht="14.25" customHeight="1">
      <c r="G417" s="42"/>
    </row>
    <row r="418" ht="14.25" customHeight="1">
      <c r="G418" s="42"/>
    </row>
    <row r="419" ht="14.25" customHeight="1">
      <c r="G419" s="42"/>
    </row>
    <row r="420" ht="14.25" customHeight="1">
      <c r="G420" s="42"/>
    </row>
    <row r="421" ht="14.25" customHeight="1">
      <c r="G421" s="42"/>
    </row>
    <row r="422" ht="14.25" customHeight="1">
      <c r="G422" s="42"/>
    </row>
    <row r="423" ht="14.25" customHeight="1">
      <c r="G423" s="42"/>
    </row>
    <row r="424" ht="14.25" customHeight="1">
      <c r="G424" s="42"/>
    </row>
    <row r="425" ht="14.25" customHeight="1">
      <c r="G425" s="42"/>
    </row>
    <row r="426" ht="14.25" customHeight="1">
      <c r="G426" s="42"/>
    </row>
    <row r="427" ht="14.25" customHeight="1">
      <c r="G427" s="42"/>
    </row>
    <row r="428" ht="14.25" customHeight="1">
      <c r="G428" s="42"/>
    </row>
    <row r="429" ht="14.25" customHeight="1">
      <c r="G429" s="42"/>
    </row>
    <row r="430" ht="14.25" customHeight="1">
      <c r="G430" s="42"/>
    </row>
    <row r="431" ht="14.25" customHeight="1">
      <c r="G431" s="42"/>
    </row>
    <row r="432" ht="14.25" customHeight="1">
      <c r="G432" s="42"/>
    </row>
    <row r="433" ht="14.25" customHeight="1">
      <c r="G433" s="42"/>
    </row>
    <row r="434" ht="14.25" customHeight="1">
      <c r="G434" s="42"/>
    </row>
    <row r="435" ht="14.25" customHeight="1">
      <c r="G435" s="42"/>
    </row>
    <row r="436" ht="14.25" customHeight="1">
      <c r="G436" s="42"/>
    </row>
    <row r="437" ht="14.25" customHeight="1">
      <c r="G437" s="42"/>
    </row>
    <row r="438" ht="14.25" customHeight="1">
      <c r="G438" s="42"/>
    </row>
    <row r="439" ht="14.25" customHeight="1">
      <c r="G439" s="42"/>
    </row>
    <row r="440" ht="14.25" customHeight="1">
      <c r="G440" s="42"/>
    </row>
    <row r="441" ht="14.25" customHeight="1">
      <c r="G441" s="42"/>
    </row>
    <row r="442" ht="14.25" customHeight="1">
      <c r="G442" s="42"/>
    </row>
    <row r="443" ht="14.25" customHeight="1">
      <c r="G443" s="42"/>
    </row>
    <row r="444" ht="14.25" customHeight="1">
      <c r="G444" s="42"/>
    </row>
    <row r="445" ht="14.25" customHeight="1">
      <c r="G445" s="42"/>
    </row>
    <row r="446" ht="14.25" customHeight="1">
      <c r="G446" s="42"/>
    </row>
    <row r="447" ht="14.25" customHeight="1">
      <c r="G447" s="42"/>
    </row>
    <row r="448" ht="14.25" customHeight="1">
      <c r="G448" s="42"/>
    </row>
    <row r="449" ht="14.25" customHeight="1">
      <c r="G449" s="42"/>
    </row>
    <row r="450" ht="14.25" customHeight="1">
      <c r="G450" s="42"/>
    </row>
    <row r="451" ht="14.25" customHeight="1">
      <c r="G451" s="42"/>
    </row>
    <row r="452" ht="14.25" customHeight="1">
      <c r="G452" s="42"/>
    </row>
    <row r="453" ht="14.25" customHeight="1">
      <c r="G453" s="42"/>
    </row>
    <row r="454" ht="14.25" customHeight="1">
      <c r="G454" s="42"/>
    </row>
    <row r="455" ht="14.25" customHeight="1">
      <c r="G455" s="42"/>
    </row>
    <row r="456" ht="14.25" customHeight="1">
      <c r="G456" s="42"/>
    </row>
    <row r="457" ht="14.25" customHeight="1">
      <c r="G457" s="42"/>
    </row>
    <row r="458" ht="14.25" customHeight="1">
      <c r="G458" s="42"/>
    </row>
    <row r="459" ht="14.25" customHeight="1">
      <c r="G459" s="42"/>
    </row>
    <row r="460" ht="14.25" customHeight="1">
      <c r="G460" s="42"/>
    </row>
    <row r="461" ht="14.25" customHeight="1">
      <c r="G461" s="42"/>
    </row>
    <row r="462" ht="14.25" customHeight="1">
      <c r="G462" s="42"/>
    </row>
    <row r="463" ht="14.25" customHeight="1">
      <c r="G463" s="42"/>
    </row>
    <row r="464" ht="14.25" customHeight="1">
      <c r="G464" s="42"/>
    </row>
    <row r="465" ht="14.25" customHeight="1">
      <c r="G465" s="42"/>
    </row>
    <row r="466" ht="14.25" customHeight="1">
      <c r="G466" s="42"/>
    </row>
    <row r="467" ht="14.25" customHeight="1">
      <c r="G467" s="42"/>
    </row>
    <row r="468" ht="14.25" customHeight="1">
      <c r="G468" s="42"/>
    </row>
    <row r="469" ht="14.25" customHeight="1">
      <c r="G469" s="42"/>
    </row>
    <row r="470" ht="14.25" customHeight="1">
      <c r="G470" s="42"/>
    </row>
    <row r="471" ht="14.25" customHeight="1">
      <c r="G471" s="42"/>
    </row>
    <row r="472" ht="14.25" customHeight="1">
      <c r="G472" s="42"/>
    </row>
    <row r="473" ht="14.25" customHeight="1">
      <c r="G473" s="42"/>
    </row>
    <row r="474" ht="14.25" customHeight="1">
      <c r="G474" s="42"/>
    </row>
    <row r="475" ht="14.25" customHeight="1">
      <c r="G475" s="42"/>
    </row>
    <row r="476" ht="14.25" customHeight="1">
      <c r="G476" s="42"/>
    </row>
    <row r="477" ht="14.25" customHeight="1">
      <c r="G477" s="42"/>
    </row>
    <row r="478" ht="14.25" customHeight="1">
      <c r="G478" s="42"/>
    </row>
    <row r="479" ht="14.25" customHeight="1">
      <c r="G479" s="42"/>
    </row>
    <row r="480" ht="14.25" customHeight="1">
      <c r="G480" s="42"/>
    </row>
    <row r="481" ht="14.25" customHeight="1">
      <c r="G481" s="42"/>
    </row>
    <row r="482" ht="14.25" customHeight="1">
      <c r="G482" s="42"/>
    </row>
    <row r="483" ht="14.25" customHeight="1">
      <c r="G483" s="42"/>
    </row>
    <row r="484" ht="14.25" customHeight="1">
      <c r="G484" s="42"/>
    </row>
    <row r="485" ht="14.25" customHeight="1">
      <c r="G485" s="42"/>
    </row>
    <row r="486" ht="14.25" customHeight="1">
      <c r="G486" s="42"/>
    </row>
    <row r="487" ht="14.25" customHeight="1">
      <c r="G487" s="42"/>
    </row>
    <row r="488" ht="14.25" customHeight="1">
      <c r="G488" s="42"/>
    </row>
    <row r="489" ht="14.25" customHeight="1">
      <c r="G489" s="42"/>
    </row>
    <row r="490" ht="14.25" customHeight="1">
      <c r="G490" s="42"/>
    </row>
    <row r="491" ht="14.25" customHeight="1">
      <c r="G491" s="42"/>
    </row>
    <row r="492" ht="14.25" customHeight="1">
      <c r="G492" s="42"/>
    </row>
    <row r="493" ht="14.25" customHeight="1">
      <c r="G493" s="42"/>
    </row>
    <row r="494" ht="14.25" customHeight="1">
      <c r="G494" s="42"/>
    </row>
    <row r="495" ht="14.25" customHeight="1">
      <c r="G495" s="42"/>
    </row>
    <row r="496" ht="14.25" customHeight="1">
      <c r="G496" s="42"/>
    </row>
    <row r="497" ht="14.25" customHeight="1">
      <c r="G497" s="42"/>
    </row>
    <row r="498" ht="14.25" customHeight="1">
      <c r="G498" s="42"/>
    </row>
    <row r="499" ht="14.25" customHeight="1">
      <c r="G499" s="42"/>
    </row>
    <row r="500" ht="14.25" customHeight="1">
      <c r="G500" s="42"/>
    </row>
    <row r="501" ht="14.25" customHeight="1">
      <c r="G501" s="42"/>
    </row>
    <row r="502" ht="14.25" customHeight="1">
      <c r="G502" s="42"/>
    </row>
    <row r="503" ht="14.25" customHeight="1">
      <c r="G503" s="42"/>
    </row>
    <row r="504" ht="14.25" customHeight="1">
      <c r="G504" s="42"/>
    </row>
    <row r="505" ht="14.25" customHeight="1">
      <c r="G505" s="42"/>
    </row>
    <row r="506" ht="14.25" customHeight="1">
      <c r="G506" s="42"/>
    </row>
    <row r="507" ht="14.25" customHeight="1">
      <c r="G507" s="42"/>
    </row>
    <row r="508" ht="14.25" customHeight="1">
      <c r="G508" s="42"/>
    </row>
    <row r="509" ht="14.25" customHeight="1">
      <c r="G509" s="42"/>
    </row>
    <row r="510" ht="14.25" customHeight="1">
      <c r="G510" s="42"/>
    </row>
    <row r="511" ht="14.25" customHeight="1">
      <c r="G511" s="42"/>
    </row>
    <row r="512" ht="14.25" customHeight="1">
      <c r="G512" s="42"/>
    </row>
    <row r="513" ht="14.25" customHeight="1">
      <c r="G513" s="42"/>
    </row>
    <row r="514" ht="14.25" customHeight="1">
      <c r="G514" s="42"/>
    </row>
    <row r="515" ht="14.25" customHeight="1">
      <c r="G515" s="42"/>
    </row>
    <row r="516" ht="14.25" customHeight="1">
      <c r="G516" s="42"/>
    </row>
    <row r="517" ht="14.25" customHeight="1">
      <c r="G517" s="42"/>
    </row>
    <row r="518" ht="14.25" customHeight="1">
      <c r="G518" s="42"/>
    </row>
    <row r="519" ht="14.25" customHeight="1">
      <c r="G519" s="42"/>
    </row>
    <row r="520" ht="14.25" customHeight="1">
      <c r="G520" s="42"/>
    </row>
    <row r="521" ht="14.25" customHeight="1">
      <c r="G521" s="42"/>
    </row>
    <row r="522" ht="14.25" customHeight="1">
      <c r="G522" s="42"/>
    </row>
    <row r="523" ht="14.25" customHeight="1">
      <c r="G523" s="42"/>
    </row>
    <row r="524" ht="14.25" customHeight="1">
      <c r="G524" s="42"/>
    </row>
    <row r="525" ht="14.25" customHeight="1">
      <c r="G525" s="42"/>
    </row>
    <row r="526" ht="14.25" customHeight="1">
      <c r="G526" s="42"/>
    </row>
    <row r="527" ht="14.25" customHeight="1">
      <c r="G527" s="42"/>
    </row>
    <row r="528" ht="14.25" customHeight="1">
      <c r="G528" s="42"/>
    </row>
    <row r="529" ht="14.25" customHeight="1">
      <c r="G529" s="42"/>
    </row>
    <row r="530" ht="14.25" customHeight="1">
      <c r="G530" s="42"/>
    </row>
    <row r="531" ht="14.25" customHeight="1">
      <c r="G531" s="42"/>
    </row>
    <row r="532" ht="14.25" customHeight="1">
      <c r="G532" s="42"/>
    </row>
    <row r="533" ht="14.25" customHeight="1">
      <c r="G533" s="42"/>
    </row>
    <row r="534" ht="14.25" customHeight="1">
      <c r="G534" s="42"/>
    </row>
    <row r="535" ht="14.25" customHeight="1">
      <c r="G535" s="42"/>
    </row>
    <row r="536" ht="14.25" customHeight="1">
      <c r="G536" s="42"/>
    </row>
    <row r="537" ht="14.25" customHeight="1">
      <c r="G537" s="42"/>
    </row>
    <row r="538" ht="14.25" customHeight="1">
      <c r="G538" s="42"/>
    </row>
    <row r="539" ht="14.25" customHeight="1">
      <c r="G539" s="42"/>
    </row>
    <row r="540" ht="14.25" customHeight="1">
      <c r="G540" s="42"/>
    </row>
    <row r="541" ht="14.25" customHeight="1">
      <c r="G541" s="42"/>
    </row>
    <row r="542" ht="14.25" customHeight="1">
      <c r="G542" s="42"/>
    </row>
    <row r="543" ht="14.25" customHeight="1">
      <c r="G543" s="42"/>
    </row>
    <row r="544" ht="14.25" customHeight="1">
      <c r="G544" s="42"/>
    </row>
    <row r="545" ht="14.25" customHeight="1">
      <c r="G545" s="42"/>
    </row>
    <row r="546" ht="14.25" customHeight="1">
      <c r="G546" s="42"/>
    </row>
    <row r="547" ht="14.25" customHeight="1">
      <c r="G547" s="42"/>
    </row>
    <row r="548" ht="14.25" customHeight="1">
      <c r="G548" s="42"/>
    </row>
    <row r="549" ht="14.25" customHeight="1">
      <c r="G549" s="42"/>
    </row>
    <row r="550" ht="14.25" customHeight="1">
      <c r="G550" s="42"/>
    </row>
    <row r="551" ht="14.25" customHeight="1">
      <c r="G551" s="42"/>
    </row>
    <row r="552" ht="14.25" customHeight="1">
      <c r="G552" s="42"/>
    </row>
    <row r="553" ht="14.25" customHeight="1">
      <c r="G553" s="42"/>
    </row>
    <row r="554" ht="14.25" customHeight="1">
      <c r="G554" s="42"/>
    </row>
    <row r="555" ht="14.25" customHeight="1">
      <c r="G555" s="42"/>
    </row>
    <row r="556" ht="14.25" customHeight="1">
      <c r="G556" s="42"/>
    </row>
    <row r="557" ht="14.25" customHeight="1">
      <c r="G557" s="42"/>
    </row>
    <row r="558" ht="14.25" customHeight="1">
      <c r="G558" s="42"/>
    </row>
    <row r="559" ht="14.25" customHeight="1">
      <c r="G559" s="42"/>
    </row>
    <row r="560" ht="14.25" customHeight="1">
      <c r="G560" s="42"/>
    </row>
    <row r="561" ht="14.25" customHeight="1">
      <c r="G561" s="42"/>
    </row>
    <row r="562" ht="14.25" customHeight="1">
      <c r="G562" s="42"/>
    </row>
    <row r="563" ht="14.25" customHeight="1">
      <c r="G563" s="42"/>
    </row>
    <row r="564" ht="14.25" customHeight="1">
      <c r="G564" s="42"/>
    </row>
    <row r="565" ht="14.25" customHeight="1">
      <c r="G565" s="42"/>
    </row>
    <row r="566" ht="14.25" customHeight="1">
      <c r="G566" s="42"/>
    </row>
    <row r="567" ht="14.25" customHeight="1">
      <c r="G567" s="42"/>
    </row>
    <row r="568" ht="14.25" customHeight="1">
      <c r="G568" s="42"/>
    </row>
    <row r="569" ht="14.25" customHeight="1">
      <c r="G569" s="42"/>
    </row>
    <row r="570" ht="14.25" customHeight="1">
      <c r="G570" s="42"/>
    </row>
    <row r="571" ht="14.25" customHeight="1">
      <c r="G571" s="42"/>
    </row>
    <row r="572" ht="14.25" customHeight="1">
      <c r="G572" s="42"/>
    </row>
    <row r="573" ht="14.25" customHeight="1">
      <c r="G573" s="42"/>
    </row>
    <row r="574" ht="14.25" customHeight="1">
      <c r="G574" s="42"/>
    </row>
    <row r="575" ht="14.25" customHeight="1">
      <c r="G575" s="42"/>
    </row>
    <row r="576" ht="14.25" customHeight="1">
      <c r="G576" s="42"/>
    </row>
    <row r="577" ht="14.25" customHeight="1">
      <c r="G577" s="42"/>
    </row>
    <row r="578" ht="14.25" customHeight="1">
      <c r="G578" s="42"/>
    </row>
    <row r="579" ht="14.25" customHeight="1">
      <c r="G579" s="42"/>
    </row>
    <row r="580" ht="14.25" customHeight="1">
      <c r="G580" s="42"/>
    </row>
    <row r="581" ht="14.25" customHeight="1">
      <c r="G581" s="42"/>
    </row>
    <row r="582" ht="14.25" customHeight="1">
      <c r="G582" s="42"/>
    </row>
    <row r="583" ht="14.25" customHeight="1">
      <c r="G583" s="42"/>
    </row>
    <row r="584" ht="14.25" customHeight="1">
      <c r="G584" s="42"/>
    </row>
    <row r="585" ht="14.25" customHeight="1">
      <c r="G585" s="42"/>
    </row>
    <row r="586" ht="14.25" customHeight="1">
      <c r="G586" s="42"/>
    </row>
    <row r="587" ht="14.25" customHeight="1">
      <c r="G587" s="42"/>
    </row>
    <row r="588" ht="14.25" customHeight="1">
      <c r="G588" s="42"/>
    </row>
    <row r="589" ht="14.25" customHeight="1">
      <c r="G589" s="42"/>
    </row>
    <row r="590" ht="14.25" customHeight="1">
      <c r="G590" s="42"/>
    </row>
    <row r="591" ht="14.25" customHeight="1">
      <c r="G591" s="42"/>
    </row>
    <row r="592" ht="14.25" customHeight="1">
      <c r="G592" s="42"/>
    </row>
    <row r="593" ht="14.25" customHeight="1">
      <c r="G593" s="42"/>
    </row>
    <row r="594" ht="14.25" customHeight="1">
      <c r="G594" s="42"/>
    </row>
    <row r="595" ht="14.25" customHeight="1">
      <c r="G595" s="42"/>
    </row>
    <row r="596" ht="14.25" customHeight="1">
      <c r="G596" s="42"/>
    </row>
    <row r="597" ht="14.25" customHeight="1">
      <c r="G597" s="42"/>
    </row>
    <row r="598" ht="14.25" customHeight="1">
      <c r="G598" s="42"/>
    </row>
    <row r="599" ht="14.25" customHeight="1">
      <c r="G599" s="42"/>
    </row>
    <row r="600" ht="14.25" customHeight="1">
      <c r="G600" s="42"/>
    </row>
    <row r="601" ht="14.25" customHeight="1">
      <c r="G601" s="42"/>
    </row>
    <row r="602" ht="14.25" customHeight="1">
      <c r="G602" s="42"/>
    </row>
    <row r="603" ht="14.25" customHeight="1">
      <c r="G603" s="42"/>
    </row>
    <row r="604" ht="14.25" customHeight="1">
      <c r="G604" s="42"/>
    </row>
    <row r="605" ht="14.25" customHeight="1">
      <c r="G605" s="42"/>
    </row>
    <row r="606" ht="14.25" customHeight="1">
      <c r="G606" s="42"/>
    </row>
    <row r="607" ht="14.25" customHeight="1">
      <c r="G607" s="42"/>
    </row>
    <row r="608" ht="14.25" customHeight="1">
      <c r="G608" s="42"/>
    </row>
    <row r="609" ht="14.25" customHeight="1">
      <c r="G609" s="42"/>
    </row>
    <row r="610" ht="14.25" customHeight="1">
      <c r="G610" s="42"/>
    </row>
    <row r="611" ht="14.25" customHeight="1">
      <c r="G611" s="42"/>
    </row>
    <row r="612" ht="14.25" customHeight="1">
      <c r="G612" s="42"/>
    </row>
    <row r="613" ht="14.25" customHeight="1">
      <c r="G613" s="42"/>
    </row>
    <row r="614" ht="14.25" customHeight="1">
      <c r="G614" s="42"/>
    </row>
    <row r="615" ht="14.25" customHeight="1">
      <c r="G615" s="42"/>
    </row>
    <row r="616" ht="14.25" customHeight="1">
      <c r="G616" s="42"/>
    </row>
    <row r="617" ht="14.25" customHeight="1">
      <c r="G617" s="42"/>
    </row>
    <row r="618" ht="14.25" customHeight="1">
      <c r="G618" s="42"/>
    </row>
    <row r="619" ht="14.25" customHeight="1">
      <c r="G619" s="42"/>
    </row>
    <row r="620" ht="14.25" customHeight="1">
      <c r="G620" s="42"/>
    </row>
    <row r="621" ht="14.25" customHeight="1">
      <c r="G621" s="42"/>
    </row>
    <row r="622" ht="14.25" customHeight="1">
      <c r="G622" s="42"/>
    </row>
    <row r="623" ht="14.25" customHeight="1">
      <c r="G623" s="42"/>
    </row>
    <row r="624" ht="14.25" customHeight="1">
      <c r="G624" s="42"/>
    </row>
    <row r="625" ht="14.25" customHeight="1">
      <c r="G625" s="42"/>
    </row>
    <row r="626" ht="14.25" customHeight="1">
      <c r="G626" s="42"/>
    </row>
    <row r="627" ht="14.25" customHeight="1">
      <c r="G627" s="42"/>
    </row>
    <row r="628" ht="14.25" customHeight="1">
      <c r="G628" s="42"/>
    </row>
    <row r="629" ht="14.25" customHeight="1">
      <c r="G629" s="42"/>
    </row>
    <row r="630" ht="14.25" customHeight="1">
      <c r="G630" s="42"/>
    </row>
    <row r="631" ht="14.25" customHeight="1">
      <c r="G631" s="42"/>
    </row>
    <row r="632" ht="14.25" customHeight="1">
      <c r="G632" s="42"/>
    </row>
    <row r="633" ht="14.25" customHeight="1">
      <c r="G633" s="42"/>
    </row>
    <row r="634" ht="14.25" customHeight="1">
      <c r="G634" s="42"/>
    </row>
    <row r="635" ht="14.25" customHeight="1">
      <c r="G635" s="42"/>
    </row>
    <row r="636" ht="14.25" customHeight="1">
      <c r="G636" s="42"/>
    </row>
    <row r="637" ht="14.25" customHeight="1">
      <c r="G637" s="42"/>
    </row>
    <row r="638" ht="14.25" customHeight="1">
      <c r="G638" s="42"/>
    </row>
    <row r="639" ht="14.25" customHeight="1">
      <c r="G639" s="42"/>
    </row>
    <row r="640" ht="14.25" customHeight="1">
      <c r="G640" s="42"/>
    </row>
    <row r="641" ht="14.25" customHeight="1">
      <c r="G641" s="42"/>
    </row>
    <row r="642" ht="14.25" customHeight="1">
      <c r="G642" s="42"/>
    </row>
    <row r="643" ht="14.25" customHeight="1">
      <c r="G643" s="42"/>
    </row>
    <row r="644" ht="14.25" customHeight="1">
      <c r="G644" s="42"/>
    </row>
    <row r="645" ht="14.25" customHeight="1">
      <c r="G645" s="42"/>
    </row>
    <row r="646" ht="14.25" customHeight="1">
      <c r="G646" s="42"/>
    </row>
    <row r="647" ht="14.25" customHeight="1">
      <c r="G647" s="42"/>
    </row>
    <row r="648" ht="14.25" customHeight="1">
      <c r="G648" s="42"/>
    </row>
    <row r="649" ht="14.25" customHeight="1">
      <c r="G649" s="42"/>
    </row>
    <row r="650" ht="14.25" customHeight="1">
      <c r="G650" s="42"/>
    </row>
    <row r="651" ht="14.25" customHeight="1">
      <c r="G651" s="42"/>
    </row>
    <row r="652" ht="14.25" customHeight="1">
      <c r="G652" s="42"/>
    </row>
    <row r="653" ht="14.25" customHeight="1">
      <c r="G653" s="42"/>
    </row>
    <row r="654" ht="14.25" customHeight="1">
      <c r="G654" s="42"/>
    </row>
    <row r="655" ht="14.25" customHeight="1">
      <c r="G655" s="42"/>
    </row>
    <row r="656" ht="14.25" customHeight="1">
      <c r="G656" s="42"/>
    </row>
    <row r="657" ht="14.25" customHeight="1">
      <c r="G657" s="42"/>
    </row>
    <row r="658" ht="14.25" customHeight="1">
      <c r="G658" s="42"/>
    </row>
    <row r="659" ht="14.25" customHeight="1">
      <c r="G659" s="42"/>
    </row>
    <row r="660" ht="14.25" customHeight="1">
      <c r="G660" s="42"/>
    </row>
    <row r="661" ht="14.25" customHeight="1">
      <c r="G661" s="42"/>
    </row>
    <row r="662" ht="14.25" customHeight="1">
      <c r="G662" s="42"/>
    </row>
    <row r="663" ht="14.25" customHeight="1">
      <c r="G663" s="42"/>
    </row>
    <row r="664" ht="14.25" customHeight="1">
      <c r="G664" s="42"/>
    </row>
    <row r="665" ht="14.25" customHeight="1">
      <c r="G665" s="42"/>
    </row>
    <row r="666" ht="14.25" customHeight="1">
      <c r="G666" s="42"/>
    </row>
    <row r="667" ht="14.25" customHeight="1">
      <c r="G667" s="42"/>
    </row>
    <row r="668" ht="14.25" customHeight="1">
      <c r="G668" s="42"/>
    </row>
    <row r="669" ht="14.25" customHeight="1">
      <c r="G669" s="42"/>
    </row>
    <row r="670" ht="14.25" customHeight="1">
      <c r="G670" s="42"/>
    </row>
    <row r="671" ht="14.25" customHeight="1">
      <c r="G671" s="42"/>
    </row>
    <row r="672" ht="14.25" customHeight="1">
      <c r="G672" s="42"/>
    </row>
    <row r="673" ht="14.25" customHeight="1">
      <c r="G673" s="42"/>
    </row>
    <row r="674" ht="14.25" customHeight="1">
      <c r="G674" s="42"/>
    </row>
    <row r="675" ht="14.25" customHeight="1">
      <c r="G675" s="42"/>
    </row>
    <row r="676" ht="14.25" customHeight="1">
      <c r="G676" s="42"/>
    </row>
    <row r="677" ht="14.25" customHeight="1">
      <c r="G677" s="42"/>
    </row>
    <row r="678" ht="14.25" customHeight="1">
      <c r="G678" s="42"/>
    </row>
    <row r="679" ht="14.25" customHeight="1">
      <c r="G679" s="42"/>
    </row>
    <row r="680" ht="14.25" customHeight="1">
      <c r="G680" s="42"/>
    </row>
    <row r="681" ht="14.25" customHeight="1">
      <c r="G681" s="42"/>
    </row>
    <row r="682" ht="14.25" customHeight="1">
      <c r="G682" s="42"/>
    </row>
    <row r="683" ht="14.25" customHeight="1">
      <c r="G683" s="42"/>
    </row>
    <row r="684" ht="14.25" customHeight="1">
      <c r="G684" s="42"/>
    </row>
    <row r="685" ht="14.25" customHeight="1">
      <c r="G685" s="42"/>
    </row>
    <row r="686" ht="14.25" customHeight="1">
      <c r="G686" s="42"/>
    </row>
    <row r="687" ht="14.25" customHeight="1">
      <c r="G687" s="42"/>
    </row>
    <row r="688" ht="14.25" customHeight="1">
      <c r="G688" s="42"/>
    </row>
    <row r="689" ht="14.25" customHeight="1">
      <c r="G689" s="42"/>
    </row>
    <row r="690" ht="14.25" customHeight="1">
      <c r="G690" s="42"/>
    </row>
    <row r="691" ht="14.25" customHeight="1">
      <c r="G691" s="42"/>
    </row>
    <row r="692" ht="14.25" customHeight="1">
      <c r="G692" s="42"/>
    </row>
    <row r="693" ht="14.25" customHeight="1">
      <c r="G693" s="42"/>
    </row>
    <row r="694" ht="14.25" customHeight="1">
      <c r="G694" s="42"/>
    </row>
    <row r="695" ht="14.25" customHeight="1">
      <c r="G695" s="42"/>
    </row>
    <row r="696" ht="14.25" customHeight="1">
      <c r="G696" s="42"/>
    </row>
    <row r="697" ht="14.25" customHeight="1">
      <c r="G697" s="42"/>
    </row>
    <row r="698" ht="14.25" customHeight="1">
      <c r="G698" s="42"/>
    </row>
    <row r="699" ht="14.25" customHeight="1">
      <c r="G699" s="42"/>
    </row>
    <row r="700" ht="14.25" customHeight="1">
      <c r="G700" s="42"/>
    </row>
    <row r="701" ht="14.25" customHeight="1">
      <c r="G701" s="42"/>
    </row>
    <row r="702" ht="14.25" customHeight="1">
      <c r="G702" s="42"/>
    </row>
    <row r="703" ht="14.25" customHeight="1">
      <c r="G703" s="42"/>
    </row>
    <row r="704" ht="14.25" customHeight="1">
      <c r="G704" s="42"/>
    </row>
    <row r="705" ht="14.25" customHeight="1">
      <c r="G705" s="42"/>
    </row>
    <row r="706" ht="14.25" customHeight="1">
      <c r="G706" s="42"/>
    </row>
    <row r="707" ht="14.25" customHeight="1">
      <c r="G707" s="42"/>
    </row>
    <row r="708" ht="14.25" customHeight="1">
      <c r="G708" s="42"/>
    </row>
    <row r="709" ht="14.25" customHeight="1">
      <c r="G709" s="42"/>
    </row>
    <row r="710" ht="14.25" customHeight="1">
      <c r="G710" s="42"/>
    </row>
    <row r="711" ht="14.25" customHeight="1">
      <c r="G711" s="42"/>
    </row>
    <row r="712" ht="14.25" customHeight="1">
      <c r="G712" s="42"/>
    </row>
    <row r="713" ht="14.25" customHeight="1">
      <c r="G713" s="42"/>
    </row>
    <row r="714" ht="14.25" customHeight="1">
      <c r="G714" s="42"/>
    </row>
    <row r="715" ht="14.25" customHeight="1">
      <c r="G715" s="42"/>
    </row>
    <row r="716" ht="14.25" customHeight="1">
      <c r="G716" s="42"/>
    </row>
    <row r="717" ht="14.25" customHeight="1">
      <c r="G717" s="42"/>
    </row>
    <row r="718" ht="14.25" customHeight="1">
      <c r="G718" s="42"/>
    </row>
    <row r="719" ht="14.25" customHeight="1">
      <c r="G719" s="42"/>
    </row>
    <row r="720" ht="14.25" customHeight="1">
      <c r="G720" s="42"/>
    </row>
    <row r="721" ht="14.25" customHeight="1">
      <c r="G721" s="42"/>
    </row>
    <row r="722" ht="14.25" customHeight="1">
      <c r="G722" s="42"/>
    </row>
    <row r="723" ht="14.25" customHeight="1">
      <c r="G723" s="42"/>
    </row>
    <row r="724" ht="14.25" customHeight="1">
      <c r="G724" s="42"/>
    </row>
    <row r="725" ht="14.25" customHeight="1">
      <c r="G725" s="42"/>
    </row>
    <row r="726" ht="14.25" customHeight="1">
      <c r="G726" s="42"/>
    </row>
    <row r="727" ht="14.25" customHeight="1">
      <c r="G727" s="42"/>
    </row>
    <row r="728" ht="14.25" customHeight="1">
      <c r="G728" s="42"/>
    </row>
    <row r="729" ht="14.25" customHeight="1">
      <c r="G729" s="42"/>
    </row>
    <row r="730" ht="14.25" customHeight="1">
      <c r="G730" s="42"/>
    </row>
    <row r="731" ht="14.25" customHeight="1">
      <c r="G731" s="42"/>
    </row>
    <row r="732" ht="14.25" customHeight="1">
      <c r="G732" s="42"/>
    </row>
    <row r="733" ht="14.25" customHeight="1">
      <c r="G733" s="42"/>
    </row>
    <row r="734" ht="14.25" customHeight="1">
      <c r="G734" s="42"/>
    </row>
    <row r="735" ht="14.25" customHeight="1">
      <c r="G735" s="42"/>
    </row>
    <row r="736" ht="14.25" customHeight="1">
      <c r="G736" s="42"/>
    </row>
    <row r="737" ht="14.25" customHeight="1">
      <c r="G737" s="42"/>
    </row>
    <row r="738" ht="14.25" customHeight="1">
      <c r="G738" s="42"/>
    </row>
    <row r="739" ht="14.25" customHeight="1">
      <c r="G739" s="42"/>
    </row>
    <row r="740" ht="14.25" customHeight="1">
      <c r="G740" s="42"/>
    </row>
    <row r="741" ht="14.25" customHeight="1">
      <c r="G741" s="42"/>
    </row>
    <row r="742" ht="14.25" customHeight="1">
      <c r="G742" s="42"/>
    </row>
    <row r="743" ht="14.25" customHeight="1">
      <c r="G743" s="42"/>
    </row>
    <row r="744" ht="14.25" customHeight="1">
      <c r="G744" s="42"/>
    </row>
    <row r="745" ht="14.25" customHeight="1">
      <c r="G745" s="42"/>
    </row>
    <row r="746" ht="14.25" customHeight="1">
      <c r="G746" s="42"/>
    </row>
    <row r="747" ht="14.25" customHeight="1">
      <c r="G747" s="42"/>
    </row>
    <row r="748" ht="14.25" customHeight="1">
      <c r="G748" s="42"/>
    </row>
    <row r="749" ht="14.25" customHeight="1">
      <c r="G749" s="42"/>
    </row>
    <row r="750" ht="14.25" customHeight="1">
      <c r="G750" s="42"/>
    </row>
    <row r="751" ht="14.25" customHeight="1">
      <c r="G751" s="42"/>
    </row>
    <row r="752" ht="14.25" customHeight="1">
      <c r="G752" s="42"/>
    </row>
    <row r="753" ht="14.25" customHeight="1">
      <c r="G753" s="42"/>
    </row>
    <row r="754" ht="14.25" customHeight="1">
      <c r="G754" s="42"/>
    </row>
    <row r="755" ht="14.25" customHeight="1">
      <c r="G755" s="42"/>
    </row>
    <row r="756" ht="14.25" customHeight="1">
      <c r="G756" s="42"/>
    </row>
    <row r="757" ht="14.25" customHeight="1">
      <c r="G757" s="42"/>
    </row>
    <row r="758" ht="14.25" customHeight="1">
      <c r="G758" s="42"/>
    </row>
    <row r="759" ht="14.25" customHeight="1">
      <c r="G759" s="42"/>
    </row>
    <row r="760" ht="14.25" customHeight="1">
      <c r="G760" s="42"/>
    </row>
    <row r="761" ht="14.25" customHeight="1">
      <c r="G761" s="42"/>
    </row>
    <row r="762" ht="14.25" customHeight="1">
      <c r="G762" s="42"/>
    </row>
    <row r="763" ht="14.25" customHeight="1">
      <c r="G763" s="42"/>
    </row>
    <row r="764" ht="14.25" customHeight="1">
      <c r="G764" s="42"/>
    </row>
    <row r="765" ht="14.25" customHeight="1">
      <c r="G765" s="42"/>
    </row>
    <row r="766" ht="14.25" customHeight="1">
      <c r="G766" s="42"/>
    </row>
    <row r="767" ht="14.25" customHeight="1">
      <c r="G767" s="42"/>
    </row>
    <row r="768" ht="14.25" customHeight="1">
      <c r="G768" s="42"/>
    </row>
    <row r="769" ht="14.25" customHeight="1">
      <c r="G769" s="42"/>
    </row>
    <row r="770" ht="14.25" customHeight="1">
      <c r="G770" s="42"/>
    </row>
    <row r="771" ht="14.25" customHeight="1">
      <c r="G771" s="42"/>
    </row>
    <row r="772" ht="14.25" customHeight="1">
      <c r="G772" s="42"/>
    </row>
    <row r="773" ht="14.25" customHeight="1">
      <c r="G773" s="42"/>
    </row>
    <row r="774" ht="14.25" customHeight="1">
      <c r="G774" s="42"/>
    </row>
    <row r="775" ht="14.25" customHeight="1">
      <c r="G775" s="42"/>
    </row>
    <row r="776" ht="14.25" customHeight="1">
      <c r="G776" s="42"/>
    </row>
    <row r="777" ht="14.25" customHeight="1">
      <c r="G777" s="42"/>
    </row>
    <row r="778" ht="14.25" customHeight="1">
      <c r="G778" s="42"/>
    </row>
    <row r="779" ht="14.25" customHeight="1">
      <c r="G779" s="42"/>
    </row>
    <row r="780" ht="14.25" customHeight="1">
      <c r="G780" s="42"/>
    </row>
    <row r="781" ht="14.25" customHeight="1">
      <c r="G781" s="42"/>
    </row>
    <row r="782" ht="14.25" customHeight="1">
      <c r="G782" s="42"/>
    </row>
    <row r="783" ht="14.25" customHeight="1">
      <c r="G783" s="42"/>
    </row>
    <row r="784" ht="14.25" customHeight="1">
      <c r="G784" s="42"/>
    </row>
    <row r="785" ht="14.25" customHeight="1">
      <c r="G785" s="42"/>
    </row>
    <row r="786" ht="14.25" customHeight="1">
      <c r="G786" s="42"/>
    </row>
    <row r="787" ht="14.25" customHeight="1">
      <c r="G787" s="42"/>
    </row>
    <row r="788" ht="14.25" customHeight="1">
      <c r="G788" s="42"/>
    </row>
    <row r="789" ht="14.25" customHeight="1">
      <c r="G789" s="42"/>
    </row>
    <row r="790" ht="14.25" customHeight="1">
      <c r="G790" s="42"/>
    </row>
    <row r="791" ht="14.25" customHeight="1">
      <c r="G791" s="42"/>
    </row>
    <row r="792" ht="14.25" customHeight="1">
      <c r="G792" s="42"/>
    </row>
    <row r="793" ht="14.25" customHeight="1">
      <c r="G793" s="42"/>
    </row>
    <row r="794" ht="14.25" customHeight="1">
      <c r="G794" s="42"/>
    </row>
    <row r="795" ht="14.25" customHeight="1">
      <c r="G795" s="42"/>
    </row>
    <row r="796" ht="14.25" customHeight="1">
      <c r="G796" s="42"/>
    </row>
    <row r="797" ht="14.25" customHeight="1">
      <c r="G797" s="42"/>
    </row>
    <row r="798" ht="14.25" customHeight="1">
      <c r="G798" s="42"/>
    </row>
    <row r="799" ht="14.25" customHeight="1">
      <c r="G799" s="42"/>
    </row>
    <row r="800" ht="14.25" customHeight="1">
      <c r="G800" s="42"/>
    </row>
    <row r="801" ht="14.25" customHeight="1">
      <c r="G801" s="42"/>
    </row>
    <row r="802" ht="14.25" customHeight="1">
      <c r="G802" s="42"/>
    </row>
    <row r="803" ht="14.25" customHeight="1">
      <c r="G803" s="42"/>
    </row>
    <row r="804" ht="14.25" customHeight="1">
      <c r="G804" s="42"/>
    </row>
    <row r="805" ht="14.25" customHeight="1">
      <c r="G805" s="42"/>
    </row>
    <row r="806" ht="14.25" customHeight="1">
      <c r="G806" s="42"/>
    </row>
    <row r="807" ht="14.25" customHeight="1">
      <c r="G807" s="42"/>
    </row>
    <row r="808" ht="14.25" customHeight="1">
      <c r="G808" s="42"/>
    </row>
    <row r="809" ht="14.25" customHeight="1">
      <c r="G809" s="42"/>
    </row>
    <row r="810" ht="14.25" customHeight="1">
      <c r="G810" s="42"/>
    </row>
    <row r="811" ht="14.25" customHeight="1">
      <c r="G811" s="42"/>
    </row>
    <row r="812" ht="14.25" customHeight="1">
      <c r="G812" s="42"/>
    </row>
    <row r="813" ht="14.25" customHeight="1">
      <c r="G813" s="42"/>
    </row>
    <row r="814" ht="14.25" customHeight="1">
      <c r="G814" s="42"/>
    </row>
    <row r="815" ht="14.25" customHeight="1">
      <c r="G815" s="42"/>
    </row>
    <row r="816" ht="14.25" customHeight="1">
      <c r="G816" s="42"/>
    </row>
    <row r="817" ht="14.25" customHeight="1">
      <c r="G817" s="42"/>
    </row>
    <row r="818" ht="14.25" customHeight="1">
      <c r="G818" s="42"/>
    </row>
    <row r="819" ht="14.25" customHeight="1">
      <c r="G819" s="42"/>
    </row>
    <row r="820" ht="14.25" customHeight="1">
      <c r="G820" s="42"/>
    </row>
    <row r="821" ht="14.25" customHeight="1">
      <c r="G821" s="42"/>
    </row>
    <row r="822" ht="14.25" customHeight="1">
      <c r="G822" s="42"/>
    </row>
    <row r="823" ht="14.25" customHeight="1">
      <c r="G823" s="42"/>
    </row>
    <row r="824" ht="14.25" customHeight="1">
      <c r="G824" s="42"/>
    </row>
    <row r="825" ht="14.25" customHeight="1">
      <c r="G825" s="42"/>
    </row>
    <row r="826" ht="14.25" customHeight="1">
      <c r="G826" s="42"/>
    </row>
    <row r="827" ht="14.25" customHeight="1">
      <c r="G827" s="42"/>
    </row>
    <row r="828" ht="14.25" customHeight="1">
      <c r="G828" s="42"/>
    </row>
    <row r="829" ht="14.25" customHeight="1">
      <c r="G829" s="42"/>
    </row>
    <row r="830" ht="14.25" customHeight="1">
      <c r="G830" s="42"/>
    </row>
    <row r="831" ht="14.25" customHeight="1">
      <c r="G831" s="42"/>
    </row>
    <row r="832" ht="14.25" customHeight="1">
      <c r="G832" s="42"/>
    </row>
    <row r="833" ht="14.25" customHeight="1">
      <c r="G833" s="42"/>
    </row>
    <row r="834" ht="14.25" customHeight="1">
      <c r="G834" s="42"/>
    </row>
    <row r="835" ht="14.25" customHeight="1">
      <c r="G835" s="42"/>
    </row>
    <row r="836" ht="14.25" customHeight="1">
      <c r="G836" s="42"/>
    </row>
    <row r="837" ht="14.25" customHeight="1">
      <c r="G837" s="42"/>
    </row>
    <row r="838" ht="14.25" customHeight="1">
      <c r="G838" s="42"/>
    </row>
    <row r="839" ht="14.25" customHeight="1">
      <c r="G839" s="42"/>
    </row>
    <row r="840" ht="14.25" customHeight="1">
      <c r="G840" s="42"/>
    </row>
    <row r="841" ht="14.25" customHeight="1">
      <c r="G841" s="42"/>
    </row>
    <row r="842" ht="14.25" customHeight="1">
      <c r="G842" s="42"/>
    </row>
    <row r="843" ht="14.25" customHeight="1">
      <c r="G843" s="42"/>
    </row>
    <row r="844" ht="14.25" customHeight="1">
      <c r="G844" s="42"/>
    </row>
    <row r="845" ht="14.25" customHeight="1">
      <c r="G845" s="42"/>
    </row>
    <row r="846" ht="14.25" customHeight="1">
      <c r="G846" s="42"/>
    </row>
    <row r="847" ht="14.25" customHeight="1">
      <c r="G847" s="42"/>
    </row>
    <row r="848" ht="14.25" customHeight="1">
      <c r="G848" s="42"/>
    </row>
    <row r="849" ht="14.25" customHeight="1">
      <c r="G849" s="42"/>
    </row>
    <row r="850" ht="14.25" customHeight="1">
      <c r="G850" s="42"/>
    </row>
    <row r="851" ht="14.25" customHeight="1">
      <c r="G851" s="42"/>
    </row>
    <row r="852" ht="14.25" customHeight="1">
      <c r="G852" s="42"/>
    </row>
    <row r="853" ht="14.25" customHeight="1">
      <c r="G853" s="42"/>
    </row>
    <row r="854" ht="14.25" customHeight="1">
      <c r="G854" s="42"/>
    </row>
    <row r="855" ht="14.25" customHeight="1">
      <c r="G855" s="42"/>
    </row>
    <row r="856" ht="14.25" customHeight="1">
      <c r="G856" s="42"/>
    </row>
    <row r="857" ht="14.25" customHeight="1">
      <c r="G857" s="42"/>
    </row>
    <row r="858" ht="14.25" customHeight="1">
      <c r="G858" s="42"/>
    </row>
    <row r="859" ht="14.25" customHeight="1">
      <c r="G859" s="42"/>
    </row>
    <row r="860" ht="14.25" customHeight="1">
      <c r="G860" s="42"/>
    </row>
    <row r="861" ht="14.25" customHeight="1">
      <c r="G861" s="42"/>
    </row>
    <row r="862" ht="14.25" customHeight="1">
      <c r="G862" s="42"/>
    </row>
    <row r="863" ht="14.25" customHeight="1">
      <c r="G863" s="42"/>
    </row>
    <row r="864" ht="14.25" customHeight="1">
      <c r="G864" s="42"/>
    </row>
    <row r="865" ht="14.25" customHeight="1">
      <c r="G865" s="42"/>
    </row>
    <row r="866" ht="14.25" customHeight="1">
      <c r="G866" s="42"/>
    </row>
    <row r="867" ht="14.25" customHeight="1">
      <c r="G867" s="42"/>
    </row>
    <row r="868" ht="14.25" customHeight="1">
      <c r="G868" s="42"/>
    </row>
    <row r="869" ht="14.25" customHeight="1">
      <c r="G869" s="42"/>
    </row>
    <row r="870" ht="14.25" customHeight="1">
      <c r="G870" s="42"/>
    </row>
    <row r="871" ht="14.25" customHeight="1">
      <c r="G871" s="42"/>
    </row>
    <row r="872" ht="14.25" customHeight="1">
      <c r="G872" s="42"/>
    </row>
    <row r="873" ht="14.25" customHeight="1">
      <c r="G873" s="42"/>
    </row>
    <row r="874" ht="14.25" customHeight="1">
      <c r="G874" s="42"/>
    </row>
    <row r="875" ht="14.25" customHeight="1">
      <c r="G875" s="42"/>
    </row>
    <row r="876" ht="14.25" customHeight="1">
      <c r="G876" s="42"/>
    </row>
    <row r="877" ht="14.25" customHeight="1">
      <c r="G877" s="42"/>
    </row>
    <row r="878" ht="14.25" customHeight="1">
      <c r="G878" s="42"/>
    </row>
    <row r="879" ht="14.25" customHeight="1">
      <c r="G879" s="42"/>
    </row>
    <row r="880" ht="14.25" customHeight="1">
      <c r="G880" s="42"/>
    </row>
    <row r="881" ht="14.25" customHeight="1">
      <c r="G881" s="42"/>
    </row>
    <row r="882" ht="14.25" customHeight="1">
      <c r="G882" s="42"/>
    </row>
    <row r="883" ht="14.25" customHeight="1">
      <c r="G883" s="42"/>
    </row>
    <row r="884" ht="14.25" customHeight="1">
      <c r="G884" s="42"/>
    </row>
    <row r="885" ht="14.25" customHeight="1">
      <c r="G885" s="42"/>
    </row>
    <row r="886" ht="14.25" customHeight="1">
      <c r="G886" s="42"/>
    </row>
    <row r="887" ht="14.25" customHeight="1">
      <c r="G887" s="42"/>
    </row>
    <row r="888" ht="14.25" customHeight="1">
      <c r="G888" s="42"/>
    </row>
    <row r="889" ht="14.25" customHeight="1">
      <c r="G889" s="42"/>
    </row>
    <row r="890" ht="14.25" customHeight="1">
      <c r="G890" s="42"/>
    </row>
    <row r="891" ht="14.25" customHeight="1">
      <c r="G891" s="42"/>
    </row>
    <row r="892" ht="14.25" customHeight="1">
      <c r="G892" s="42"/>
    </row>
    <row r="893" ht="14.25" customHeight="1">
      <c r="G893" s="42"/>
    </row>
    <row r="894" ht="14.25" customHeight="1">
      <c r="G894" s="42"/>
    </row>
    <row r="895" ht="14.25" customHeight="1">
      <c r="G895" s="42"/>
    </row>
    <row r="896" ht="14.25" customHeight="1">
      <c r="G896" s="42"/>
    </row>
    <row r="897" ht="14.25" customHeight="1">
      <c r="G897" s="42"/>
    </row>
    <row r="898" ht="14.25" customHeight="1">
      <c r="G898" s="42"/>
    </row>
    <row r="899" ht="14.25" customHeight="1">
      <c r="G899" s="42"/>
    </row>
    <row r="900" ht="14.25" customHeight="1">
      <c r="G900" s="42"/>
    </row>
    <row r="901" ht="14.25" customHeight="1">
      <c r="G901" s="42"/>
    </row>
    <row r="902" ht="14.25" customHeight="1">
      <c r="G902" s="42"/>
    </row>
    <row r="903" ht="14.25" customHeight="1">
      <c r="G903" s="42"/>
    </row>
    <row r="904" ht="14.25" customHeight="1">
      <c r="G904" s="42"/>
    </row>
    <row r="905" ht="14.25" customHeight="1">
      <c r="G905" s="42"/>
    </row>
    <row r="906" ht="14.25" customHeight="1">
      <c r="G906" s="42"/>
    </row>
    <row r="907" ht="14.25" customHeight="1">
      <c r="G907" s="42"/>
    </row>
    <row r="908" ht="14.25" customHeight="1">
      <c r="G908" s="42"/>
    </row>
    <row r="909" ht="14.25" customHeight="1">
      <c r="G909" s="42"/>
    </row>
    <row r="910" ht="14.25" customHeight="1">
      <c r="G910" s="42"/>
    </row>
    <row r="911" ht="14.25" customHeight="1">
      <c r="G911" s="42"/>
    </row>
    <row r="912" ht="14.25" customHeight="1">
      <c r="G912" s="42"/>
    </row>
    <row r="913" ht="14.25" customHeight="1">
      <c r="G913" s="42"/>
    </row>
    <row r="914" ht="14.25" customHeight="1">
      <c r="G914" s="42"/>
    </row>
    <row r="915" ht="14.25" customHeight="1">
      <c r="G915" s="42"/>
    </row>
    <row r="916" ht="14.25" customHeight="1">
      <c r="G916" s="42"/>
    </row>
    <row r="917" ht="14.25" customHeight="1">
      <c r="G917" s="42"/>
    </row>
    <row r="918" ht="14.25" customHeight="1">
      <c r="G918" s="42"/>
    </row>
    <row r="919" ht="14.25" customHeight="1">
      <c r="G919" s="42"/>
    </row>
    <row r="920" ht="14.25" customHeight="1">
      <c r="G920" s="42"/>
    </row>
    <row r="921" ht="14.25" customHeight="1">
      <c r="G921" s="42"/>
    </row>
    <row r="922" ht="14.25" customHeight="1">
      <c r="G922" s="42"/>
    </row>
    <row r="923" ht="14.25" customHeight="1">
      <c r="G923" s="42"/>
    </row>
    <row r="924" ht="14.25" customHeight="1">
      <c r="G924" s="42"/>
    </row>
    <row r="925" ht="14.25" customHeight="1">
      <c r="G925" s="42"/>
    </row>
    <row r="926" ht="14.25" customHeight="1">
      <c r="G926" s="42"/>
    </row>
    <row r="927" ht="14.25" customHeight="1">
      <c r="G927" s="42"/>
    </row>
    <row r="928" ht="14.25" customHeight="1">
      <c r="G928" s="42"/>
    </row>
    <row r="929" ht="14.25" customHeight="1">
      <c r="G929" s="42"/>
    </row>
    <row r="930" ht="14.25" customHeight="1">
      <c r="G930" s="42"/>
    </row>
    <row r="931" ht="14.25" customHeight="1">
      <c r="G931" s="42"/>
    </row>
    <row r="932" ht="14.25" customHeight="1">
      <c r="G932" s="42"/>
    </row>
    <row r="933" ht="14.25" customHeight="1">
      <c r="G933" s="42"/>
    </row>
    <row r="934" ht="14.25" customHeight="1">
      <c r="G934" s="42"/>
    </row>
    <row r="935" ht="14.25" customHeight="1">
      <c r="G935" s="42"/>
    </row>
    <row r="936" ht="14.25" customHeight="1">
      <c r="G936" s="42"/>
    </row>
    <row r="937" ht="14.25" customHeight="1">
      <c r="G937" s="42"/>
    </row>
    <row r="938" ht="14.25" customHeight="1">
      <c r="G938" s="42"/>
    </row>
    <row r="939" ht="14.25" customHeight="1">
      <c r="G939" s="42"/>
    </row>
    <row r="940" ht="14.25" customHeight="1">
      <c r="G940" s="42"/>
    </row>
    <row r="941" ht="14.25" customHeight="1">
      <c r="G941" s="42"/>
    </row>
    <row r="942" ht="14.25" customHeight="1">
      <c r="G942" s="42"/>
    </row>
    <row r="943" ht="14.25" customHeight="1">
      <c r="G943" s="42"/>
    </row>
    <row r="944" ht="14.25" customHeight="1">
      <c r="G944" s="42"/>
    </row>
    <row r="945" ht="14.25" customHeight="1">
      <c r="G945" s="42"/>
    </row>
    <row r="946" ht="14.25" customHeight="1">
      <c r="G946" s="42"/>
    </row>
    <row r="947" ht="14.25" customHeight="1">
      <c r="G947" s="42"/>
    </row>
    <row r="948" ht="14.25" customHeight="1">
      <c r="G948" s="42"/>
    </row>
    <row r="949" ht="14.25" customHeight="1">
      <c r="G949" s="42"/>
    </row>
    <row r="950" ht="14.25" customHeight="1">
      <c r="G950" s="42"/>
    </row>
    <row r="951" ht="14.25" customHeight="1">
      <c r="G951" s="42"/>
    </row>
    <row r="952" ht="14.25" customHeight="1">
      <c r="G952" s="42"/>
    </row>
    <row r="953" ht="14.25" customHeight="1">
      <c r="G953" s="42"/>
    </row>
    <row r="954" ht="14.25" customHeight="1">
      <c r="G954" s="42"/>
    </row>
    <row r="955" ht="14.25" customHeight="1">
      <c r="G955" s="42"/>
    </row>
    <row r="956" ht="14.25" customHeight="1">
      <c r="G956" s="42"/>
    </row>
    <row r="957" ht="14.25" customHeight="1">
      <c r="G957" s="42"/>
    </row>
    <row r="958" ht="14.25" customHeight="1">
      <c r="G958" s="42"/>
    </row>
    <row r="959" ht="14.25" customHeight="1">
      <c r="G959" s="42"/>
    </row>
    <row r="960" ht="14.25" customHeight="1">
      <c r="G960" s="42"/>
    </row>
    <row r="961" ht="14.25" customHeight="1">
      <c r="G961" s="42"/>
    </row>
    <row r="962" ht="14.25" customHeight="1">
      <c r="G962" s="42"/>
    </row>
    <row r="963" ht="14.25" customHeight="1">
      <c r="G963" s="42"/>
    </row>
    <row r="964" ht="14.25" customHeight="1">
      <c r="G964" s="42"/>
    </row>
    <row r="965" ht="14.25" customHeight="1">
      <c r="G965" s="42"/>
    </row>
    <row r="966" ht="14.25" customHeight="1">
      <c r="G966" s="42"/>
    </row>
    <row r="967" ht="14.25" customHeight="1">
      <c r="G967" s="42"/>
    </row>
    <row r="968" ht="14.25" customHeight="1">
      <c r="G968" s="42"/>
    </row>
    <row r="969" ht="14.25" customHeight="1">
      <c r="G969" s="42"/>
    </row>
    <row r="970" ht="14.25" customHeight="1">
      <c r="G970" s="42"/>
    </row>
    <row r="971" ht="14.25" customHeight="1">
      <c r="G971" s="42"/>
    </row>
    <row r="972" ht="14.25" customHeight="1">
      <c r="G972" s="42"/>
    </row>
    <row r="973" ht="14.25" customHeight="1">
      <c r="G973" s="42"/>
    </row>
    <row r="974" ht="14.25" customHeight="1">
      <c r="G974" s="42"/>
    </row>
    <row r="975" ht="14.25" customHeight="1">
      <c r="G975" s="42"/>
    </row>
    <row r="976" ht="14.25" customHeight="1">
      <c r="G976" s="42"/>
    </row>
    <row r="977" ht="14.25" customHeight="1">
      <c r="G977" s="42"/>
    </row>
    <row r="978" ht="14.25" customHeight="1">
      <c r="G978" s="42"/>
    </row>
    <row r="979" ht="14.25" customHeight="1">
      <c r="G979" s="42"/>
    </row>
    <row r="980" ht="14.25" customHeight="1">
      <c r="G980" s="42"/>
    </row>
    <row r="981" ht="14.25" customHeight="1">
      <c r="G981" s="42"/>
    </row>
    <row r="982" ht="14.25" customHeight="1">
      <c r="G982" s="42"/>
    </row>
    <row r="983" ht="14.25" customHeight="1">
      <c r="G983" s="42"/>
    </row>
    <row r="984" ht="14.25" customHeight="1">
      <c r="G984" s="42"/>
    </row>
    <row r="985" ht="14.25" customHeight="1">
      <c r="G985" s="42"/>
    </row>
    <row r="986" ht="14.25" customHeight="1">
      <c r="G986" s="42"/>
    </row>
    <row r="987" ht="14.25" customHeight="1">
      <c r="G987" s="42"/>
    </row>
    <row r="988" ht="14.25" customHeight="1">
      <c r="G988" s="42"/>
    </row>
    <row r="989" ht="14.25" customHeight="1">
      <c r="G989" s="42"/>
    </row>
    <row r="990" ht="14.25" customHeight="1">
      <c r="G990" s="42"/>
    </row>
    <row r="991" ht="14.25" customHeight="1">
      <c r="G991" s="42"/>
    </row>
    <row r="992" ht="14.25" customHeight="1">
      <c r="G992" s="42"/>
    </row>
    <row r="993" ht="14.25" customHeight="1">
      <c r="G993" s="42"/>
    </row>
    <row r="994" ht="14.25" customHeight="1">
      <c r="G994" s="42"/>
    </row>
    <row r="995" ht="14.25" customHeight="1">
      <c r="G995" s="42"/>
    </row>
    <row r="996" ht="14.25" customHeight="1">
      <c r="G996" s="42"/>
    </row>
    <row r="997" ht="14.25" customHeight="1">
      <c r="G997" s="42"/>
    </row>
    <row r="998" ht="14.25" customHeight="1">
      <c r="G998" s="42"/>
    </row>
    <row r="999" ht="14.25" customHeight="1">
      <c r="G999" s="42"/>
    </row>
    <row r="1000" ht="14.25" customHeight="1">
      <c r="G1000" s="42"/>
    </row>
  </sheetData>
  <mergeCells count="12">
    <mergeCell ref="D27:E27"/>
    <mergeCell ref="G27:H27"/>
    <mergeCell ref="J27:K27"/>
    <mergeCell ref="P28:Q28"/>
    <mergeCell ref="R28:S28"/>
    <mergeCell ref="A1:M1"/>
    <mergeCell ref="P1:Q1"/>
    <mergeCell ref="A2:B2"/>
    <mergeCell ref="C2:H2"/>
    <mergeCell ref="I2:M2"/>
    <mergeCell ref="P2:Q2"/>
    <mergeCell ref="R2:S2"/>
  </mergeCells>
  <conditionalFormatting sqref="I4:I6 I8:I10 I12:I13 I15:I16 I18:I20 I22:I23 I25:I26">
    <cfRule type="containsText" dxfId="0" priority="1" operator="containsText" text="SEM VENDA">
      <formula>NOT(ISERROR(SEARCH(("SEM VENDA"),(I4))))</formula>
    </cfRule>
  </conditionalFormatting>
  <conditionalFormatting sqref="L4:L6 L8:L10 L12:L13 L15:L16 L18:L20 L22:L23 L25:L27">
    <cfRule type="containsText" dxfId="0" priority="2" operator="containsText" text="RUPTURA NO PERIODO">
      <formula>NOT(ISERROR(SEARCH(("RUPTURA NO PERIODO"),(L4))))</formula>
    </cfRule>
  </conditionalFormatting>
  <printOptions/>
  <pageMargins bottom="0.75" footer="0.0" header="0.0" left="0.25" right="0.25" top="0.75"/>
  <pageSetup orientation="landscape"/>
  <drawing r:id="rId1"/>
</worksheet>
</file>