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ddes\OneDrive\Desktop\Pedidos Lojas\PROCESSADOS\"/>
    </mc:Choice>
  </mc:AlternateContent>
  <xr:revisionPtr revIDLastSave="0" documentId="13_ncr:1_{F565AB9F-F9FA-4532-B4B4-B0549EE1A5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CALA DE PRODU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3" i="1"/>
  <c r="H3" i="1"/>
  <c r="B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3" i="1"/>
  <c r="E4" i="1"/>
  <c r="E5" i="1"/>
  <c r="E6" i="1"/>
  <c r="E7" i="1"/>
  <c r="E8" i="1"/>
  <c r="E9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</calcChain>
</file>

<file path=xl/sharedStrings.xml><?xml version="1.0" encoding="utf-8"?>
<sst xmlns="http://schemas.openxmlformats.org/spreadsheetml/2006/main" count="292" uniqueCount="148">
  <si>
    <t>COD</t>
  </si>
  <si>
    <t>PRODUTO</t>
  </si>
  <si>
    <t>Produto</t>
  </si>
  <si>
    <t>Embalagem</t>
  </si>
  <si>
    <t>Código de Barras</t>
  </si>
  <si>
    <t>Preço Venda</t>
  </si>
  <si>
    <t>KG/0001</t>
  </si>
  <si>
    <t>UN/0001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</si>
  <si>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</si>
  <si>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</si>
  <si>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</si>
  <si>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</si>
  <si>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</si>
  <si>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</si>
  <si>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</si>
  <si>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PESO P/PCT</t>
  </si>
  <si>
    <t>PESO  P/PCT</t>
  </si>
  <si>
    <t>005552 - ABACAXI DESCASCADO UN</t>
  </si>
  <si>
    <t>005371 - ABACAXI PICADO KG</t>
  </si>
  <si>
    <t>005414 - ABOBRINHA FATIADA  KG</t>
  </si>
  <si>
    <t>000313 - ABOBRINHA ITALIANA PICADO KG</t>
  </si>
  <si>
    <t>001855 - AGUA COCO 100% NATURAL F.PROPRIA 400ML</t>
  </si>
  <si>
    <t>003280 - AGUA COCO 100% NATURAL F.PROPRIA 500ML</t>
  </si>
  <si>
    <t>000044 - ALHO DESCASCADO KG</t>
  </si>
  <si>
    <t>006997 - BATATA PIRULITO PRE COZIDA 1 KG</t>
  </si>
  <si>
    <t>000337 - BETERRABA RALADA KG</t>
  </si>
  <si>
    <t>006008 - BROCOLIS PICADO 350 GR</t>
  </si>
  <si>
    <t>094333 - CABOTIA DESCASCADA PICADA KG</t>
  </si>
  <si>
    <t>006664 - CEBOLA DESCASCADA KG</t>
  </si>
  <si>
    <t>006567 - CENOURA CONGELADA KG</t>
  </si>
  <si>
    <t>000781 - CENOURA C/ VAGEM PICADO KG</t>
  </si>
  <si>
    <t>000312 - CENOURA PICADA KG</t>
  </si>
  <si>
    <t>000345 - CENOURA RALADA KG</t>
  </si>
  <si>
    <t>000311 - CHUCHU PICADO KG</t>
  </si>
  <si>
    <t>096539 - COCO RALADO SECO KG</t>
  </si>
  <si>
    <t>000228 - COCO SECO DESCASCADO KG</t>
  </si>
  <si>
    <t>006150 - ESPETO  FRUTAS MIX KG</t>
  </si>
  <si>
    <t xml:space="preserve">006661 - FRAPE ABACATE C/ACUCAR F.PROPRIA 300 ML </t>
  </si>
  <si>
    <t xml:space="preserve">005799 - FRAPE ABACATE C/ ACUCAR F.PROPRIA 500 ML </t>
  </si>
  <si>
    <t xml:space="preserve">006662 - FRAPE MORANGO C/ACUCAR F.PROPRIA 300 ML </t>
  </si>
  <si>
    <t xml:space="preserve">005851 - FRAPE MORANGO F. PROPRIA 500 ML </t>
  </si>
  <si>
    <t>006142 - FRAPE SALADA DE FRUTAS 500ML FAB.PROP</t>
  </si>
  <si>
    <t>005370 - GOIABA PICADA KG</t>
  </si>
  <si>
    <t>000998 - GOIABA POTE KG</t>
  </si>
  <si>
    <t>004334 - GUACAMOLE KG</t>
  </si>
  <si>
    <t>008936 - KIT CENOURA E PEPINO PALITO KG</t>
  </si>
  <si>
    <t xml:space="preserve">005604 - KIT MAIONESE KG </t>
  </si>
  <si>
    <t>000288 - KIT SALADA FRIA KG</t>
  </si>
  <si>
    <t>003561 - KIT SOPA 300G</t>
  </si>
  <si>
    <t>000286 - KIT SOPA KG</t>
  </si>
  <si>
    <t>001866 - KIWI FATIAS KG</t>
  </si>
  <si>
    <t>000302 - LEGUMES PICADOS KG</t>
  </si>
  <si>
    <t>006883 - MAMAO PICADO 200GR</t>
  </si>
  <si>
    <t xml:space="preserve">005368 - MAMAO PICADO KG </t>
  </si>
  <si>
    <t>005366 - MANGA PICADA KG</t>
  </si>
  <si>
    <t>001005 - MANGA POTE KG</t>
  </si>
  <si>
    <t>000358 - MELANCIA FATIADA  KG</t>
  </si>
  <si>
    <t>005369 - MELANCIA PICADA KG</t>
  </si>
  <si>
    <t>005367 - MELAO PICADO KG</t>
  </si>
  <si>
    <t>006328 - MILHO VERDE PICADO KG</t>
  </si>
  <si>
    <t>005634 - MIX CENOURA/BETERRABA 200GR</t>
  </si>
  <si>
    <t>002574 - MIX CENOURA/BETERRABA KG</t>
  </si>
  <si>
    <t>007196 - MIX  CENOURA  E MADIOQUINHA PRE COZIDA KG</t>
  </si>
  <si>
    <t>006430 - MIX REPOLHO COUVE CENOURA KG</t>
  </si>
  <si>
    <t>005423 - MORANGO PICADO KG</t>
  </si>
  <si>
    <t>000346 - PEPINO JAPONES FATIADO KG</t>
  </si>
  <si>
    <t>005630 - PEPINO JAPONES FATIADO UN 250G</t>
  </si>
  <si>
    <t>005422 - PEPINO PICADO KG</t>
  </si>
  <si>
    <t>001702 - PIMENTAO COLORIDO PICADO KG</t>
  </si>
  <si>
    <t>006088 - POLPA MARACUJA 300 ML</t>
  </si>
  <si>
    <t>104599 - QUIABO PICADO KG</t>
  </si>
  <si>
    <t>002869 - REPOLHO MIX KG</t>
  </si>
  <si>
    <t>006365 - REPOLHO VERDE PICADO KG</t>
  </si>
  <si>
    <t>006330 - SALADA ALFACE C/ MILHO KG</t>
  </si>
  <si>
    <t>006329 - SALADA ALFACE C/PALMITO KG</t>
  </si>
  <si>
    <t>002783 - SALADA ALFACE MANGA TOMATE KG</t>
  </si>
  <si>
    <t>000688 - SALADA DE FRUTAS MIX KG</t>
  </si>
  <si>
    <t>005656 - SALADA DE FRUTAS MIX UN</t>
  </si>
  <si>
    <t>001881 - SALADA INDIVIDUAL KG</t>
  </si>
  <si>
    <t>005982 - SALADA MIX C/ BETERRABA KG</t>
  </si>
  <si>
    <t>005071 - SALADA MIX COM PALMITO KG</t>
  </si>
  <si>
    <t xml:space="preserve">006968 - SALADA MIX DE LEGUMES E FOLHAS GD UND </t>
  </si>
  <si>
    <t>000292 - SALADA MIX FOLHAS  KG</t>
  </si>
  <si>
    <t>000285 - SALADA MIX KG</t>
  </si>
  <si>
    <t xml:space="preserve">009017 - SALADA MIX PALMITO GRANDE UND </t>
  </si>
  <si>
    <t xml:space="preserve">006826 - SALADA PRIMAVERA GRANDE UND </t>
  </si>
  <si>
    <t>007305 - SALADA RUCULA COM MANGA GD UN</t>
  </si>
  <si>
    <t>005869 - SALADA RUCULA COM MANGA KG</t>
  </si>
  <si>
    <t>006961 - SALADA RUCULA COM MANGA PQ UN</t>
  </si>
  <si>
    <t xml:space="preserve">006967 - SALADA TROPICAL GRANDE UND </t>
  </si>
  <si>
    <t>006528 - SALADA TROPICAL KG - REP.ROX.CEN.ACEL.BETER</t>
  </si>
  <si>
    <t>001792 - SUCO ABACAXI C/HORTELA NATURAL F.PROPRIA 500ML</t>
  </si>
  <si>
    <t>006159 - SUCO ABACAXI HORTELA GENGIBRE  F.PROPRIA 500ML</t>
  </si>
  <si>
    <t>004317 - SUCO ABACAXI/MACA/GENGIBRE F.PROPRIA 1LT</t>
  </si>
  <si>
    <t>006044 - SUCO ABACAXI NATURAL F.PROPRIA 300ML</t>
  </si>
  <si>
    <t>000391 - SUCO ABACAXI NATURAL F.PROPRIA 500ML</t>
  </si>
  <si>
    <t>006182 - SUCO ACAI BANANA F.PROPRIA 500ML</t>
  </si>
  <si>
    <t>008198 - SUCO BETERRABA C/ LARANJA F.PROPRIA 500ML</t>
  </si>
  <si>
    <t>005448 - SUCO DETOX  F.PROPRIA 500ML</t>
  </si>
  <si>
    <t>004234 - SUCO GOIABA F.PROPRIA 1LT</t>
  </si>
  <si>
    <t>006928 - SUCO GOIABA  F.PROPRIA 300ML</t>
  </si>
  <si>
    <t>006350 - SUCO GOIABA F.PROPRIA 300ML</t>
  </si>
  <si>
    <t>000707 - SUCO GOIABA F.PROPRIA 500ML</t>
  </si>
  <si>
    <t>015199 - SUCO LARANJA 100% NATURAL F.PROPRIA 500ML</t>
  </si>
  <si>
    <t>004260 - SUCO LARANJA C/MORANGO  F.PROPRIA 1LT</t>
  </si>
  <si>
    <t>005865 - SUCO LARANJA C/MORANGO  F.PROPRIA 500ML</t>
  </si>
  <si>
    <t>004445 - SUCO LARANJA C/PITAIA  F.PROPRIA 500ML</t>
  </si>
  <si>
    <t>005996 - SUCO LARANJA  F.PROPRIA 300ML</t>
  </si>
  <si>
    <t>000381 - SUCO LARANJA F. PROPRIA 500ML</t>
  </si>
  <si>
    <t>006349 - SUCO LARANJA MAMAO  F.PROPRIA 300ML</t>
  </si>
  <si>
    <t>005850 - SUCO LARANJA MAMAO F PROPRIA 500ML</t>
  </si>
  <si>
    <t>004185 - SUCO LARANJA MORANGO 100% NATURAL F.PROPRIA 500ML</t>
  </si>
  <si>
    <t>005800 - SUCO LIMAO  F.PROPRIA 500ML</t>
  </si>
  <si>
    <t>006043 - SUCO MANGA F.PROPRIA 300ML</t>
  </si>
  <si>
    <t>001738 - SUCO MANGA F.PROPRIA 500ML</t>
  </si>
  <si>
    <t>005449 - SUCO MANGA MARACUJA C/ ACUCAR F.PROPRIA 500ML</t>
  </si>
  <si>
    <t>006047 - SUCO MARACUJA NATURAL F.PROPRIA 300ML</t>
  </si>
  <si>
    <t>000392 - SUCO MARACUJA NATURAL F.PROPRIA 500ML</t>
  </si>
  <si>
    <t>004320 - SUCO MELANCIA C/HORTELA F.PROPRIA 500ML</t>
  </si>
  <si>
    <t>004264 - SUCO MELANCIA F.PROPRIA 1LT</t>
  </si>
  <si>
    <t>006348 - SUCO MELANCIA F.PROPRIA 300ML</t>
  </si>
  <si>
    <t>UN/0005</t>
  </si>
  <si>
    <t>001746 - SUCO MELANCIA F.PROPRIA 500ML</t>
  </si>
  <si>
    <t>006781 - SUCO MELAO C/HORTELA NATURAL F.PROPRIA 500ML</t>
  </si>
  <si>
    <t>004996 - SUCO MORANGO F.PROPRIA 500ML</t>
  </si>
  <si>
    <t>004376 - SUCO PITAIA MORANGO F.PROPRIA 500ML</t>
  </si>
  <si>
    <t>006929 - SUCO TANGERINA F.PROPRIA 300ML</t>
  </si>
  <si>
    <t>004352 - SUCO TANGERINA F.PROPRIA 500ML</t>
  </si>
  <si>
    <t>006807 - SUCO TANGIRENA COM MACA  F.PROPRIA 500ML</t>
  </si>
  <si>
    <t>005901 - SUCO UVA  F.PROPRIA 500ML</t>
  </si>
  <si>
    <t>006158 - SUCO VERDE  F.PROPRIA 500ML</t>
  </si>
  <si>
    <t>008318 - TANGERINA PROCESSADA KG</t>
  </si>
  <si>
    <t>007192 - UVA NO COPO KG</t>
  </si>
  <si>
    <t>035659 - UVA NO COPO UND</t>
  </si>
  <si>
    <t>001701 - VAGEM PICADA  KG</t>
  </si>
  <si>
    <t>006601 - VITAMINA F.PROPRIA 500ML</t>
  </si>
  <si>
    <t>006663 - VITAMINA MAMAO 300ML</t>
  </si>
  <si>
    <t>009151 - KIT VINAGRETE NO POTE</t>
  </si>
  <si>
    <t>009152 - KIT YAKISSOBA KG</t>
  </si>
  <si>
    <t>690 - CHEIRO VERDE PICADO KG</t>
  </si>
  <si>
    <t>009390 - CABOTIA DESCASCADA FATIA KG</t>
  </si>
  <si>
    <t>000987 - ALHO PORO PICADO KG</t>
  </si>
  <si>
    <t>102481 - ALFACE AMERICANA 200G</t>
  </si>
  <si>
    <t>009394 - KIT PARA CARNE DE PANELA BENDITO KG</t>
  </si>
  <si>
    <t>009404 - MIX DE FOLHAS ALF/AMERICANA/RUCULA/TOMATE CEREJA</t>
  </si>
  <si>
    <t>009395 - MIX DE FOLHAS ALF/CRESPA/ROXA CENORURA RALADA 200G</t>
  </si>
  <si>
    <t>009439 - MIX SALADA MISTA ALF CRESPA/C.ROXA/CENOURA/T.CEREJA BENDITO</t>
  </si>
  <si>
    <t>009413 - RUCULA HIGIENIZADA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</si>
</sst>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theme="9" tint="0.79998168889431442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E97132"/>
      </top>
      <bottom/>
      <diagonal/>
    </border>
    <border>
      <left/>
      <right style="medium">
        <color indexed="64"/>
      </right>
      <top style="thin">
        <color theme="5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5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thin">
        <color theme="5"/>
      </left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thin">
        <color theme="5"/>
      </top>
      <bottom/>
      <diagonal/>
    </border>
    <border>
      <left style="medium">
        <color theme="1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/>
      <right style="medium">
        <color indexed="64"/>
      </right>
      <top style="thin">
        <color theme="5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thin">
        <color theme="5" tint="0.39997558519241921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theme="5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3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164" fontId="3" fillId="0" borderId="5" xfId="0" applyNumberFormat="1" applyFont="1" applyBorder="1"/>
    <xf numFmtId="0" fontId="4" fillId="12" borderId="11" xfId="0" applyFont="1" applyFill="1" applyBorder="1"/>
    <xf numFmtId="0" fontId="4" fillId="12" borderId="1" xfId="0" applyFont="1" applyFill="1" applyBorder="1"/>
    <xf numFmtId="0" fontId="0" fillId="9" borderId="11" xfId="0" applyFill="1" applyBorder="1"/>
    <xf numFmtId="164" fontId="0" fillId="9" borderId="12" xfId="0" applyNumberFormat="1" applyFill="1" applyBorder="1"/>
    <xf numFmtId="164" fontId="0" fillId="0" borderId="12" xfId="0" applyNumberFormat="1" applyBorder="1"/>
    <xf numFmtId="164" fontId="0" fillId="9" borderId="7" xfId="0" applyNumberFormat="1" applyFill="1" applyBorder="1"/>
    <xf numFmtId="0" fontId="4" fillId="13" borderId="11" xfId="0" applyFont="1" applyFill="1" applyBorder="1"/>
    <xf numFmtId="0" fontId="4" fillId="13" borderId="13" xfId="0" applyFont="1" applyFill="1" applyBorder="1"/>
    <xf numFmtId="0" fontId="0" fillId="10" borderId="11" xfId="0" applyFill="1" applyBorder="1"/>
    <xf numFmtId="164" fontId="3" fillId="10" borderId="14" xfId="0" applyNumberFormat="1" applyFont="1" applyFill="1" applyBorder="1"/>
    <xf numFmtId="164" fontId="3" fillId="0" borderId="14" xfId="0" applyNumberFormat="1" applyFont="1" applyBorder="1"/>
    <xf numFmtId="164" fontId="3" fillId="10" borderId="9" xfId="0" applyNumberFormat="1" applyFont="1" applyFill="1" applyBorder="1"/>
    <xf numFmtId="0" fontId="4" fillId="14" borderId="15" xfId="0" applyFont="1" applyFill="1" applyBorder="1"/>
    <xf numFmtId="0" fontId="4" fillId="14" borderId="11" xfId="0" applyFont="1" applyFill="1" applyBorder="1"/>
    <xf numFmtId="0" fontId="4" fillId="14" borderId="1" xfId="0" applyFont="1" applyFill="1" applyBorder="1"/>
    <xf numFmtId="0" fontId="0" fillId="0" borderId="15" xfId="0" applyBorder="1"/>
    <xf numFmtId="0" fontId="0" fillId="0" borderId="11" xfId="0" applyBorder="1"/>
    <xf numFmtId="164" fontId="3" fillId="0" borderId="6" xfId="0" applyNumberFormat="1" applyFont="1" applyBorder="1"/>
    <xf numFmtId="164" fontId="3" fillId="0" borderId="8" xfId="0" applyNumberFormat="1" applyFont="1" applyBorder="1"/>
    <xf numFmtId="0" fontId="4" fillId="15" borderId="11" xfId="0" applyFont="1" applyFill="1" applyBorder="1"/>
    <xf numFmtId="0" fontId="4" fillId="15" borderId="1" xfId="0" applyFont="1" applyFill="1" applyBorder="1"/>
    <xf numFmtId="0" fontId="0" fillId="11" borderId="11" xfId="0" applyFill="1" applyBorder="1"/>
    <xf numFmtId="164" fontId="3" fillId="11" borderId="19" xfId="0" applyNumberFormat="1" applyFont="1" applyFill="1" applyBorder="1"/>
    <xf numFmtId="164" fontId="3" fillId="0" borderId="19" xfId="0" applyNumberFormat="1" applyFont="1" applyBorder="1"/>
    <xf numFmtId="164" fontId="3" fillId="11" borderId="10" xfId="0" applyNumberFormat="1" applyFont="1" applyFill="1" applyBorder="1"/>
    <xf numFmtId="0" fontId="4" fillId="13" borderId="20" xfId="0" applyFont="1" applyFill="1" applyBorder="1"/>
    <xf numFmtId="0" fontId="4" fillId="13" borderId="1" xfId="0" applyFont="1" applyFill="1" applyBorder="1"/>
    <xf numFmtId="0" fontId="0" fillId="10" borderId="20" xfId="0" applyFill="1" applyBorder="1"/>
    <xf numFmtId="164" fontId="0" fillId="0" borderId="16" xfId="0" applyNumberFormat="1" applyBorder="1"/>
    <xf numFmtId="164" fontId="0" fillId="0" borderId="17" xfId="0" applyNumberFormat="1" applyBorder="1"/>
    <xf numFmtId="0" fontId="4" fillId="14" borderId="21" xfId="0" applyFont="1" applyFill="1" applyBorder="1"/>
    <xf numFmtId="0" fontId="0" fillId="16" borderId="21" xfId="0" applyFill="1" applyBorder="1"/>
    <xf numFmtId="0" fontId="0" fillId="16" borderId="11" xfId="0" applyFill="1" applyBorder="1"/>
    <xf numFmtId="164" fontId="3" fillId="16" borderId="22" xfId="0" applyNumberFormat="1" applyFont="1" applyFill="1" applyBorder="1"/>
    <xf numFmtId="164" fontId="3" fillId="0" borderId="22" xfId="0" applyNumberFormat="1" applyFont="1" applyBorder="1"/>
    <xf numFmtId="164" fontId="3" fillId="16" borderId="18" xfId="0" applyNumberFormat="1" applyFont="1" applyFill="1" applyBorder="1"/>
    <xf numFmtId="0" fontId="4" fillId="13" borderId="23" xfId="0" applyFont="1" applyFill="1" applyBorder="1"/>
    <xf numFmtId="0" fontId="4" fillId="13" borderId="24" xfId="0" applyFont="1" applyFill="1" applyBorder="1"/>
    <xf numFmtId="0" fontId="4" fillId="13" borderId="25" xfId="0" applyFont="1" applyFill="1" applyBorder="1"/>
    <xf numFmtId="0" fontId="0" fillId="10" borderId="23" xfId="0" applyFill="1" applyBorder="1"/>
    <xf numFmtId="0" fontId="0" fillId="10" borderId="24" xfId="0" applyFill="1" applyBorder="1"/>
    <xf numFmtId="0" fontId="0" fillId="10" borderId="25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17" borderId="0" xfId="0" applyFill="1" applyAlignment="1">
      <alignment vertical="center" wrapText="1"/>
    </xf>
    <xf numFmtId="0" fontId="0" fillId="10" borderId="26" xfId="0" applyFill="1" applyBorder="1"/>
    <xf numFmtId="0" fontId="0" fillId="10" borderId="13" xfId="0" applyFill="1" applyBorder="1"/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8" borderId="11" xfId="0" applyFill="1" applyBorder="1"/>
    <xf numFmtId="0" fontId="0" fillId="19" borderId="11" xfId="0" applyFill="1" applyBorder="1"/>
    <xf numFmtId="0" fontId="0" fillId="20" borderId="11" xfId="0" applyFill="1" applyBorder="1"/>
    <xf numFmtId="0" fontId="0" fillId="20" borderId="26" xfId="0" applyFill="1" applyBorder="1"/>
    <xf numFmtId="0" fontId="0" fillId="21" borderId="0" xfId="0" applyFill="1" applyAlignment="1">
      <alignment vertical="center" wrapText="1"/>
    </xf>
    <xf numFmtId="0" fontId="0" fillId="22" borderId="11" xfId="0" applyFill="1" applyBorder="1"/>
    <xf numFmtId="0" fontId="0" fillId="23" borderId="11" xfId="0" applyFill="1" applyBorder="1"/>
    <xf numFmtId="0" fontId="0" fillId="23" borderId="26" xfId="0" applyFill="1" applyBorder="1"/>
    <xf numFmtId="0" fontId="0" fillId="24" borderId="0" xfId="0" applyFill="1" applyAlignment="1">
      <alignment vertical="center" wrapText="1"/>
    </xf>
    <xf numFmtId="0" fontId="0" fillId="25" borderId="11" xfId="0" applyFill="1" applyBorder="1"/>
    <xf numFmtId="0" fontId="0" fillId="26" borderId="20" xfId="0" applyFill="1" applyBorder="1"/>
    <xf numFmtId="0" fontId="0" fillId="27" borderId="11" xfId="0" applyFill="1" applyBorder="1"/>
    <xf numFmtId="0" fontId="0" fillId="28" borderId="11" xfId="0" applyFill="1" applyBorder="1"/>
    <xf numFmtId="0" fontId="0" fillId="28" borderId="26" xfId="0" applyFill="1" applyBorder="1"/>
    <xf numFmtId="0" fontId="0" fillId="28" borderId="2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0"/>
  <sheetViews>
    <sheetView tabSelected="1" zoomScale="64" workbookViewId="0">
      <selection activeCell="R11" sqref="R11"/>
    </sheetView>
  </sheetViews>
  <sheetFormatPr defaultRowHeight="14.5" x14ac:dyDescent="0.35"/>
  <cols>
    <col min="1" max="1" width="8.90625" customWidth="1"/>
    <col min="2" max="2" width="54.7265625" bestFit="1" customWidth="1"/>
    <col min="3" max="3" width="13.08984375" customWidth="1"/>
    <col min="4" max="4" width="8.90625" customWidth="1"/>
    <col min="5" max="5" width="60.08984375" bestFit="1" customWidth="1"/>
    <col min="6" max="6" width="14.453125" bestFit="1" customWidth="1"/>
    <col min="7" max="7" width="8.90625" customWidth="1"/>
    <col min="8" max="8" width="54.7265625" bestFit="1" customWidth="1"/>
    <col min="9" max="9" width="14.453125" bestFit="1" customWidth="1"/>
    <col min="10" max="10" width="8.90625" customWidth="1"/>
    <col min="11" max="11" width="60" bestFit="1" customWidth="1"/>
    <col min="12" max="12" width="14.453125" bestFit="1" customWidth="1"/>
    <col min="13" max="13" width="8.90625" customWidth="1"/>
    <col min="14" max="14" width="64.54296875" bestFit="1" customWidth="1"/>
    <col min="15" max="15" width="14.453125" bestFit="1" customWidth="1"/>
    <col min="16" max="16" width="8.90625" customWidth="1"/>
    <col min="17" max="17" width="56.36328125" bestFit="1" customWidth="1"/>
    <col min="18" max="18" width="14" bestFit="1" customWidth="1"/>
    <col min="19" max="19" width="8.90625" customWidth="1"/>
    <col min="20" max="20" width="45.36328125" bestFit="1" customWidth="1"/>
    <col min="21" max="21" width="14.453125" bestFit="1" customWidth="1"/>
    <col min="23" max="23" width="61.453125" customWidth="1"/>
    <col min="26" max="26" width="11.54296875" bestFit="1" customWidth="1"/>
  </cols>
  <sheetData>
    <row r="1" spans="1:26" ht="15" thickBot="1" x14ac:dyDescent="0.4">
      <c r="A1" s="63" t="s">
        <v>8</v>
      </c>
      <c r="B1" s="64"/>
      <c r="C1" s="4"/>
      <c r="D1" s="65" t="s">
        <v>9</v>
      </c>
      <c r="E1" s="65"/>
      <c r="F1" s="1"/>
      <c r="G1" s="66" t="s">
        <v>10</v>
      </c>
      <c r="H1" s="67"/>
      <c r="I1" s="5"/>
      <c r="J1" s="68" t="s">
        <v>11</v>
      </c>
      <c r="K1" s="68"/>
      <c r="L1" s="2"/>
      <c r="M1" s="69" t="s">
        <v>12</v>
      </c>
      <c r="N1" s="70"/>
      <c r="O1" s="6"/>
      <c r="P1" s="71" t="s">
        <v>13</v>
      </c>
      <c r="Q1" s="71"/>
      <c r="R1" s="3"/>
      <c r="S1" s="61" t="s">
        <v>14</v>
      </c>
      <c r="T1" s="62"/>
      <c r="U1" s="7"/>
      <c r="W1" s="45" t="s">
        <v>2</v>
      </c>
      <c r="X1" s="46" t="s">
        <v>3</v>
      </c>
      <c r="Y1" s="46" t="s">
        <v>4</v>
      </c>
      <c r="Z1" s="47" t="s">
        <v>5</v>
      </c>
    </row>
    <row r="2" spans="1:26" ht="15" thickBot="1" x14ac:dyDescent="0.4">
      <c r="A2" s="9" t="s">
        <v>0</v>
      </c>
      <c r="B2" s="9" t="s">
        <v>1</v>
      </c>
      <c r="C2" s="10" t="s">
        <v>16</v>
      </c>
      <c r="D2" s="15" t="s">
        <v>0</v>
      </c>
      <c r="E2" s="15" t="s">
        <v>1</v>
      </c>
      <c r="F2" s="16" t="s">
        <v>15</v>
      </c>
      <c r="G2" s="21" t="s">
        <v>0</v>
      </c>
      <c r="H2" s="22" t="s">
        <v>1</v>
      </c>
      <c r="I2" s="23" t="s">
        <v>15</v>
      </c>
      <c r="J2" s="28" t="s">
        <v>0</v>
      </c>
      <c r="K2" s="28" t="s">
        <v>1</v>
      </c>
      <c r="L2" s="29" t="s">
        <v>15</v>
      </c>
      <c r="M2" s="34" t="s">
        <v>0</v>
      </c>
      <c r="N2" s="15" t="s">
        <v>1</v>
      </c>
      <c r="O2" s="35" t="s">
        <v>15</v>
      </c>
      <c r="P2" s="22" t="s">
        <v>0</v>
      </c>
      <c r="Q2" s="22" t="s">
        <v>1</v>
      </c>
      <c r="R2" s="23" t="s">
        <v>15</v>
      </c>
      <c r="S2" s="39" t="s">
        <v>0</v>
      </c>
      <c r="T2" s="22" t="s">
        <v>1</v>
      </c>
      <c r="U2" s="23" t="s">
        <v>15</v>
      </c>
      <c r="W2" s="48" t="s">
        <v>17</v>
      </c>
      <c r="X2" s="49" t="s">
        <v>7</v>
      </c>
      <c r="Y2" s="49">
        <v>5552</v>
      </c>
      <c r="Z2" s="50">
        <v>13.99</v>
      </c>
    </row>
    <row r="3" spans="1:26" ht="15" thickBot="1" x14ac:dyDescent="0.4">
      <c r="A3" s="78">
        <v>688</v>
      </c>
      <c r="B3" s="11" t="str">
        <f t="shared" ref="B3:B39" si="0">_xlfn.XLOOKUP(A3,Y:Y,W:W,"NÃO ENCONTRADO")</f>
        <v>000688 - SALADA DE FRUTAS MIX KG</v>
      </c>
      <c r="C3" s="12">
        <v>0.22</v>
      </c>
      <c r="D3" s="73">
        <v>94333</v>
      </c>
      <c r="E3" s="60" t="str">
        <f>_xlfn.XLOOKUP(D3,Y:Y,W:W,"NÃO ENCONTRADO")</f>
        <v>094333 - CABOTIA DESCASCADA PICADA KG</v>
      </c>
      <c r="F3" s="18">
        <v>0.3</v>
      </c>
      <c r="G3" s="74">
        <v>688</v>
      </c>
      <c r="H3" s="25" t="str">
        <f t="shared" ref="H3:H39" si="1">_xlfn.XLOOKUP(G3,Y:Y,W:W,"NÃO ENCONTRADO")</f>
        <v>000688 - SALADA DE FRUTAS MIX KG</v>
      </c>
      <c r="I3" s="26">
        <v>0.22</v>
      </c>
      <c r="J3" s="81">
        <v>94333</v>
      </c>
      <c r="K3" s="30" t="str">
        <f>_xlfn.XLOOKUP(J3,Y:Y,W:W,"NÃO ENCONTRADO")</f>
        <v>094333 - CABOTIA DESCASCADA PICADA KG</v>
      </c>
      <c r="L3" s="31">
        <v>0.3</v>
      </c>
      <c r="M3" s="17">
        <v>688</v>
      </c>
      <c r="N3" s="17" t="str">
        <f>_xlfn.XLOOKUP(M3,Y:Y,W:W,"NÃO ENCONTRADO")</f>
        <v>000688 - SALADA DE FRUTAS MIX KG</v>
      </c>
      <c r="O3" s="18">
        <v>0.22</v>
      </c>
      <c r="P3" s="83">
        <v>688</v>
      </c>
      <c r="Q3" s="25" t="str">
        <f>_xlfn.XLOOKUP(P3,Y:Y,W:W,"NÃO ENCONTRADO")</f>
        <v>000688 - SALADA DE FRUTAS MIX KG</v>
      </c>
      <c r="R3" s="26">
        <v>1</v>
      </c>
      <c r="S3" s="40">
        <v>688</v>
      </c>
      <c r="T3" s="41" t="str">
        <f>_xlfn.XLOOKUP(S3,Y:Y,W:W,"NÃO ENCONTRADO")</f>
        <v>000688 - SALADA DE FRUTAS MIX KG</v>
      </c>
      <c r="U3" s="42">
        <v>0</v>
      </c>
      <c r="W3" s="51" t="s">
        <v>18</v>
      </c>
      <c r="X3" s="52" t="s">
        <v>6</v>
      </c>
      <c r="Y3" s="52">
        <v>5371</v>
      </c>
      <c r="Z3" s="53">
        <v>32.9</v>
      </c>
    </row>
    <row r="4" spans="1:26" ht="15" thickBot="1" x14ac:dyDescent="0.4">
      <c r="A4" s="78">
        <v>6968</v>
      </c>
      <c r="B4" s="11" t="str">
        <f t="shared" si="0"/>
        <v xml:space="preserve">006968 - SALADA MIX DE LEGUMES E FOLHAS GD UND </v>
      </c>
      <c r="C4" s="13">
        <v>1</v>
      </c>
      <c r="D4" s="73">
        <v>9390</v>
      </c>
      <c r="E4" s="60" t="str">
        <f t="shared" ref="E4:E45" si="2">_xlfn.XLOOKUP(D4,Y:Y,W:W,"NÃO ENCONTRADO")</f>
        <v>009390 - CABOTIA DESCASCADA FATIA KG</v>
      </c>
      <c r="F4" s="19">
        <v>0.35</v>
      </c>
      <c r="G4" s="74">
        <v>6968</v>
      </c>
      <c r="H4" s="25" t="str">
        <f t="shared" si="1"/>
        <v xml:space="preserve">006968 - SALADA MIX DE LEGUMES E FOLHAS GD UND </v>
      </c>
      <c r="I4" s="26">
        <v>1</v>
      </c>
      <c r="J4" s="81">
        <v>9390</v>
      </c>
      <c r="K4" s="30" t="str">
        <f t="shared" ref="K4:K39" si="3">_xlfn.XLOOKUP(J4,Y:Y,W:W,"NÃO ENCONTRADO")</f>
        <v>009390 - CABOTIA DESCASCADA FATIA KG</v>
      </c>
      <c r="L4" s="32">
        <v>0.35</v>
      </c>
      <c r="M4" s="17">
        <v>6968</v>
      </c>
      <c r="N4" s="17" t="str">
        <f t="shared" ref="N4:N39" si="4">_xlfn.XLOOKUP(M4,Y:Y,W:W,"NÃO ENCONTRADO")</f>
        <v xml:space="preserve">006968 - SALADA MIX DE LEGUMES E FOLHAS GD UND </v>
      </c>
      <c r="O4" s="19">
        <v>1</v>
      </c>
      <c r="P4" s="83">
        <v>6968</v>
      </c>
      <c r="Q4" s="25" t="str">
        <f t="shared" ref="Q4:Q39" si="5">_xlfn.XLOOKUP(P4,Y:Y,W:W,"NÃO ENCONTRADO")</f>
        <v xml:space="preserve">006968 - SALADA MIX DE LEGUMES E FOLHAS GD UND </v>
      </c>
      <c r="R4" s="8">
        <v>1</v>
      </c>
      <c r="S4" s="40">
        <v>6968</v>
      </c>
      <c r="T4" s="41" t="str">
        <f t="shared" ref="T4:T39" si="6">_xlfn.XLOOKUP(S4,Y:Y,W:W,"NÃO ENCONTRADO")</f>
        <v xml:space="preserve">006968 - SALADA MIX DE LEGUMES E FOLHAS GD UND </v>
      </c>
      <c r="U4" s="43">
        <v>0</v>
      </c>
      <c r="W4" s="48" t="s">
        <v>19</v>
      </c>
      <c r="X4" s="49" t="s">
        <v>6</v>
      </c>
      <c r="Y4" s="49">
        <v>5414</v>
      </c>
      <c r="Z4" s="50">
        <v>9.99</v>
      </c>
    </row>
    <row r="5" spans="1:26" ht="15" thickBot="1" x14ac:dyDescent="0.4">
      <c r="A5" s="78">
        <v>7305</v>
      </c>
      <c r="B5" s="11" t="str">
        <f t="shared" si="0"/>
        <v>007305 - SALADA RUCULA COM MANGA GD UN</v>
      </c>
      <c r="C5" s="12">
        <v>1</v>
      </c>
      <c r="D5" s="73">
        <v>286</v>
      </c>
      <c r="E5" s="60" t="str">
        <f t="shared" si="2"/>
        <v>000286 - KIT SOPA KG</v>
      </c>
      <c r="F5" s="18">
        <v>0.35</v>
      </c>
      <c r="G5" s="74">
        <v>7305</v>
      </c>
      <c r="H5" s="25" t="str">
        <f t="shared" si="1"/>
        <v>007305 - SALADA RUCULA COM MANGA GD UN</v>
      </c>
      <c r="I5" s="26">
        <v>1</v>
      </c>
      <c r="J5" s="81">
        <v>286</v>
      </c>
      <c r="K5" s="30" t="str">
        <f t="shared" si="3"/>
        <v>000286 - KIT SOPA KG</v>
      </c>
      <c r="L5" s="31">
        <v>0.35</v>
      </c>
      <c r="M5" s="17">
        <v>7305</v>
      </c>
      <c r="N5" s="17" t="str">
        <f t="shared" si="4"/>
        <v>007305 - SALADA RUCULA COM MANGA GD UN</v>
      </c>
      <c r="O5" s="18">
        <v>1</v>
      </c>
      <c r="P5" s="83">
        <v>7305</v>
      </c>
      <c r="Q5" s="25" t="str">
        <f t="shared" si="5"/>
        <v>007305 - SALADA RUCULA COM MANGA GD UN</v>
      </c>
      <c r="R5" s="8">
        <v>1</v>
      </c>
      <c r="S5" s="40">
        <v>7305</v>
      </c>
      <c r="T5" s="41" t="str">
        <f t="shared" si="6"/>
        <v>007305 - SALADA RUCULA COM MANGA GD UN</v>
      </c>
      <c r="U5" s="42">
        <v>0</v>
      </c>
      <c r="W5" s="51" t="s">
        <v>20</v>
      </c>
      <c r="X5" s="52" t="s">
        <v>6</v>
      </c>
      <c r="Y5" s="52">
        <v>313</v>
      </c>
      <c r="Z5" s="53">
        <v>19.899999999999999</v>
      </c>
    </row>
    <row r="6" spans="1:26" ht="15" thickBot="1" x14ac:dyDescent="0.4">
      <c r="A6" s="78">
        <v>6826</v>
      </c>
      <c r="B6" s="11" t="str">
        <f t="shared" si="0"/>
        <v xml:space="preserve">006826 - SALADA PRIMAVERA GRANDE UND </v>
      </c>
      <c r="C6" s="13">
        <v>1</v>
      </c>
      <c r="D6" s="73">
        <v>44</v>
      </c>
      <c r="E6" s="60" t="str">
        <f t="shared" si="2"/>
        <v>000044 - ALHO DESCASCADO KG</v>
      </c>
      <c r="F6" s="19">
        <v>0.15</v>
      </c>
      <c r="G6" s="74">
        <v>6826</v>
      </c>
      <c r="H6" s="25" t="str">
        <f t="shared" si="1"/>
        <v xml:space="preserve">006826 - SALADA PRIMAVERA GRANDE UND </v>
      </c>
      <c r="I6" s="26">
        <v>1</v>
      </c>
      <c r="J6" s="81">
        <v>44</v>
      </c>
      <c r="K6" s="30" t="str">
        <f t="shared" si="3"/>
        <v>000044 - ALHO DESCASCADO KG</v>
      </c>
      <c r="L6" s="32">
        <v>0.15</v>
      </c>
      <c r="M6" s="17">
        <v>6826</v>
      </c>
      <c r="N6" s="17" t="str">
        <f t="shared" si="4"/>
        <v xml:space="preserve">006826 - SALADA PRIMAVERA GRANDE UND </v>
      </c>
      <c r="O6" s="19">
        <v>1</v>
      </c>
      <c r="P6" s="83">
        <v>6826</v>
      </c>
      <c r="Q6" s="25" t="str">
        <f t="shared" si="5"/>
        <v xml:space="preserve">006826 - SALADA PRIMAVERA GRANDE UND </v>
      </c>
      <c r="R6" s="8">
        <v>1</v>
      </c>
      <c r="S6" s="40">
        <v>6826</v>
      </c>
      <c r="T6" s="41" t="str">
        <f t="shared" si="6"/>
        <v xml:space="preserve">006826 - SALADA PRIMAVERA GRANDE UND </v>
      </c>
      <c r="U6" s="43">
        <v>0</v>
      </c>
      <c r="W6" s="48" t="s">
        <v>21</v>
      </c>
      <c r="X6" s="49" t="s">
        <v>7</v>
      </c>
      <c r="Y6" s="49">
        <v>1855</v>
      </c>
      <c r="Z6" s="50">
        <v>5.99</v>
      </c>
    </row>
    <row r="7" spans="1:26" ht="15" thickBot="1" x14ac:dyDescent="0.4">
      <c r="A7" s="78">
        <v>9017</v>
      </c>
      <c r="B7" s="11" t="str">
        <f t="shared" si="0"/>
        <v xml:space="preserve">009017 - SALADA MIX PALMITO GRANDE UND </v>
      </c>
      <c r="C7" s="12">
        <v>1</v>
      </c>
      <c r="D7" s="73">
        <v>345</v>
      </c>
      <c r="E7" s="60" t="str">
        <f t="shared" si="2"/>
        <v>000345 - CENOURA RALADA KG</v>
      </c>
      <c r="F7" s="18">
        <v>0.22</v>
      </c>
      <c r="G7" s="74">
        <v>9017</v>
      </c>
      <c r="H7" s="25" t="str">
        <f t="shared" si="1"/>
        <v xml:space="preserve">009017 - SALADA MIX PALMITO GRANDE UND </v>
      </c>
      <c r="I7" s="26">
        <v>1</v>
      </c>
      <c r="J7" s="81">
        <v>345</v>
      </c>
      <c r="K7" s="30" t="str">
        <f t="shared" si="3"/>
        <v>000345 - CENOURA RALADA KG</v>
      </c>
      <c r="L7" s="31">
        <v>0.22</v>
      </c>
      <c r="M7" s="17">
        <v>9017</v>
      </c>
      <c r="N7" s="17" t="str">
        <f t="shared" si="4"/>
        <v xml:space="preserve">009017 - SALADA MIX PALMITO GRANDE UND </v>
      </c>
      <c r="O7" s="18">
        <v>1</v>
      </c>
      <c r="P7" s="84">
        <v>690</v>
      </c>
      <c r="Q7" s="25" t="str">
        <f t="shared" si="5"/>
        <v>690 - CHEIRO VERDE PICADO KG</v>
      </c>
      <c r="R7" s="8">
        <v>0.05</v>
      </c>
      <c r="S7" s="40">
        <v>0</v>
      </c>
      <c r="T7" s="41" t="str">
        <f t="shared" si="6"/>
        <v>NÃO ENCONTRADO</v>
      </c>
      <c r="U7" s="42">
        <v>0</v>
      </c>
      <c r="W7" s="51" t="s">
        <v>22</v>
      </c>
      <c r="X7" s="52" t="s">
        <v>7</v>
      </c>
      <c r="Y7" s="52">
        <v>3280</v>
      </c>
      <c r="Z7" s="53">
        <v>8.99</v>
      </c>
    </row>
    <row r="8" spans="1:26" ht="15" thickBot="1" x14ac:dyDescent="0.4">
      <c r="A8" s="78">
        <v>690</v>
      </c>
      <c r="B8" s="11" t="str">
        <f t="shared" si="0"/>
        <v>690 - CHEIRO VERDE PICADO KG</v>
      </c>
      <c r="C8" s="13">
        <v>0.05</v>
      </c>
      <c r="D8" s="73">
        <v>781</v>
      </c>
      <c r="E8" s="60" t="str">
        <f t="shared" si="2"/>
        <v>000781 - CENOURA C/ VAGEM PICADO KG</v>
      </c>
      <c r="F8" s="19">
        <v>0.22</v>
      </c>
      <c r="G8" s="74">
        <v>690</v>
      </c>
      <c r="H8" s="25" t="str">
        <f t="shared" si="1"/>
        <v>690 - CHEIRO VERDE PICADO KG</v>
      </c>
      <c r="I8" s="26">
        <v>0.05</v>
      </c>
      <c r="J8" s="81">
        <v>781</v>
      </c>
      <c r="K8" s="30" t="str">
        <f t="shared" si="3"/>
        <v>000781 - CENOURA C/ VAGEM PICADO KG</v>
      </c>
      <c r="L8" s="32">
        <v>0.22</v>
      </c>
      <c r="M8" s="17">
        <v>690</v>
      </c>
      <c r="N8" s="17" t="str">
        <f t="shared" si="4"/>
        <v>690 - CHEIRO VERDE PICADO KG</v>
      </c>
      <c r="O8" s="19">
        <v>0.05</v>
      </c>
      <c r="P8" s="85">
        <v>987</v>
      </c>
      <c r="Q8" s="25" t="str">
        <f t="shared" si="5"/>
        <v>000987 - ALHO PORO PICADO KG</v>
      </c>
      <c r="R8" s="8">
        <v>0.05</v>
      </c>
      <c r="S8" s="40">
        <v>0</v>
      </c>
      <c r="T8" s="41" t="str">
        <f t="shared" si="6"/>
        <v>NÃO ENCONTRADO</v>
      </c>
      <c r="U8" s="43">
        <v>0</v>
      </c>
      <c r="W8" s="48" t="s">
        <v>23</v>
      </c>
      <c r="X8" s="49" t="s">
        <v>6</v>
      </c>
      <c r="Y8" s="49">
        <v>44</v>
      </c>
      <c r="Z8" s="50">
        <v>54.9</v>
      </c>
    </row>
    <row r="9" spans="1:26" ht="15" thickBot="1" x14ac:dyDescent="0.4">
      <c r="A9" s="79">
        <v>987</v>
      </c>
      <c r="B9" s="11" t="str">
        <f t="shared" si="0"/>
        <v>000987 - ALHO PORO PICADO KG</v>
      </c>
      <c r="C9" s="12">
        <v>0.05</v>
      </c>
      <c r="D9" s="73">
        <v>6997</v>
      </c>
      <c r="E9" s="60" t="str">
        <f t="shared" si="2"/>
        <v>006997 - BATATA PIRULITO PRE COZIDA 1 KG</v>
      </c>
      <c r="F9" s="18">
        <v>0.5</v>
      </c>
      <c r="G9" s="75">
        <v>987</v>
      </c>
      <c r="H9" s="25" t="str">
        <f t="shared" si="1"/>
        <v>000987 - ALHO PORO PICADO KG</v>
      </c>
      <c r="I9" s="26">
        <v>0.05</v>
      </c>
      <c r="J9" s="81">
        <v>6997</v>
      </c>
      <c r="K9" s="30" t="str">
        <f t="shared" si="3"/>
        <v>006997 - BATATA PIRULITO PRE COZIDA 1 KG</v>
      </c>
      <c r="L9" s="31">
        <v>0.5</v>
      </c>
      <c r="M9" s="59">
        <v>987</v>
      </c>
      <c r="N9" s="17" t="str">
        <f t="shared" si="4"/>
        <v>000987 - ALHO PORO PICADO KG</v>
      </c>
      <c r="O9" s="18">
        <v>0.05</v>
      </c>
      <c r="P9" s="86">
        <v>9151</v>
      </c>
      <c r="Q9" s="25" t="str">
        <f t="shared" si="5"/>
        <v>009151 - KIT VINAGRETE NO POTE</v>
      </c>
      <c r="R9" s="8">
        <v>0.4</v>
      </c>
      <c r="S9" s="40">
        <v>0</v>
      </c>
      <c r="T9" s="41" t="str">
        <f t="shared" si="6"/>
        <v>NÃO ENCONTRADO</v>
      </c>
      <c r="U9" s="42">
        <v>0</v>
      </c>
      <c r="W9" s="51" t="s">
        <v>24</v>
      </c>
      <c r="X9" s="52" t="s">
        <v>6</v>
      </c>
      <c r="Y9" s="52">
        <v>6997</v>
      </c>
      <c r="Z9" s="53">
        <v>15.9</v>
      </c>
    </row>
    <row r="10" spans="1:26" ht="15" thickBot="1" x14ac:dyDescent="0.4">
      <c r="A10" s="80">
        <v>102481</v>
      </c>
      <c r="B10" s="11" t="str">
        <f t="shared" si="0"/>
        <v>102481 - ALFACE AMERICANA 200G</v>
      </c>
      <c r="C10" s="13">
        <v>1</v>
      </c>
      <c r="D10" s="58">
        <v>9394</v>
      </c>
      <c r="E10" s="60" t="str">
        <f t="shared" si="2"/>
        <v>009394 - KIT PARA CARNE DE PANELA BENDITO KG</v>
      </c>
      <c r="F10" s="19">
        <v>0.5</v>
      </c>
      <c r="G10" s="76">
        <v>102481</v>
      </c>
      <c r="H10" s="25" t="str">
        <f t="shared" si="1"/>
        <v>102481 - ALFACE AMERICANA 200G</v>
      </c>
      <c r="I10" s="26">
        <v>1</v>
      </c>
      <c r="J10" s="82">
        <v>345</v>
      </c>
      <c r="K10" s="30" t="str">
        <f t="shared" si="3"/>
        <v>000345 - CENOURA RALADA KG</v>
      </c>
      <c r="L10" s="32">
        <v>0.5</v>
      </c>
      <c r="M10" s="58">
        <v>102481</v>
      </c>
      <c r="N10" s="17" t="str">
        <f t="shared" si="4"/>
        <v>102481 - ALFACE AMERICANA 200G</v>
      </c>
      <c r="O10" s="19">
        <v>1</v>
      </c>
      <c r="P10" s="85">
        <v>9152</v>
      </c>
      <c r="Q10" s="25" t="str">
        <f t="shared" si="5"/>
        <v>009152 - KIT YAKISSOBA KG</v>
      </c>
      <c r="R10" s="8">
        <v>0.4</v>
      </c>
      <c r="S10" s="40">
        <v>0</v>
      </c>
      <c r="T10" s="41" t="str">
        <f t="shared" si="6"/>
        <v>NÃO ENCONTRADO</v>
      </c>
      <c r="U10" s="43">
        <v>0</v>
      </c>
      <c r="W10" s="48" t="s">
        <v>25</v>
      </c>
      <c r="X10" s="49" t="s">
        <v>6</v>
      </c>
      <c r="Y10" s="49">
        <v>337</v>
      </c>
      <c r="Z10" s="50">
        <v>14.9</v>
      </c>
    </row>
    <row r="11" spans="1:26" ht="15" thickBot="1" x14ac:dyDescent="0.4">
      <c r="A11" s="78">
        <v>6528</v>
      </c>
      <c r="B11" s="11" t="str">
        <f t="shared" si="0"/>
        <v>006528 - SALADA TROPICAL KG - REP.ROX.CEN.ACEL.BETER</v>
      </c>
      <c r="C11" s="12">
        <v>1</v>
      </c>
      <c r="D11" s="17">
        <v>0</v>
      </c>
      <c r="E11" s="60" t="str">
        <f t="shared" si="2"/>
        <v>NÃO ENCONTRADO</v>
      </c>
      <c r="F11" s="18">
        <v>0</v>
      </c>
      <c r="G11" s="74">
        <v>6528</v>
      </c>
      <c r="H11" s="25" t="str">
        <f t="shared" si="1"/>
        <v>006528 - SALADA TROPICAL KG - REP.ROX.CEN.ACEL.BETER</v>
      </c>
      <c r="I11" s="26">
        <v>1</v>
      </c>
      <c r="J11" s="82">
        <v>781</v>
      </c>
      <c r="K11" s="30" t="str">
        <f t="shared" si="3"/>
        <v>000781 - CENOURA C/ VAGEM PICADO KG</v>
      </c>
      <c r="L11" s="31">
        <v>0.2</v>
      </c>
      <c r="M11" s="17">
        <v>6528</v>
      </c>
      <c r="N11" s="17" t="str">
        <f t="shared" si="4"/>
        <v>006528 - SALADA TROPICAL KG - REP.ROX.CEN.ACEL.BETER</v>
      </c>
      <c r="O11" s="18">
        <v>1</v>
      </c>
      <c r="P11" s="86">
        <v>0</v>
      </c>
      <c r="Q11" s="25" t="str">
        <f t="shared" si="5"/>
        <v>NÃO ENCONTRADO</v>
      </c>
      <c r="R11" s="8">
        <v>0</v>
      </c>
      <c r="S11" s="40">
        <v>0</v>
      </c>
      <c r="T11" s="41" t="str">
        <f t="shared" si="6"/>
        <v>NÃO ENCONTRADO</v>
      </c>
      <c r="U11" s="42">
        <v>0</v>
      </c>
      <c r="W11" s="51" t="s">
        <v>26</v>
      </c>
      <c r="X11" s="52" t="s">
        <v>7</v>
      </c>
      <c r="Y11" s="52">
        <v>6008</v>
      </c>
      <c r="Z11" s="53">
        <v>7.99</v>
      </c>
    </row>
    <row r="12" spans="1:26" ht="15" thickBot="1" x14ac:dyDescent="0.4">
      <c r="A12" s="72">
        <v>9404</v>
      </c>
      <c r="B12" s="11" t="str">
        <f t="shared" si="0"/>
        <v>009404 - MIX DE FOLHAS ALF/AMERICANA/RUCULA/TOMATE CEREJA</v>
      </c>
      <c r="C12" s="13">
        <v>1</v>
      </c>
      <c r="D12" s="17">
        <v>0</v>
      </c>
      <c r="E12" s="60" t="str">
        <f t="shared" si="2"/>
        <v>NÃO ENCONTRADO</v>
      </c>
      <c r="F12" s="19">
        <v>0</v>
      </c>
      <c r="G12" s="77">
        <v>9404</v>
      </c>
      <c r="H12" s="25" t="str">
        <f t="shared" si="1"/>
        <v>009404 - MIX DE FOLHAS ALF/AMERICANA/RUCULA/TOMATE CEREJA</v>
      </c>
      <c r="I12" s="26">
        <v>1</v>
      </c>
      <c r="J12" s="82">
        <v>5604</v>
      </c>
      <c r="K12" s="30" t="str">
        <f t="shared" si="3"/>
        <v xml:space="preserve">005604 - KIT MAIONESE KG </v>
      </c>
      <c r="L12" s="32">
        <v>0.4</v>
      </c>
      <c r="M12" s="73">
        <v>9404</v>
      </c>
      <c r="N12" s="17" t="str">
        <f t="shared" si="4"/>
        <v>009404 - MIX DE FOLHAS ALF/AMERICANA/RUCULA/TOMATE CEREJA</v>
      </c>
      <c r="O12" s="19">
        <v>1</v>
      </c>
      <c r="P12" s="25">
        <v>0</v>
      </c>
      <c r="Q12" s="25" t="str">
        <f t="shared" si="5"/>
        <v>NÃO ENCONTRADO</v>
      </c>
      <c r="R12" s="8">
        <v>0</v>
      </c>
      <c r="S12" s="40">
        <v>0</v>
      </c>
      <c r="T12" s="41" t="str">
        <f t="shared" si="6"/>
        <v>NÃO ENCONTRADO</v>
      </c>
      <c r="U12" s="43">
        <v>0</v>
      </c>
      <c r="W12" s="48" t="s">
        <v>27</v>
      </c>
      <c r="X12" s="49" t="s">
        <v>6</v>
      </c>
      <c r="Y12" s="49">
        <v>94333</v>
      </c>
      <c r="Z12" s="50">
        <v>28.9</v>
      </c>
    </row>
    <row r="13" spans="1:26" ht="15" thickBot="1" x14ac:dyDescent="0.4">
      <c r="A13" s="72">
        <v>9413</v>
      </c>
      <c r="B13" s="11" t="str">
        <f t="shared" si="0"/>
        <v>009413 - RUCULA HIGIENIZADA 200G</v>
      </c>
      <c r="C13" s="12">
        <v>1</v>
      </c>
      <c r="D13" s="17">
        <v>0</v>
      </c>
      <c r="E13" s="60" t="str">
        <f>_xlfn.XLOOKUP(D13,Y:Y,W:W,"NÃO ENCONTRADO")</f>
        <v>NÃO ENCONTRADO</v>
      </c>
      <c r="F13" s="18">
        <v>0</v>
      </c>
      <c r="G13" s="77">
        <v>9413</v>
      </c>
      <c r="H13" s="25" t="str">
        <f t="shared" si="1"/>
        <v>009413 - RUCULA HIGIENIZADA 200G</v>
      </c>
      <c r="I13" s="26">
        <v>1</v>
      </c>
      <c r="J13" s="30">
        <v>9152</v>
      </c>
      <c r="K13" s="30" t="str">
        <f t="shared" si="3"/>
        <v>009152 - KIT YAKISSOBA KG</v>
      </c>
      <c r="L13" s="31">
        <v>0.4</v>
      </c>
      <c r="M13" s="73">
        <v>9413</v>
      </c>
      <c r="N13" s="17" t="str">
        <f t="shared" si="4"/>
        <v>009413 - RUCULA HIGIENIZADA 200G</v>
      </c>
      <c r="O13" s="18">
        <v>1</v>
      </c>
      <c r="P13" s="25">
        <v>0</v>
      </c>
      <c r="Q13" s="25" t="str">
        <f t="shared" si="5"/>
        <v>NÃO ENCONTRADO</v>
      </c>
      <c r="R13" s="8">
        <v>0</v>
      </c>
      <c r="S13" s="40">
        <v>0</v>
      </c>
      <c r="T13" s="41" t="str">
        <f t="shared" si="6"/>
        <v>NÃO ENCONTRADO</v>
      </c>
      <c r="U13" s="42">
        <v>0</v>
      </c>
      <c r="W13" s="51" t="s">
        <v>28</v>
      </c>
      <c r="X13" s="52" t="s">
        <v>6</v>
      </c>
      <c r="Y13" s="52">
        <v>6664</v>
      </c>
      <c r="Z13" s="53">
        <v>9.99</v>
      </c>
    </row>
    <row r="14" spans="1:26" ht="15" thickBot="1" x14ac:dyDescent="0.4">
      <c r="A14" s="72">
        <v>9395</v>
      </c>
      <c r="B14" s="11" t="str">
        <f t="shared" si="0"/>
        <v>009395 - MIX DE FOLHAS ALF/CRESPA/ROXA CENORURA RALADA 200G</v>
      </c>
      <c r="C14" s="13">
        <v>1</v>
      </c>
      <c r="D14" s="17">
        <v>0</v>
      </c>
      <c r="E14" s="60" t="str">
        <f t="shared" si="2"/>
        <v>NÃO ENCONTRADO</v>
      </c>
      <c r="F14" s="19">
        <v>0</v>
      </c>
      <c r="G14" s="77">
        <v>9395</v>
      </c>
      <c r="H14" s="25" t="str">
        <f t="shared" si="1"/>
        <v>009395 - MIX DE FOLHAS ALF/CRESPA/ROXA CENORURA RALADA 200G</v>
      </c>
      <c r="I14" s="26">
        <v>1</v>
      </c>
      <c r="J14" s="30">
        <v>0</v>
      </c>
      <c r="K14" s="30" t="str">
        <f t="shared" si="3"/>
        <v>NÃO ENCONTRADO</v>
      </c>
      <c r="L14" s="32">
        <v>0</v>
      </c>
      <c r="M14" s="73">
        <v>9395</v>
      </c>
      <c r="N14" s="17" t="str">
        <f t="shared" si="4"/>
        <v>009395 - MIX DE FOLHAS ALF/CRESPA/ROXA CENORURA RALADA 200G</v>
      </c>
      <c r="O14" s="19">
        <v>1</v>
      </c>
      <c r="P14" s="25">
        <v>0</v>
      </c>
      <c r="Q14" s="25" t="str">
        <f t="shared" si="5"/>
        <v>NÃO ENCONTRADO</v>
      </c>
      <c r="R14" s="8">
        <v>0</v>
      </c>
      <c r="S14" s="40">
        <v>0</v>
      </c>
      <c r="T14" s="41" t="str">
        <f t="shared" si="6"/>
        <v>NÃO ENCONTRADO</v>
      </c>
      <c r="U14" s="43">
        <v>0</v>
      </c>
      <c r="W14" s="48" t="s">
        <v>29</v>
      </c>
      <c r="X14" s="49" t="s">
        <v>6</v>
      </c>
      <c r="Y14" s="49">
        <v>6567</v>
      </c>
      <c r="Z14" s="50">
        <v>9.9</v>
      </c>
    </row>
    <row r="15" spans="1:26" ht="15" thickBot="1" x14ac:dyDescent="0.4">
      <c r="A15" s="72">
        <v>0</v>
      </c>
      <c r="B15" s="11" t="str">
        <f t="shared" si="0"/>
        <v>NÃO ENCONTRADO</v>
      </c>
      <c r="C15" s="12">
        <v>0</v>
      </c>
      <c r="D15" s="17">
        <v>0</v>
      </c>
      <c r="E15" s="60" t="str">
        <f t="shared" si="2"/>
        <v>NÃO ENCONTRADO</v>
      </c>
      <c r="F15" s="18">
        <v>0</v>
      </c>
      <c r="G15" s="24">
        <v>0</v>
      </c>
      <c r="H15" s="25" t="str">
        <f t="shared" si="1"/>
        <v>NÃO ENCONTRADO</v>
      </c>
      <c r="I15" s="26">
        <v>0</v>
      </c>
      <c r="J15" s="30">
        <v>0</v>
      </c>
      <c r="K15" s="30" t="str">
        <f t="shared" si="3"/>
        <v>NÃO ENCONTRADO</v>
      </c>
      <c r="L15" s="31">
        <v>0</v>
      </c>
      <c r="M15" s="36">
        <v>0</v>
      </c>
      <c r="N15" s="17" t="str">
        <f t="shared" si="4"/>
        <v>NÃO ENCONTRADO</v>
      </c>
      <c r="O15" s="18">
        <v>0</v>
      </c>
      <c r="P15" s="25">
        <v>0</v>
      </c>
      <c r="Q15" s="25" t="str">
        <f t="shared" si="5"/>
        <v>NÃO ENCONTRADO</v>
      </c>
      <c r="R15" s="8">
        <v>0</v>
      </c>
      <c r="S15" s="40">
        <v>0</v>
      </c>
      <c r="T15" s="41" t="str">
        <f t="shared" si="6"/>
        <v>NÃO ENCONTRADO</v>
      </c>
      <c r="U15" s="42">
        <v>0</v>
      </c>
      <c r="W15" s="51" t="s">
        <v>30</v>
      </c>
      <c r="X15" s="52" t="s">
        <v>6</v>
      </c>
      <c r="Y15" s="52">
        <v>781</v>
      </c>
      <c r="Z15" s="53">
        <v>35.9</v>
      </c>
    </row>
    <row r="16" spans="1:26" ht="15" thickBot="1" x14ac:dyDescent="0.4">
      <c r="A16" s="11">
        <v>0</v>
      </c>
      <c r="B16" s="11" t="str">
        <f t="shared" si="0"/>
        <v>NÃO ENCONTRADO</v>
      </c>
      <c r="C16" s="13">
        <v>0</v>
      </c>
      <c r="D16" s="17">
        <v>0</v>
      </c>
      <c r="E16" s="60" t="str">
        <f t="shared" si="2"/>
        <v>NÃO ENCONTRADO</v>
      </c>
      <c r="F16" s="19">
        <v>0</v>
      </c>
      <c r="G16" s="24">
        <v>0</v>
      </c>
      <c r="H16" s="25" t="str">
        <f t="shared" si="1"/>
        <v>NÃO ENCONTRADO</v>
      </c>
      <c r="I16" s="26">
        <v>0</v>
      </c>
      <c r="J16" s="30">
        <v>0</v>
      </c>
      <c r="K16" s="30" t="str">
        <f t="shared" si="3"/>
        <v>NÃO ENCONTRADO</v>
      </c>
      <c r="L16" s="32">
        <v>0</v>
      </c>
      <c r="M16" s="36">
        <v>0</v>
      </c>
      <c r="N16" s="17" t="str">
        <f t="shared" si="4"/>
        <v>NÃO ENCONTRADO</v>
      </c>
      <c r="O16" s="19">
        <v>0</v>
      </c>
      <c r="P16" s="25">
        <v>0</v>
      </c>
      <c r="Q16" s="25" t="str">
        <f t="shared" si="5"/>
        <v>NÃO ENCONTRADO</v>
      </c>
      <c r="R16" s="8">
        <v>0</v>
      </c>
      <c r="S16" s="40">
        <v>0</v>
      </c>
      <c r="T16" s="41" t="str">
        <f t="shared" si="6"/>
        <v>NÃO ENCONTRADO</v>
      </c>
      <c r="U16" s="43">
        <v>0</v>
      </c>
      <c r="W16" s="48" t="s">
        <v>31</v>
      </c>
      <c r="X16" s="49" t="s">
        <v>6</v>
      </c>
      <c r="Y16" s="49">
        <v>312</v>
      </c>
      <c r="Z16" s="50">
        <v>19.899999999999999</v>
      </c>
    </row>
    <row r="17" spans="1:26" ht="15" thickBot="1" x14ac:dyDescent="0.4">
      <c r="A17" s="11">
        <v>0</v>
      </c>
      <c r="B17" s="11" t="str">
        <f t="shared" si="0"/>
        <v>NÃO ENCONTRADO</v>
      </c>
      <c r="C17" s="12">
        <v>0</v>
      </c>
      <c r="D17" s="17">
        <v>0</v>
      </c>
      <c r="E17" s="60" t="str">
        <f t="shared" si="2"/>
        <v>NÃO ENCONTRADO</v>
      </c>
      <c r="F17" s="18">
        <v>0</v>
      </c>
      <c r="G17" s="24">
        <v>0</v>
      </c>
      <c r="H17" s="25" t="str">
        <f t="shared" si="1"/>
        <v>NÃO ENCONTRADO</v>
      </c>
      <c r="I17" s="26">
        <v>0</v>
      </c>
      <c r="J17" s="30">
        <v>0</v>
      </c>
      <c r="K17" s="30" t="str">
        <f t="shared" si="3"/>
        <v>NÃO ENCONTRADO</v>
      </c>
      <c r="L17" s="31">
        <v>0</v>
      </c>
      <c r="M17" s="36">
        <v>0</v>
      </c>
      <c r="N17" s="17" t="str">
        <f t="shared" si="4"/>
        <v>NÃO ENCONTRADO</v>
      </c>
      <c r="O17" s="18">
        <v>0</v>
      </c>
      <c r="P17" s="25">
        <v>0</v>
      </c>
      <c r="Q17" s="25" t="str">
        <f t="shared" si="5"/>
        <v>NÃO ENCONTRADO</v>
      </c>
      <c r="R17" s="8">
        <v>0</v>
      </c>
      <c r="S17" s="40">
        <v>0</v>
      </c>
      <c r="T17" s="41" t="str">
        <f t="shared" si="6"/>
        <v>NÃO ENCONTRADO</v>
      </c>
      <c r="U17" s="42">
        <v>0</v>
      </c>
      <c r="W17" s="51" t="s">
        <v>32</v>
      </c>
      <c r="X17" s="52" t="s">
        <v>6</v>
      </c>
      <c r="Y17" s="52">
        <v>345</v>
      </c>
      <c r="Z17" s="53">
        <v>19.899999999999999</v>
      </c>
    </row>
    <row r="18" spans="1:26" ht="15" thickBot="1" x14ac:dyDescent="0.4">
      <c r="A18" s="11">
        <v>0</v>
      </c>
      <c r="B18" s="11" t="str">
        <f t="shared" si="0"/>
        <v>NÃO ENCONTRADO</v>
      </c>
      <c r="C18" s="13">
        <v>0</v>
      </c>
      <c r="D18" s="17">
        <v>0</v>
      </c>
      <c r="E18" s="60" t="str">
        <f t="shared" si="2"/>
        <v>NÃO ENCONTRADO</v>
      </c>
      <c r="F18" s="19">
        <v>0</v>
      </c>
      <c r="G18" s="24">
        <v>0</v>
      </c>
      <c r="H18" s="25" t="str">
        <f t="shared" si="1"/>
        <v>NÃO ENCONTRADO</v>
      </c>
      <c r="I18" s="26">
        <v>0</v>
      </c>
      <c r="J18" s="30">
        <v>0</v>
      </c>
      <c r="K18" s="30" t="str">
        <f t="shared" si="3"/>
        <v>NÃO ENCONTRADO</v>
      </c>
      <c r="L18" s="32">
        <v>0</v>
      </c>
      <c r="M18" s="36">
        <v>0</v>
      </c>
      <c r="N18" s="17" t="str">
        <f t="shared" si="4"/>
        <v>NÃO ENCONTRADO</v>
      </c>
      <c r="O18" s="19">
        <v>0</v>
      </c>
      <c r="P18" s="25">
        <v>0</v>
      </c>
      <c r="Q18" s="25" t="str">
        <f t="shared" si="5"/>
        <v>NÃO ENCONTRADO</v>
      </c>
      <c r="R18" s="8">
        <v>0</v>
      </c>
      <c r="S18" s="40">
        <v>0</v>
      </c>
      <c r="T18" s="41" t="str">
        <f t="shared" si="6"/>
        <v>NÃO ENCONTRADO</v>
      </c>
      <c r="U18" s="43">
        <v>0</v>
      </c>
      <c r="W18" s="48" t="s">
        <v>33</v>
      </c>
      <c r="X18" s="49" t="s">
        <v>6</v>
      </c>
      <c r="Y18" s="49">
        <v>311</v>
      </c>
      <c r="Z18" s="50">
        <v>29.9</v>
      </c>
    </row>
    <row r="19" spans="1:26" ht="15" thickBot="1" x14ac:dyDescent="0.4">
      <c r="A19" s="11">
        <v>0</v>
      </c>
      <c r="B19" s="11" t="str">
        <f t="shared" si="0"/>
        <v>NÃO ENCONTRADO</v>
      </c>
      <c r="C19" s="12">
        <v>0</v>
      </c>
      <c r="D19" s="17">
        <v>0</v>
      </c>
      <c r="E19" s="60" t="str">
        <f t="shared" si="2"/>
        <v>NÃO ENCONTRADO</v>
      </c>
      <c r="F19" s="18">
        <v>0</v>
      </c>
      <c r="G19" s="24">
        <v>0</v>
      </c>
      <c r="H19" s="25" t="str">
        <f t="shared" si="1"/>
        <v>NÃO ENCONTRADO</v>
      </c>
      <c r="I19" s="26">
        <v>0</v>
      </c>
      <c r="J19" s="30">
        <v>0</v>
      </c>
      <c r="K19" s="30" t="str">
        <f t="shared" si="3"/>
        <v>NÃO ENCONTRADO</v>
      </c>
      <c r="L19" s="31">
        <v>0</v>
      </c>
      <c r="M19" s="36">
        <v>0</v>
      </c>
      <c r="N19" s="17" t="str">
        <f t="shared" si="4"/>
        <v>NÃO ENCONTRADO</v>
      </c>
      <c r="O19" s="18">
        <v>0</v>
      </c>
      <c r="P19" s="25">
        <v>0</v>
      </c>
      <c r="Q19" s="25" t="str">
        <f t="shared" si="5"/>
        <v>NÃO ENCONTRADO</v>
      </c>
      <c r="R19" s="8">
        <v>0</v>
      </c>
      <c r="S19" s="40">
        <v>0</v>
      </c>
      <c r="T19" s="41" t="str">
        <f t="shared" si="6"/>
        <v>NÃO ENCONTRADO</v>
      </c>
      <c r="U19" s="42">
        <v>0</v>
      </c>
      <c r="W19" s="51" t="s">
        <v>34</v>
      </c>
      <c r="X19" s="52" t="s">
        <v>6</v>
      </c>
      <c r="Y19" s="52">
        <v>96539</v>
      </c>
      <c r="Z19" s="53">
        <v>79.900000000000006</v>
      </c>
    </row>
    <row r="20" spans="1:26" ht="15" thickBot="1" x14ac:dyDescent="0.4">
      <c r="A20" s="11">
        <v>0</v>
      </c>
      <c r="B20" s="11" t="str">
        <f t="shared" si="0"/>
        <v>NÃO ENCONTRADO</v>
      </c>
      <c r="C20" s="13">
        <v>0</v>
      </c>
      <c r="D20" s="17">
        <v>0</v>
      </c>
      <c r="E20" s="60" t="str">
        <f t="shared" si="2"/>
        <v>NÃO ENCONTRADO</v>
      </c>
      <c r="F20" s="19">
        <v>0</v>
      </c>
      <c r="G20" s="24">
        <v>0</v>
      </c>
      <c r="H20" s="25" t="str">
        <f t="shared" si="1"/>
        <v>NÃO ENCONTRADO</v>
      </c>
      <c r="I20" s="26">
        <v>0</v>
      </c>
      <c r="J20" s="30">
        <v>0</v>
      </c>
      <c r="K20" s="30" t="str">
        <f t="shared" si="3"/>
        <v>NÃO ENCONTRADO</v>
      </c>
      <c r="L20" s="32">
        <v>0</v>
      </c>
      <c r="M20" s="36">
        <v>0</v>
      </c>
      <c r="N20" s="17" t="str">
        <f t="shared" si="4"/>
        <v>NÃO ENCONTRADO</v>
      </c>
      <c r="O20" s="19">
        <v>0</v>
      </c>
      <c r="P20" s="25">
        <v>0</v>
      </c>
      <c r="Q20" s="25" t="str">
        <f t="shared" si="5"/>
        <v>NÃO ENCONTRADO</v>
      </c>
      <c r="R20" s="8">
        <v>0</v>
      </c>
      <c r="S20" s="40">
        <v>0</v>
      </c>
      <c r="T20" s="41" t="str">
        <f t="shared" si="6"/>
        <v>NÃO ENCONTRADO</v>
      </c>
      <c r="U20" s="43">
        <v>0</v>
      </c>
      <c r="W20" s="48" t="s">
        <v>35</v>
      </c>
      <c r="X20" s="49" t="s">
        <v>6</v>
      </c>
      <c r="Y20" s="49">
        <v>228</v>
      </c>
      <c r="Z20" s="50">
        <v>52.9</v>
      </c>
    </row>
    <row r="21" spans="1:26" ht="15" thickBot="1" x14ac:dyDescent="0.4">
      <c r="A21" s="11">
        <v>0</v>
      </c>
      <c r="B21" s="11" t="str">
        <f t="shared" si="0"/>
        <v>NÃO ENCONTRADO</v>
      </c>
      <c r="C21" s="12">
        <v>0</v>
      </c>
      <c r="D21" s="17">
        <v>0</v>
      </c>
      <c r="E21" s="60" t="str">
        <f t="shared" si="2"/>
        <v>NÃO ENCONTRADO</v>
      </c>
      <c r="F21" s="18">
        <v>0</v>
      </c>
      <c r="G21" s="24">
        <v>0</v>
      </c>
      <c r="H21" s="25" t="str">
        <f t="shared" si="1"/>
        <v>NÃO ENCONTRADO</v>
      </c>
      <c r="I21" s="26">
        <v>0</v>
      </c>
      <c r="J21" s="30">
        <v>0</v>
      </c>
      <c r="K21" s="30" t="str">
        <f t="shared" si="3"/>
        <v>NÃO ENCONTRADO</v>
      </c>
      <c r="L21" s="31">
        <v>0</v>
      </c>
      <c r="M21" s="36">
        <v>0</v>
      </c>
      <c r="N21" s="17" t="str">
        <f t="shared" si="4"/>
        <v>NÃO ENCONTRADO</v>
      </c>
      <c r="O21" s="18">
        <v>0</v>
      </c>
      <c r="P21" s="25">
        <v>0</v>
      </c>
      <c r="Q21" s="25" t="str">
        <f t="shared" si="5"/>
        <v>NÃO ENCONTRADO</v>
      </c>
      <c r="R21" s="8">
        <v>0</v>
      </c>
      <c r="S21" s="40">
        <v>0</v>
      </c>
      <c r="T21" s="41" t="str">
        <f t="shared" si="6"/>
        <v>NÃO ENCONTRADO</v>
      </c>
      <c r="U21" s="42">
        <v>0</v>
      </c>
      <c r="W21" s="51" t="s">
        <v>36</v>
      </c>
      <c r="X21" s="52" t="s">
        <v>6</v>
      </c>
      <c r="Y21" s="52">
        <v>6150</v>
      </c>
      <c r="Z21" s="53">
        <v>39.9</v>
      </c>
    </row>
    <row r="22" spans="1:26" ht="15" thickBot="1" x14ac:dyDescent="0.4">
      <c r="A22" s="11">
        <v>0</v>
      </c>
      <c r="B22" s="11" t="str">
        <f t="shared" si="0"/>
        <v>NÃO ENCONTRADO</v>
      </c>
      <c r="C22" s="13">
        <v>0</v>
      </c>
      <c r="D22" s="17">
        <v>0</v>
      </c>
      <c r="E22" s="60" t="str">
        <f t="shared" si="2"/>
        <v>NÃO ENCONTRADO</v>
      </c>
      <c r="F22" s="19">
        <v>0</v>
      </c>
      <c r="G22" s="24">
        <v>0</v>
      </c>
      <c r="H22" s="25" t="str">
        <f t="shared" si="1"/>
        <v>NÃO ENCONTRADO</v>
      </c>
      <c r="I22" s="26">
        <v>0</v>
      </c>
      <c r="J22" s="30">
        <v>0</v>
      </c>
      <c r="K22" s="30" t="str">
        <f t="shared" si="3"/>
        <v>NÃO ENCONTRADO</v>
      </c>
      <c r="L22" s="32">
        <v>0</v>
      </c>
      <c r="M22" s="36">
        <v>0</v>
      </c>
      <c r="N22" s="17" t="str">
        <f t="shared" si="4"/>
        <v>NÃO ENCONTRADO</v>
      </c>
      <c r="O22" s="19">
        <v>0</v>
      </c>
      <c r="P22" s="25">
        <v>0</v>
      </c>
      <c r="Q22" s="25" t="str">
        <f t="shared" si="5"/>
        <v>NÃO ENCONTRADO</v>
      </c>
      <c r="R22" s="8">
        <v>0</v>
      </c>
      <c r="S22" s="40">
        <v>0</v>
      </c>
      <c r="T22" s="41" t="str">
        <f t="shared" si="6"/>
        <v>NÃO ENCONTRADO</v>
      </c>
      <c r="U22" s="43">
        <v>0</v>
      </c>
      <c r="W22" s="48" t="s">
        <v>37</v>
      </c>
      <c r="X22" s="49" t="s">
        <v>7</v>
      </c>
      <c r="Y22" s="49">
        <v>6661</v>
      </c>
      <c r="Z22" s="50">
        <v>4.99</v>
      </c>
    </row>
    <row r="23" spans="1:26" ht="15" thickBot="1" x14ac:dyDescent="0.4">
      <c r="A23" s="11">
        <v>0</v>
      </c>
      <c r="B23" s="11" t="str">
        <f t="shared" si="0"/>
        <v>NÃO ENCONTRADO</v>
      </c>
      <c r="C23" s="12">
        <v>0</v>
      </c>
      <c r="D23" s="17">
        <v>0</v>
      </c>
      <c r="E23" s="60" t="str">
        <f t="shared" si="2"/>
        <v>NÃO ENCONTRADO</v>
      </c>
      <c r="F23" s="18">
        <v>0</v>
      </c>
      <c r="G23" s="24">
        <v>0</v>
      </c>
      <c r="H23" s="25" t="str">
        <f t="shared" si="1"/>
        <v>NÃO ENCONTRADO</v>
      </c>
      <c r="I23" s="26">
        <v>0</v>
      </c>
      <c r="J23" s="30">
        <v>0</v>
      </c>
      <c r="K23" s="30" t="str">
        <f t="shared" si="3"/>
        <v>NÃO ENCONTRADO</v>
      </c>
      <c r="L23" s="31">
        <v>0</v>
      </c>
      <c r="M23" s="36">
        <v>0</v>
      </c>
      <c r="N23" s="17" t="str">
        <f t="shared" si="4"/>
        <v>NÃO ENCONTRADO</v>
      </c>
      <c r="O23" s="18">
        <v>0</v>
      </c>
      <c r="P23" s="25">
        <v>0</v>
      </c>
      <c r="Q23" s="25" t="str">
        <f t="shared" si="5"/>
        <v>NÃO ENCONTRADO</v>
      </c>
      <c r="R23" s="8">
        <v>0</v>
      </c>
      <c r="S23" s="40">
        <v>0</v>
      </c>
      <c r="T23" s="41" t="str">
        <f t="shared" si="6"/>
        <v>NÃO ENCONTRADO</v>
      </c>
      <c r="U23" s="42">
        <v>0</v>
      </c>
      <c r="W23" s="51" t="s">
        <v>38</v>
      </c>
      <c r="X23" s="52" t="s">
        <v>7</v>
      </c>
      <c r="Y23" s="52">
        <v>5799</v>
      </c>
      <c r="Z23" s="53">
        <v>12.9</v>
      </c>
    </row>
    <row r="24" spans="1:26" ht="15" thickBot="1" x14ac:dyDescent="0.4">
      <c r="A24" s="11">
        <v>0</v>
      </c>
      <c r="B24" s="11" t="str">
        <f t="shared" si="0"/>
        <v>NÃO ENCONTRADO</v>
      </c>
      <c r="C24" s="13">
        <v>0</v>
      </c>
      <c r="D24" s="17">
        <v>0</v>
      </c>
      <c r="E24" s="60" t="str">
        <f t="shared" si="2"/>
        <v>NÃO ENCONTRADO</v>
      </c>
      <c r="F24" s="19">
        <v>0</v>
      </c>
      <c r="G24" s="24">
        <v>0</v>
      </c>
      <c r="H24" s="25" t="str">
        <f t="shared" si="1"/>
        <v>NÃO ENCONTRADO</v>
      </c>
      <c r="I24" s="26">
        <v>0</v>
      </c>
      <c r="J24" s="30">
        <v>0</v>
      </c>
      <c r="K24" s="30" t="str">
        <f t="shared" si="3"/>
        <v>NÃO ENCONTRADO</v>
      </c>
      <c r="L24" s="32">
        <v>0</v>
      </c>
      <c r="M24" s="36">
        <v>0</v>
      </c>
      <c r="N24" s="17" t="str">
        <f t="shared" si="4"/>
        <v>NÃO ENCONTRADO</v>
      </c>
      <c r="O24" s="19">
        <v>0</v>
      </c>
      <c r="P24" s="25">
        <v>0</v>
      </c>
      <c r="Q24" s="25" t="str">
        <f t="shared" si="5"/>
        <v>NÃO ENCONTRADO</v>
      </c>
      <c r="R24" s="8">
        <v>0</v>
      </c>
      <c r="S24" s="40">
        <v>0</v>
      </c>
      <c r="T24" s="41" t="str">
        <f t="shared" si="6"/>
        <v>NÃO ENCONTRADO</v>
      </c>
      <c r="U24" s="43">
        <v>0</v>
      </c>
      <c r="W24" s="48" t="s">
        <v>39</v>
      </c>
      <c r="X24" s="49" t="s">
        <v>7</v>
      </c>
      <c r="Y24" s="49">
        <v>6662</v>
      </c>
      <c r="Z24" s="50">
        <v>3.99</v>
      </c>
    </row>
    <row r="25" spans="1:26" ht="15" thickBot="1" x14ac:dyDescent="0.4">
      <c r="A25" s="11">
        <v>0</v>
      </c>
      <c r="B25" s="11" t="str">
        <f t="shared" si="0"/>
        <v>NÃO ENCONTRADO</v>
      </c>
      <c r="C25" s="12">
        <v>0</v>
      </c>
      <c r="D25" s="17">
        <v>0</v>
      </c>
      <c r="E25" s="60" t="str">
        <f t="shared" si="2"/>
        <v>NÃO ENCONTRADO</v>
      </c>
      <c r="F25" s="18">
        <v>0</v>
      </c>
      <c r="G25" s="24">
        <v>0</v>
      </c>
      <c r="H25" s="25" t="str">
        <f t="shared" si="1"/>
        <v>NÃO ENCONTRADO</v>
      </c>
      <c r="I25" s="26">
        <v>0</v>
      </c>
      <c r="J25" s="30">
        <v>0</v>
      </c>
      <c r="K25" s="30" t="str">
        <f t="shared" si="3"/>
        <v>NÃO ENCONTRADO</v>
      </c>
      <c r="L25" s="31">
        <v>0</v>
      </c>
      <c r="M25" s="36">
        <v>0</v>
      </c>
      <c r="N25" s="17" t="str">
        <f t="shared" si="4"/>
        <v>NÃO ENCONTRADO</v>
      </c>
      <c r="O25" s="18">
        <v>0</v>
      </c>
      <c r="P25" s="25">
        <v>0</v>
      </c>
      <c r="Q25" s="25" t="str">
        <f t="shared" si="5"/>
        <v>NÃO ENCONTRADO</v>
      </c>
      <c r="R25" s="8">
        <v>0</v>
      </c>
      <c r="S25" s="40">
        <v>0</v>
      </c>
      <c r="T25" s="41" t="str">
        <f t="shared" si="6"/>
        <v>NÃO ENCONTRADO</v>
      </c>
      <c r="U25" s="42">
        <v>0</v>
      </c>
      <c r="W25" s="51" t="s">
        <v>40</v>
      </c>
      <c r="X25" s="52" t="s">
        <v>7</v>
      </c>
      <c r="Y25" s="52">
        <v>5851</v>
      </c>
      <c r="Z25" s="53">
        <v>16.989999999999998</v>
      </c>
    </row>
    <row r="26" spans="1:26" ht="15" thickBot="1" x14ac:dyDescent="0.4">
      <c r="A26" s="11">
        <v>0</v>
      </c>
      <c r="B26" s="11" t="str">
        <f t="shared" si="0"/>
        <v>NÃO ENCONTRADO</v>
      </c>
      <c r="C26" s="13">
        <v>0</v>
      </c>
      <c r="D26" s="17">
        <v>0</v>
      </c>
      <c r="E26" s="60" t="str">
        <f t="shared" si="2"/>
        <v>NÃO ENCONTRADO</v>
      </c>
      <c r="F26" s="19">
        <v>0</v>
      </c>
      <c r="G26" s="24">
        <v>0</v>
      </c>
      <c r="H26" s="25" t="str">
        <f t="shared" si="1"/>
        <v>NÃO ENCONTRADO</v>
      </c>
      <c r="I26" s="26">
        <v>0</v>
      </c>
      <c r="J26" s="30">
        <v>0</v>
      </c>
      <c r="K26" s="30" t="str">
        <f t="shared" si="3"/>
        <v>NÃO ENCONTRADO</v>
      </c>
      <c r="L26" s="32">
        <v>0</v>
      </c>
      <c r="M26" s="36">
        <v>0</v>
      </c>
      <c r="N26" s="17" t="str">
        <f t="shared" si="4"/>
        <v>NÃO ENCONTRADO</v>
      </c>
      <c r="O26" s="19">
        <v>0</v>
      </c>
      <c r="P26" s="25">
        <v>0</v>
      </c>
      <c r="Q26" s="25" t="str">
        <f t="shared" si="5"/>
        <v>NÃO ENCONTRADO</v>
      </c>
      <c r="R26" s="8">
        <v>0</v>
      </c>
      <c r="S26" s="40">
        <v>0</v>
      </c>
      <c r="T26" s="41" t="str">
        <f t="shared" si="6"/>
        <v>NÃO ENCONTRADO</v>
      </c>
      <c r="U26" s="43">
        <v>0</v>
      </c>
      <c r="W26" s="48" t="s">
        <v>41</v>
      </c>
      <c r="X26" s="49" t="s">
        <v>7</v>
      </c>
      <c r="Y26" s="49">
        <v>6142</v>
      </c>
      <c r="Z26" s="50">
        <v>9.9</v>
      </c>
    </row>
    <row r="27" spans="1:26" ht="15" thickBot="1" x14ac:dyDescent="0.4">
      <c r="A27" s="11">
        <v>0</v>
      </c>
      <c r="B27" s="11" t="str">
        <f t="shared" si="0"/>
        <v>NÃO ENCONTRADO</v>
      </c>
      <c r="C27" s="12">
        <v>0</v>
      </c>
      <c r="D27" s="17">
        <v>0</v>
      </c>
      <c r="E27" s="60" t="str">
        <f t="shared" si="2"/>
        <v>NÃO ENCONTRADO</v>
      </c>
      <c r="F27" s="18">
        <v>0</v>
      </c>
      <c r="G27" s="24">
        <v>0</v>
      </c>
      <c r="H27" s="25" t="str">
        <f t="shared" si="1"/>
        <v>NÃO ENCONTRADO</v>
      </c>
      <c r="I27" s="26">
        <v>0</v>
      </c>
      <c r="J27" s="30">
        <v>0</v>
      </c>
      <c r="K27" s="30" t="str">
        <f t="shared" si="3"/>
        <v>NÃO ENCONTRADO</v>
      </c>
      <c r="L27" s="31">
        <v>0</v>
      </c>
      <c r="M27" s="36">
        <v>0</v>
      </c>
      <c r="N27" s="17" t="str">
        <f t="shared" si="4"/>
        <v>NÃO ENCONTRADO</v>
      </c>
      <c r="O27" s="18">
        <v>0</v>
      </c>
      <c r="P27" s="25">
        <v>0</v>
      </c>
      <c r="Q27" s="25" t="str">
        <f t="shared" si="5"/>
        <v>NÃO ENCONTRADO</v>
      </c>
      <c r="R27" s="8">
        <v>0</v>
      </c>
      <c r="S27" s="40">
        <v>0</v>
      </c>
      <c r="T27" s="41" t="str">
        <f t="shared" si="6"/>
        <v>NÃO ENCONTRADO</v>
      </c>
      <c r="U27" s="42">
        <v>0</v>
      </c>
      <c r="W27" s="51" t="s">
        <v>42</v>
      </c>
      <c r="X27" s="52" t="s">
        <v>6</v>
      </c>
      <c r="Y27" s="52">
        <v>5370</v>
      </c>
      <c r="Z27" s="53">
        <v>19.899999999999999</v>
      </c>
    </row>
    <row r="28" spans="1:26" ht="15" thickBot="1" x14ac:dyDescent="0.4">
      <c r="A28" s="11">
        <v>0</v>
      </c>
      <c r="B28" s="11" t="str">
        <f t="shared" si="0"/>
        <v>NÃO ENCONTRADO</v>
      </c>
      <c r="C28" s="13">
        <v>0</v>
      </c>
      <c r="D28" s="17">
        <v>0</v>
      </c>
      <c r="E28" s="60" t="str">
        <f t="shared" si="2"/>
        <v>NÃO ENCONTRADO</v>
      </c>
      <c r="F28" s="19">
        <v>0</v>
      </c>
      <c r="G28" s="24">
        <v>0</v>
      </c>
      <c r="H28" s="25" t="str">
        <f t="shared" si="1"/>
        <v>NÃO ENCONTRADO</v>
      </c>
      <c r="I28" s="26">
        <v>0</v>
      </c>
      <c r="J28" s="30">
        <v>0</v>
      </c>
      <c r="K28" s="30" t="str">
        <f t="shared" si="3"/>
        <v>NÃO ENCONTRADO</v>
      </c>
      <c r="L28" s="32">
        <v>0</v>
      </c>
      <c r="M28" s="36">
        <v>0</v>
      </c>
      <c r="N28" s="17" t="str">
        <f t="shared" si="4"/>
        <v>NÃO ENCONTRADO</v>
      </c>
      <c r="O28" s="19">
        <v>0</v>
      </c>
      <c r="P28" s="25">
        <v>0</v>
      </c>
      <c r="Q28" s="25" t="str">
        <f t="shared" si="5"/>
        <v>NÃO ENCONTRADO</v>
      </c>
      <c r="R28" s="8">
        <v>0</v>
      </c>
      <c r="S28" s="40">
        <v>0</v>
      </c>
      <c r="T28" s="41" t="str">
        <f t="shared" si="6"/>
        <v>NÃO ENCONTRADO</v>
      </c>
      <c r="U28" s="43">
        <v>0</v>
      </c>
      <c r="W28" s="48" t="s">
        <v>43</v>
      </c>
      <c r="X28" s="49" t="s">
        <v>6</v>
      </c>
      <c r="Y28" s="49">
        <v>998</v>
      </c>
      <c r="Z28" s="50">
        <v>12.9</v>
      </c>
    </row>
    <row r="29" spans="1:26" ht="15" thickBot="1" x14ac:dyDescent="0.4">
      <c r="A29" s="11">
        <v>0</v>
      </c>
      <c r="B29" s="11" t="str">
        <f t="shared" si="0"/>
        <v>NÃO ENCONTRADO</v>
      </c>
      <c r="C29" s="12">
        <v>0</v>
      </c>
      <c r="D29" s="17">
        <v>0</v>
      </c>
      <c r="E29" s="60" t="str">
        <f t="shared" si="2"/>
        <v>NÃO ENCONTRADO</v>
      </c>
      <c r="F29" s="18">
        <v>0</v>
      </c>
      <c r="G29" s="24">
        <v>0</v>
      </c>
      <c r="H29" s="25" t="str">
        <f t="shared" si="1"/>
        <v>NÃO ENCONTRADO</v>
      </c>
      <c r="I29" s="26">
        <v>0</v>
      </c>
      <c r="J29" s="30">
        <v>0</v>
      </c>
      <c r="K29" s="30" t="str">
        <f t="shared" si="3"/>
        <v>NÃO ENCONTRADO</v>
      </c>
      <c r="L29" s="31">
        <v>0</v>
      </c>
      <c r="M29" s="36">
        <v>0</v>
      </c>
      <c r="N29" s="17" t="str">
        <f t="shared" si="4"/>
        <v>NÃO ENCONTRADO</v>
      </c>
      <c r="O29" s="18">
        <v>0</v>
      </c>
      <c r="P29" s="25">
        <v>0</v>
      </c>
      <c r="Q29" s="25" t="str">
        <f t="shared" si="5"/>
        <v>NÃO ENCONTRADO</v>
      </c>
      <c r="R29" s="8">
        <v>0</v>
      </c>
      <c r="S29" s="40">
        <v>0</v>
      </c>
      <c r="T29" s="41" t="str">
        <f t="shared" si="6"/>
        <v>NÃO ENCONTRADO</v>
      </c>
      <c r="U29" s="42">
        <v>0</v>
      </c>
      <c r="W29" s="51" t="s">
        <v>44</v>
      </c>
      <c r="X29" s="52" t="s">
        <v>6</v>
      </c>
      <c r="Y29" s="52">
        <v>4334</v>
      </c>
      <c r="Z29" s="53">
        <v>31.9</v>
      </c>
    </row>
    <row r="30" spans="1:26" ht="15" thickBot="1" x14ac:dyDescent="0.4">
      <c r="A30" s="11">
        <v>0</v>
      </c>
      <c r="B30" s="11" t="str">
        <f t="shared" si="0"/>
        <v>NÃO ENCONTRADO</v>
      </c>
      <c r="C30" s="13">
        <v>0</v>
      </c>
      <c r="D30" s="17">
        <v>0</v>
      </c>
      <c r="E30" s="60" t="str">
        <f t="shared" si="2"/>
        <v>NÃO ENCONTRADO</v>
      </c>
      <c r="F30" s="19">
        <v>0</v>
      </c>
      <c r="G30" s="24">
        <v>0</v>
      </c>
      <c r="H30" s="25" t="str">
        <f t="shared" si="1"/>
        <v>NÃO ENCONTRADO</v>
      </c>
      <c r="I30" s="26">
        <v>0</v>
      </c>
      <c r="J30" s="30">
        <v>0</v>
      </c>
      <c r="K30" s="30" t="str">
        <f t="shared" si="3"/>
        <v>NÃO ENCONTRADO</v>
      </c>
      <c r="L30" s="32">
        <v>0</v>
      </c>
      <c r="M30" s="36">
        <v>0</v>
      </c>
      <c r="N30" s="17" t="str">
        <f t="shared" si="4"/>
        <v>NÃO ENCONTRADO</v>
      </c>
      <c r="O30" s="19">
        <v>0</v>
      </c>
      <c r="P30" s="25">
        <v>0</v>
      </c>
      <c r="Q30" s="25" t="str">
        <f t="shared" si="5"/>
        <v>NÃO ENCONTRADO</v>
      </c>
      <c r="R30" s="8">
        <v>0</v>
      </c>
      <c r="S30" s="40">
        <v>0</v>
      </c>
      <c r="T30" s="41" t="str">
        <f t="shared" si="6"/>
        <v>NÃO ENCONTRADO</v>
      </c>
      <c r="U30" s="43">
        <v>0</v>
      </c>
      <c r="W30" s="48" t="s">
        <v>45</v>
      </c>
      <c r="X30" s="49" t="s">
        <v>6</v>
      </c>
      <c r="Y30" s="49">
        <v>8936</v>
      </c>
      <c r="Z30" s="50">
        <v>25.9</v>
      </c>
    </row>
    <row r="31" spans="1:26" ht="15" thickBot="1" x14ac:dyDescent="0.4">
      <c r="A31" s="11">
        <v>0</v>
      </c>
      <c r="B31" s="11" t="str">
        <f t="shared" si="0"/>
        <v>NÃO ENCONTRADO</v>
      </c>
      <c r="C31" s="12">
        <v>0</v>
      </c>
      <c r="D31" s="17">
        <v>0</v>
      </c>
      <c r="E31" s="60" t="str">
        <f t="shared" si="2"/>
        <v>NÃO ENCONTRADO</v>
      </c>
      <c r="F31" s="18">
        <v>0</v>
      </c>
      <c r="G31" s="24">
        <v>0</v>
      </c>
      <c r="H31" s="25" t="str">
        <f t="shared" si="1"/>
        <v>NÃO ENCONTRADO</v>
      </c>
      <c r="I31" s="26">
        <v>0</v>
      </c>
      <c r="J31" s="30">
        <v>0</v>
      </c>
      <c r="K31" s="30" t="str">
        <f t="shared" si="3"/>
        <v>NÃO ENCONTRADO</v>
      </c>
      <c r="L31" s="31">
        <v>0</v>
      </c>
      <c r="M31" s="36">
        <v>0</v>
      </c>
      <c r="N31" s="17" t="str">
        <f t="shared" si="4"/>
        <v>NÃO ENCONTRADO</v>
      </c>
      <c r="O31" s="18">
        <v>0</v>
      </c>
      <c r="P31" s="25">
        <v>0</v>
      </c>
      <c r="Q31" s="25" t="str">
        <f t="shared" si="5"/>
        <v>NÃO ENCONTRADO</v>
      </c>
      <c r="R31" s="8">
        <v>0</v>
      </c>
      <c r="S31" s="40">
        <v>0</v>
      </c>
      <c r="T31" s="41" t="str">
        <f t="shared" si="6"/>
        <v>NÃO ENCONTRADO</v>
      </c>
      <c r="U31" s="42">
        <v>0</v>
      </c>
      <c r="W31" s="51" t="s">
        <v>46</v>
      </c>
      <c r="X31" s="52" t="s">
        <v>6</v>
      </c>
      <c r="Y31" s="52">
        <v>5604</v>
      </c>
      <c r="Z31" s="53">
        <v>24.9</v>
      </c>
    </row>
    <row r="32" spans="1:26" ht="15" thickBot="1" x14ac:dyDescent="0.4">
      <c r="A32" s="11">
        <v>0</v>
      </c>
      <c r="B32" s="11" t="str">
        <f t="shared" si="0"/>
        <v>NÃO ENCONTRADO</v>
      </c>
      <c r="C32" s="13">
        <v>0</v>
      </c>
      <c r="D32" s="17">
        <v>0</v>
      </c>
      <c r="E32" s="60" t="str">
        <f t="shared" si="2"/>
        <v>NÃO ENCONTRADO</v>
      </c>
      <c r="F32" s="19">
        <v>0</v>
      </c>
      <c r="G32" s="24">
        <v>0</v>
      </c>
      <c r="H32" s="25" t="str">
        <f t="shared" si="1"/>
        <v>NÃO ENCONTRADO</v>
      </c>
      <c r="I32" s="26">
        <v>0</v>
      </c>
      <c r="J32" s="30">
        <v>0</v>
      </c>
      <c r="K32" s="30" t="str">
        <f t="shared" si="3"/>
        <v>NÃO ENCONTRADO</v>
      </c>
      <c r="L32" s="32">
        <v>0</v>
      </c>
      <c r="M32" s="36">
        <v>0</v>
      </c>
      <c r="N32" s="17" t="str">
        <f t="shared" si="4"/>
        <v>NÃO ENCONTRADO</v>
      </c>
      <c r="O32" s="19">
        <v>0</v>
      </c>
      <c r="P32" s="25">
        <v>0</v>
      </c>
      <c r="Q32" s="25" t="str">
        <f t="shared" si="5"/>
        <v>NÃO ENCONTRADO</v>
      </c>
      <c r="R32" s="8">
        <v>0</v>
      </c>
      <c r="S32" s="40">
        <v>0</v>
      </c>
      <c r="T32" s="41" t="str">
        <f t="shared" si="6"/>
        <v>NÃO ENCONTRADO</v>
      </c>
      <c r="U32" s="43">
        <v>0</v>
      </c>
      <c r="W32" s="48" t="s">
        <v>47</v>
      </c>
      <c r="X32" s="49" t="s">
        <v>6</v>
      </c>
      <c r="Y32" s="49">
        <v>288</v>
      </c>
      <c r="Z32" s="50">
        <v>24.9</v>
      </c>
    </row>
    <row r="33" spans="1:26" ht="15" thickBot="1" x14ac:dyDescent="0.4">
      <c r="A33" s="11">
        <v>0</v>
      </c>
      <c r="B33" s="11" t="str">
        <f t="shared" si="0"/>
        <v>NÃO ENCONTRADO</v>
      </c>
      <c r="C33" s="12">
        <v>0</v>
      </c>
      <c r="D33" s="17">
        <v>0</v>
      </c>
      <c r="E33" s="60" t="str">
        <f t="shared" si="2"/>
        <v>NÃO ENCONTRADO</v>
      </c>
      <c r="F33" s="18">
        <v>0</v>
      </c>
      <c r="G33" s="24">
        <v>0</v>
      </c>
      <c r="H33" s="25" t="str">
        <f t="shared" si="1"/>
        <v>NÃO ENCONTRADO</v>
      </c>
      <c r="I33" s="26">
        <v>0</v>
      </c>
      <c r="J33" s="30">
        <v>0</v>
      </c>
      <c r="K33" s="30" t="str">
        <f t="shared" si="3"/>
        <v>NÃO ENCONTRADO</v>
      </c>
      <c r="L33" s="31">
        <v>0</v>
      </c>
      <c r="M33" s="36">
        <v>0</v>
      </c>
      <c r="N33" s="17" t="str">
        <f t="shared" si="4"/>
        <v>NÃO ENCONTRADO</v>
      </c>
      <c r="O33" s="18">
        <v>0</v>
      </c>
      <c r="P33" s="25">
        <v>0</v>
      </c>
      <c r="Q33" s="25" t="str">
        <f t="shared" si="5"/>
        <v>NÃO ENCONTRADO</v>
      </c>
      <c r="R33" s="8">
        <v>0</v>
      </c>
      <c r="S33" s="40">
        <v>0</v>
      </c>
      <c r="T33" s="41" t="str">
        <f t="shared" si="6"/>
        <v>NÃO ENCONTRADO</v>
      </c>
      <c r="U33" s="42">
        <v>0</v>
      </c>
      <c r="W33" s="51" t="s">
        <v>48</v>
      </c>
      <c r="X33" s="52" t="s">
        <v>7</v>
      </c>
      <c r="Y33" s="52">
        <v>3561</v>
      </c>
      <c r="Z33" s="53">
        <v>4.99</v>
      </c>
    </row>
    <row r="34" spans="1:26" ht="15" thickBot="1" x14ac:dyDescent="0.4">
      <c r="A34" s="11">
        <v>0</v>
      </c>
      <c r="B34" s="11" t="str">
        <f t="shared" si="0"/>
        <v>NÃO ENCONTRADO</v>
      </c>
      <c r="C34" s="13">
        <v>0</v>
      </c>
      <c r="D34" s="17">
        <v>0</v>
      </c>
      <c r="E34" s="60" t="str">
        <f t="shared" si="2"/>
        <v>NÃO ENCONTRADO</v>
      </c>
      <c r="F34" s="19">
        <v>0</v>
      </c>
      <c r="G34" s="24">
        <v>0</v>
      </c>
      <c r="H34" s="25" t="str">
        <f t="shared" si="1"/>
        <v>NÃO ENCONTRADO</v>
      </c>
      <c r="I34" s="26">
        <v>0</v>
      </c>
      <c r="J34" s="30">
        <v>0</v>
      </c>
      <c r="K34" s="30" t="str">
        <f t="shared" si="3"/>
        <v>NÃO ENCONTRADO</v>
      </c>
      <c r="L34" s="32">
        <v>0</v>
      </c>
      <c r="M34" s="36">
        <v>0</v>
      </c>
      <c r="N34" s="17" t="str">
        <f t="shared" si="4"/>
        <v>NÃO ENCONTRADO</v>
      </c>
      <c r="O34" s="19">
        <v>0</v>
      </c>
      <c r="P34" s="25">
        <v>0</v>
      </c>
      <c r="Q34" s="25" t="str">
        <f t="shared" si="5"/>
        <v>NÃO ENCONTRADO</v>
      </c>
      <c r="R34" s="37">
        <v>0</v>
      </c>
      <c r="S34" s="40">
        <v>0</v>
      </c>
      <c r="T34" s="41" t="str">
        <f t="shared" si="6"/>
        <v>NÃO ENCONTRADO</v>
      </c>
      <c r="U34" s="43">
        <v>0</v>
      </c>
      <c r="W34" s="48" t="s">
        <v>49</v>
      </c>
      <c r="X34" s="49" t="s">
        <v>6</v>
      </c>
      <c r="Y34" s="49">
        <v>286</v>
      </c>
      <c r="Z34" s="50">
        <v>25.9</v>
      </c>
    </row>
    <row r="35" spans="1:26" ht="15" thickBot="1" x14ac:dyDescent="0.4">
      <c r="A35" s="11">
        <v>0</v>
      </c>
      <c r="B35" s="11" t="str">
        <f t="shared" si="0"/>
        <v>NÃO ENCONTRADO</v>
      </c>
      <c r="C35" s="12">
        <v>0</v>
      </c>
      <c r="D35" s="17">
        <v>0</v>
      </c>
      <c r="E35" s="60" t="str">
        <f t="shared" si="2"/>
        <v>NÃO ENCONTRADO</v>
      </c>
      <c r="F35" s="18">
        <v>0</v>
      </c>
      <c r="G35" s="24">
        <v>0</v>
      </c>
      <c r="H35" s="25" t="str">
        <f t="shared" si="1"/>
        <v>NÃO ENCONTRADO</v>
      </c>
      <c r="I35" s="26">
        <v>0</v>
      </c>
      <c r="J35" s="30">
        <v>0</v>
      </c>
      <c r="K35" s="30" t="str">
        <f t="shared" si="3"/>
        <v>NÃO ENCONTRADO</v>
      </c>
      <c r="L35" s="31">
        <v>0</v>
      </c>
      <c r="M35" s="36">
        <v>0</v>
      </c>
      <c r="N35" s="17" t="str">
        <f t="shared" si="4"/>
        <v>NÃO ENCONTRADO</v>
      </c>
      <c r="O35" s="18">
        <v>0</v>
      </c>
      <c r="P35" s="25">
        <v>0</v>
      </c>
      <c r="Q35" s="25" t="str">
        <f t="shared" si="5"/>
        <v>NÃO ENCONTRADO</v>
      </c>
      <c r="R35" s="37"/>
      <c r="S35" s="40">
        <v>0</v>
      </c>
      <c r="T35" s="41" t="str">
        <f t="shared" si="6"/>
        <v>NÃO ENCONTRADO</v>
      </c>
      <c r="U35" s="42">
        <v>0</v>
      </c>
      <c r="W35" s="51" t="s">
        <v>50</v>
      </c>
      <c r="X35" s="52" t="s">
        <v>6</v>
      </c>
      <c r="Y35" s="52">
        <v>1866</v>
      </c>
      <c r="Z35" s="53">
        <v>39.9</v>
      </c>
    </row>
    <row r="36" spans="1:26" ht="15" thickBot="1" x14ac:dyDescent="0.4">
      <c r="A36" s="11">
        <v>0</v>
      </c>
      <c r="B36" s="11" t="str">
        <f t="shared" si="0"/>
        <v>NÃO ENCONTRADO</v>
      </c>
      <c r="C36" s="13">
        <v>0</v>
      </c>
      <c r="D36" s="17">
        <v>0</v>
      </c>
      <c r="E36" s="60" t="str">
        <f t="shared" si="2"/>
        <v>NÃO ENCONTRADO</v>
      </c>
      <c r="F36" s="19">
        <v>0</v>
      </c>
      <c r="G36" s="24">
        <v>0</v>
      </c>
      <c r="H36" s="25" t="str">
        <f t="shared" si="1"/>
        <v>NÃO ENCONTRADO</v>
      </c>
      <c r="I36" s="26">
        <v>0</v>
      </c>
      <c r="J36" s="30">
        <v>0</v>
      </c>
      <c r="K36" s="30" t="str">
        <f t="shared" si="3"/>
        <v>NÃO ENCONTRADO</v>
      </c>
      <c r="L36" s="32">
        <v>0</v>
      </c>
      <c r="M36" s="36">
        <v>0</v>
      </c>
      <c r="N36" s="17" t="str">
        <f t="shared" si="4"/>
        <v>NÃO ENCONTRADO</v>
      </c>
      <c r="O36" s="19">
        <v>0</v>
      </c>
      <c r="P36" s="25">
        <v>0</v>
      </c>
      <c r="Q36" s="25" t="str">
        <f t="shared" si="5"/>
        <v>NÃO ENCONTRADO</v>
      </c>
      <c r="R36" s="37"/>
      <c r="S36" s="40">
        <v>0</v>
      </c>
      <c r="T36" s="41" t="str">
        <f t="shared" si="6"/>
        <v>NÃO ENCONTRADO</v>
      </c>
      <c r="U36" s="43">
        <v>0</v>
      </c>
      <c r="W36" s="48" t="s">
        <v>51</v>
      </c>
      <c r="X36" s="49" t="s">
        <v>6</v>
      </c>
      <c r="Y36" s="49">
        <v>302</v>
      </c>
      <c r="Z36" s="50">
        <v>19.899999999999999</v>
      </c>
    </row>
    <row r="37" spans="1:26" ht="15" thickBot="1" x14ac:dyDescent="0.4">
      <c r="A37" s="11">
        <v>0</v>
      </c>
      <c r="B37" s="11" t="str">
        <f t="shared" si="0"/>
        <v>NÃO ENCONTRADO</v>
      </c>
      <c r="C37" s="12">
        <v>0</v>
      </c>
      <c r="D37" s="17">
        <v>0</v>
      </c>
      <c r="E37" s="60" t="str">
        <f t="shared" si="2"/>
        <v>NÃO ENCONTRADO</v>
      </c>
      <c r="F37" s="18">
        <v>0</v>
      </c>
      <c r="G37" s="24">
        <v>0</v>
      </c>
      <c r="H37" s="25" t="str">
        <f t="shared" si="1"/>
        <v>NÃO ENCONTRADO</v>
      </c>
      <c r="I37" s="26">
        <v>0</v>
      </c>
      <c r="J37" s="30">
        <v>0</v>
      </c>
      <c r="K37" s="30" t="str">
        <f t="shared" si="3"/>
        <v>NÃO ENCONTRADO</v>
      </c>
      <c r="L37" s="31">
        <v>0</v>
      </c>
      <c r="M37" s="36">
        <v>0</v>
      </c>
      <c r="N37" s="17" t="str">
        <f t="shared" si="4"/>
        <v>NÃO ENCONTRADO</v>
      </c>
      <c r="O37" s="18">
        <v>0</v>
      </c>
      <c r="P37" s="25">
        <v>0</v>
      </c>
      <c r="Q37" s="25" t="str">
        <f t="shared" si="5"/>
        <v>NÃO ENCONTRADO</v>
      </c>
      <c r="R37" s="37"/>
      <c r="S37" s="40">
        <v>0</v>
      </c>
      <c r="T37" s="41" t="str">
        <f t="shared" si="6"/>
        <v>NÃO ENCONTRADO</v>
      </c>
      <c r="U37" s="42">
        <v>0</v>
      </c>
      <c r="W37" s="51" t="s">
        <v>52</v>
      </c>
      <c r="X37" s="52" t="s">
        <v>7</v>
      </c>
      <c r="Y37" s="52">
        <v>6883</v>
      </c>
      <c r="Z37" s="53">
        <v>2.99</v>
      </c>
    </row>
    <row r="38" spans="1:26" ht="15" thickBot="1" x14ac:dyDescent="0.4">
      <c r="A38" s="11">
        <v>0</v>
      </c>
      <c r="B38" s="11" t="str">
        <f t="shared" si="0"/>
        <v>NÃO ENCONTRADO</v>
      </c>
      <c r="C38" s="13">
        <v>0</v>
      </c>
      <c r="D38" s="17">
        <v>0</v>
      </c>
      <c r="E38" s="60" t="str">
        <f t="shared" si="2"/>
        <v>NÃO ENCONTRADO</v>
      </c>
      <c r="F38" s="19">
        <v>0</v>
      </c>
      <c r="G38" s="24">
        <v>0</v>
      </c>
      <c r="H38" s="25" t="str">
        <f t="shared" si="1"/>
        <v>NÃO ENCONTRADO</v>
      </c>
      <c r="I38" s="26">
        <v>0</v>
      </c>
      <c r="J38" s="30">
        <v>0</v>
      </c>
      <c r="K38" s="30" t="str">
        <f t="shared" si="3"/>
        <v>NÃO ENCONTRADO</v>
      </c>
      <c r="L38" s="32">
        <v>0</v>
      </c>
      <c r="M38" s="36">
        <v>0</v>
      </c>
      <c r="N38" s="17" t="str">
        <f t="shared" si="4"/>
        <v>NÃO ENCONTRADO</v>
      </c>
      <c r="O38" s="19">
        <v>0</v>
      </c>
      <c r="P38" s="25">
        <v>0</v>
      </c>
      <c r="Q38" s="25" t="str">
        <f t="shared" si="5"/>
        <v>NÃO ENCONTRADO</v>
      </c>
      <c r="R38" s="37"/>
      <c r="S38" s="40">
        <v>0</v>
      </c>
      <c r="T38" s="41" t="str">
        <f t="shared" si="6"/>
        <v>NÃO ENCONTRADO</v>
      </c>
      <c r="U38" s="43">
        <v>0</v>
      </c>
      <c r="W38" s="48" t="s">
        <v>53</v>
      </c>
      <c r="X38" s="49" t="s">
        <v>6</v>
      </c>
      <c r="Y38" s="49">
        <v>5368</v>
      </c>
      <c r="Z38" s="50">
        <v>28.9</v>
      </c>
    </row>
    <row r="39" spans="1:26" ht="15" thickBot="1" x14ac:dyDescent="0.4">
      <c r="A39" s="11">
        <v>0</v>
      </c>
      <c r="B39" s="11" t="str">
        <f t="shared" si="0"/>
        <v>NÃO ENCONTRADO</v>
      </c>
      <c r="C39" s="14">
        <v>0</v>
      </c>
      <c r="D39" s="17">
        <v>0</v>
      </c>
      <c r="E39" s="60" t="str">
        <f t="shared" si="2"/>
        <v>NÃO ENCONTRADO</v>
      </c>
      <c r="F39" s="18">
        <v>0</v>
      </c>
      <c r="G39" s="24">
        <v>0</v>
      </c>
      <c r="H39" s="25" t="str">
        <f t="shared" si="1"/>
        <v>NÃO ENCONTRADO</v>
      </c>
      <c r="I39" s="27">
        <v>0</v>
      </c>
      <c r="J39" s="30">
        <v>0</v>
      </c>
      <c r="K39" s="30" t="str">
        <f t="shared" si="3"/>
        <v>NÃO ENCONTRADO</v>
      </c>
      <c r="L39" s="33">
        <v>0</v>
      </c>
      <c r="M39" s="36">
        <v>0</v>
      </c>
      <c r="N39" s="17" t="str">
        <f t="shared" si="4"/>
        <v>NÃO ENCONTRADO</v>
      </c>
      <c r="O39" s="20">
        <v>0</v>
      </c>
      <c r="P39" s="25">
        <v>0</v>
      </c>
      <c r="Q39" s="25" t="str">
        <f t="shared" si="5"/>
        <v>NÃO ENCONTRADO</v>
      </c>
      <c r="R39" s="38"/>
      <c r="S39" s="40">
        <v>0</v>
      </c>
      <c r="T39" s="41" t="str">
        <f t="shared" si="6"/>
        <v>NÃO ENCONTRADO</v>
      </c>
      <c r="U39" s="44">
        <v>0</v>
      </c>
      <c r="W39" s="51" t="s">
        <v>54</v>
      </c>
      <c r="X39" s="52" t="s">
        <v>6</v>
      </c>
      <c r="Y39" s="52">
        <v>5366</v>
      </c>
      <c r="Z39" s="53">
        <v>29.9</v>
      </c>
    </row>
    <row r="40" spans="1:26" ht="15" thickBot="1" x14ac:dyDescent="0.4">
      <c r="D40" s="17">
        <v>0</v>
      </c>
      <c r="E40" s="60" t="str">
        <f t="shared" si="2"/>
        <v>NÃO ENCONTRADO</v>
      </c>
      <c r="F40" s="19">
        <v>0</v>
      </c>
      <c r="W40" s="48" t="s">
        <v>55</v>
      </c>
      <c r="X40" s="49" t="s">
        <v>6</v>
      </c>
      <c r="Y40" s="49">
        <v>1005</v>
      </c>
      <c r="Z40" s="50">
        <v>9.98</v>
      </c>
    </row>
    <row r="41" spans="1:26" ht="15" thickBot="1" x14ac:dyDescent="0.4">
      <c r="D41" s="17">
        <v>0</v>
      </c>
      <c r="E41" s="60" t="str">
        <f t="shared" si="2"/>
        <v>NÃO ENCONTRADO</v>
      </c>
      <c r="F41" s="18">
        <v>0</v>
      </c>
      <c r="W41" s="51" t="s">
        <v>56</v>
      </c>
      <c r="X41" s="52" t="s">
        <v>6</v>
      </c>
      <c r="Y41" s="52">
        <v>358</v>
      </c>
      <c r="Z41" s="53">
        <v>10.9</v>
      </c>
    </row>
    <row r="42" spans="1:26" ht="15" thickBot="1" x14ac:dyDescent="0.4">
      <c r="D42" s="17">
        <v>0</v>
      </c>
      <c r="E42" s="60" t="str">
        <f t="shared" si="2"/>
        <v>NÃO ENCONTRADO</v>
      </c>
      <c r="F42" s="19">
        <v>0</v>
      </c>
      <c r="W42" s="48" t="s">
        <v>57</v>
      </c>
      <c r="X42" s="49" t="s">
        <v>6</v>
      </c>
      <c r="Y42" s="49">
        <v>5369</v>
      </c>
      <c r="Z42" s="50">
        <v>29.9</v>
      </c>
    </row>
    <row r="43" spans="1:26" ht="15" thickBot="1" x14ac:dyDescent="0.4">
      <c r="D43" s="17">
        <v>0</v>
      </c>
      <c r="E43" s="60" t="str">
        <f t="shared" si="2"/>
        <v>NÃO ENCONTRADO</v>
      </c>
      <c r="F43" s="18">
        <v>0</v>
      </c>
      <c r="W43" s="51" t="s">
        <v>58</v>
      </c>
      <c r="X43" s="52" t="s">
        <v>6</v>
      </c>
      <c r="Y43" s="52">
        <v>5367</v>
      </c>
      <c r="Z43" s="53">
        <v>29.9</v>
      </c>
    </row>
    <row r="44" spans="1:26" ht="15" thickBot="1" x14ac:dyDescent="0.4">
      <c r="D44" s="17">
        <v>0</v>
      </c>
      <c r="E44" s="60" t="str">
        <f t="shared" si="2"/>
        <v>NÃO ENCONTRADO</v>
      </c>
      <c r="F44" s="19">
        <v>0</v>
      </c>
      <c r="W44" s="48" t="s">
        <v>59</v>
      </c>
      <c r="X44" s="49" t="s">
        <v>6</v>
      </c>
      <c r="Y44" s="49">
        <v>6328</v>
      </c>
      <c r="Z44" s="50">
        <v>59.9</v>
      </c>
    </row>
    <row r="45" spans="1:26" ht="15" thickBot="1" x14ac:dyDescent="0.4">
      <c r="D45" s="17">
        <v>0</v>
      </c>
      <c r="E45" s="59" t="str">
        <f t="shared" si="2"/>
        <v>NÃO ENCONTRADO</v>
      </c>
      <c r="F45" s="20">
        <v>0</v>
      </c>
      <c r="W45" s="51" t="s">
        <v>60</v>
      </c>
      <c r="X45" s="52" t="s">
        <v>7</v>
      </c>
      <c r="Y45" s="52">
        <v>5634</v>
      </c>
      <c r="Z45" s="53">
        <v>3.99</v>
      </c>
    </row>
    <row r="46" spans="1:26" x14ac:dyDescent="0.35">
      <c r="W46" s="48" t="s">
        <v>61</v>
      </c>
      <c r="X46" s="49" t="s">
        <v>6</v>
      </c>
      <c r="Y46" s="49">
        <v>2574</v>
      </c>
      <c r="Z46" s="50">
        <v>14.9</v>
      </c>
    </row>
    <row r="47" spans="1:26" x14ac:dyDescent="0.35">
      <c r="W47" s="51" t="s">
        <v>62</v>
      </c>
      <c r="X47" s="52" t="s">
        <v>6</v>
      </c>
      <c r="Y47" s="52">
        <v>7196</v>
      </c>
      <c r="Z47" s="53">
        <v>15.9</v>
      </c>
    </row>
    <row r="48" spans="1:26" x14ac:dyDescent="0.35">
      <c r="W48" s="48" t="s">
        <v>63</v>
      </c>
      <c r="X48" s="49" t="s">
        <v>6</v>
      </c>
      <c r="Y48" s="49">
        <v>6430</v>
      </c>
      <c r="Z48" s="50">
        <v>29.9</v>
      </c>
    </row>
    <row r="49" spans="23:26" x14ac:dyDescent="0.35">
      <c r="W49" s="51" t="s">
        <v>64</v>
      </c>
      <c r="X49" s="52" t="s">
        <v>6</v>
      </c>
      <c r="Y49" s="52">
        <v>5423</v>
      </c>
      <c r="Z49" s="53">
        <v>39.9</v>
      </c>
    </row>
    <row r="50" spans="23:26" x14ac:dyDescent="0.35">
      <c r="W50" s="48" t="s">
        <v>65</v>
      </c>
      <c r="X50" s="49" t="s">
        <v>6</v>
      </c>
      <c r="Y50" s="49">
        <v>346</v>
      </c>
      <c r="Z50" s="50">
        <v>19.899999999999999</v>
      </c>
    </row>
    <row r="51" spans="23:26" x14ac:dyDescent="0.35">
      <c r="W51" s="51" t="s">
        <v>66</v>
      </c>
      <c r="X51" s="52" t="s">
        <v>7</v>
      </c>
      <c r="Y51" s="52">
        <v>5630</v>
      </c>
      <c r="Z51" s="53">
        <v>3.99</v>
      </c>
    </row>
    <row r="52" spans="23:26" x14ac:dyDescent="0.35">
      <c r="W52" s="48" t="s">
        <v>67</v>
      </c>
      <c r="X52" s="49" t="s">
        <v>6</v>
      </c>
      <c r="Y52" s="49">
        <v>5422</v>
      </c>
      <c r="Z52" s="50">
        <v>29.99</v>
      </c>
    </row>
    <row r="53" spans="23:26" x14ac:dyDescent="0.35">
      <c r="W53" s="51" t="s">
        <v>68</v>
      </c>
      <c r="X53" s="52" t="s">
        <v>6</v>
      </c>
      <c r="Y53" s="52">
        <v>1702</v>
      </c>
      <c r="Z53" s="53">
        <v>39.9</v>
      </c>
    </row>
    <row r="54" spans="23:26" x14ac:dyDescent="0.35">
      <c r="W54" s="48" t="s">
        <v>69</v>
      </c>
      <c r="X54" s="49" t="s">
        <v>7</v>
      </c>
      <c r="Y54" s="49">
        <v>6088</v>
      </c>
      <c r="Z54" s="50">
        <v>19.899999999999999</v>
      </c>
    </row>
    <row r="55" spans="23:26" x14ac:dyDescent="0.35">
      <c r="W55" s="51" t="s">
        <v>70</v>
      </c>
      <c r="X55" s="52" t="s">
        <v>6</v>
      </c>
      <c r="Y55" s="52">
        <v>104599</v>
      </c>
      <c r="Z55" s="53">
        <v>24.9</v>
      </c>
    </row>
    <row r="56" spans="23:26" x14ac:dyDescent="0.35">
      <c r="W56" s="48" t="s">
        <v>71</v>
      </c>
      <c r="X56" s="49" t="s">
        <v>6</v>
      </c>
      <c r="Y56" s="49">
        <v>2869</v>
      </c>
      <c r="Z56" s="50">
        <v>20.9</v>
      </c>
    </row>
    <row r="57" spans="23:26" x14ac:dyDescent="0.35">
      <c r="W57" s="51" t="s">
        <v>72</v>
      </c>
      <c r="X57" s="52" t="s">
        <v>6</v>
      </c>
      <c r="Y57" s="52">
        <v>6365</v>
      </c>
      <c r="Z57" s="53">
        <v>24.9</v>
      </c>
    </row>
    <row r="58" spans="23:26" x14ac:dyDescent="0.35">
      <c r="W58" s="48" t="s">
        <v>73</v>
      </c>
      <c r="X58" s="49" t="s">
        <v>6</v>
      </c>
      <c r="Y58" s="49">
        <v>6330</v>
      </c>
      <c r="Z58" s="50">
        <v>69.900000000000006</v>
      </c>
    </row>
    <row r="59" spans="23:26" x14ac:dyDescent="0.35">
      <c r="W59" s="51" t="s">
        <v>74</v>
      </c>
      <c r="X59" s="52" t="s">
        <v>6</v>
      </c>
      <c r="Y59" s="52">
        <v>6329</v>
      </c>
      <c r="Z59" s="53">
        <v>74.900000000000006</v>
      </c>
    </row>
    <row r="60" spans="23:26" x14ac:dyDescent="0.35">
      <c r="W60" s="48" t="s">
        <v>75</v>
      </c>
      <c r="X60" s="49" t="s">
        <v>6</v>
      </c>
      <c r="Y60" s="49">
        <v>2783</v>
      </c>
      <c r="Z60" s="50">
        <v>44.9</v>
      </c>
    </row>
    <row r="61" spans="23:26" x14ac:dyDescent="0.35">
      <c r="W61" s="51" t="s">
        <v>76</v>
      </c>
      <c r="X61" s="52" t="s">
        <v>6</v>
      </c>
      <c r="Y61" s="52">
        <v>688</v>
      </c>
      <c r="Z61" s="53">
        <v>41.9</v>
      </c>
    </row>
    <row r="62" spans="23:26" x14ac:dyDescent="0.35">
      <c r="W62" s="48" t="s">
        <v>77</v>
      </c>
      <c r="X62" s="49" t="s">
        <v>7</v>
      </c>
      <c r="Y62" s="49">
        <v>5656</v>
      </c>
      <c r="Z62" s="50">
        <v>9.98</v>
      </c>
    </row>
    <row r="63" spans="23:26" x14ac:dyDescent="0.35">
      <c r="W63" s="51" t="s">
        <v>78</v>
      </c>
      <c r="X63" s="52" t="s">
        <v>6</v>
      </c>
      <c r="Y63" s="52">
        <v>1881</v>
      </c>
      <c r="Z63" s="53">
        <v>34.9</v>
      </c>
    </row>
    <row r="64" spans="23:26" x14ac:dyDescent="0.35">
      <c r="W64" s="48" t="s">
        <v>79</v>
      </c>
      <c r="X64" s="49" t="s">
        <v>6</v>
      </c>
      <c r="Y64" s="49">
        <v>5982</v>
      </c>
      <c r="Z64" s="50">
        <v>49.9</v>
      </c>
    </row>
    <row r="65" spans="23:26" x14ac:dyDescent="0.35">
      <c r="W65" s="51" t="s">
        <v>80</v>
      </c>
      <c r="X65" s="52" t="s">
        <v>6</v>
      </c>
      <c r="Y65" s="52">
        <v>5071</v>
      </c>
      <c r="Z65" s="53">
        <v>49.9</v>
      </c>
    </row>
    <row r="66" spans="23:26" x14ac:dyDescent="0.35">
      <c r="W66" s="48" t="s">
        <v>81</v>
      </c>
      <c r="X66" s="49" t="s">
        <v>7</v>
      </c>
      <c r="Y66" s="49">
        <v>6968</v>
      </c>
      <c r="Z66" s="50">
        <v>12.9</v>
      </c>
    </row>
    <row r="67" spans="23:26" x14ac:dyDescent="0.35">
      <c r="W67" s="51" t="s">
        <v>82</v>
      </c>
      <c r="X67" s="52" t="s">
        <v>6</v>
      </c>
      <c r="Y67" s="52">
        <v>292</v>
      </c>
      <c r="Z67" s="53">
        <v>56.9</v>
      </c>
    </row>
    <row r="68" spans="23:26" x14ac:dyDescent="0.35">
      <c r="W68" s="48" t="s">
        <v>83</v>
      </c>
      <c r="X68" s="49" t="s">
        <v>6</v>
      </c>
      <c r="Y68" s="49">
        <v>285</v>
      </c>
      <c r="Z68" s="50">
        <v>49.9</v>
      </c>
    </row>
    <row r="69" spans="23:26" x14ac:dyDescent="0.35">
      <c r="W69" s="51" t="s">
        <v>84</v>
      </c>
      <c r="X69" s="52" t="s">
        <v>7</v>
      </c>
      <c r="Y69" s="52">
        <v>9017</v>
      </c>
      <c r="Z69" s="53">
        <v>13.9</v>
      </c>
    </row>
    <row r="70" spans="23:26" x14ac:dyDescent="0.35">
      <c r="W70" s="48" t="s">
        <v>85</v>
      </c>
      <c r="X70" s="49" t="s">
        <v>7</v>
      </c>
      <c r="Y70" s="49">
        <v>6826</v>
      </c>
      <c r="Z70" s="50">
        <v>10.9</v>
      </c>
    </row>
    <row r="71" spans="23:26" x14ac:dyDescent="0.35">
      <c r="W71" s="51" t="s">
        <v>86</v>
      </c>
      <c r="X71" s="52" t="s">
        <v>7</v>
      </c>
      <c r="Y71" s="52">
        <v>7305</v>
      </c>
      <c r="Z71" s="53">
        <v>13.9</v>
      </c>
    </row>
    <row r="72" spans="23:26" x14ac:dyDescent="0.35">
      <c r="W72" s="48" t="s">
        <v>87</v>
      </c>
      <c r="X72" s="49" t="s">
        <v>6</v>
      </c>
      <c r="Y72" s="49">
        <v>5869</v>
      </c>
      <c r="Z72" s="50">
        <v>49.9</v>
      </c>
    </row>
    <row r="73" spans="23:26" x14ac:dyDescent="0.35">
      <c r="W73" s="51" t="s">
        <v>88</v>
      </c>
      <c r="X73" s="52" t="s">
        <v>7</v>
      </c>
      <c r="Y73" s="52">
        <v>6961</v>
      </c>
      <c r="Z73" s="53">
        <v>5.9</v>
      </c>
    </row>
    <row r="74" spans="23:26" x14ac:dyDescent="0.35">
      <c r="W74" s="48" t="s">
        <v>89</v>
      </c>
      <c r="X74" s="49" t="s">
        <v>7</v>
      </c>
      <c r="Y74" s="49">
        <v>6967</v>
      </c>
      <c r="Z74" s="50">
        <v>14.9</v>
      </c>
    </row>
    <row r="75" spans="23:26" x14ac:dyDescent="0.35">
      <c r="W75" s="51" t="s">
        <v>90</v>
      </c>
      <c r="X75" s="52" t="s">
        <v>6</v>
      </c>
      <c r="Y75" s="52">
        <v>6528</v>
      </c>
      <c r="Z75" s="53">
        <v>24.9</v>
      </c>
    </row>
    <row r="76" spans="23:26" x14ac:dyDescent="0.35">
      <c r="W76" s="48" t="s">
        <v>91</v>
      </c>
      <c r="X76" s="49" t="s">
        <v>7</v>
      </c>
      <c r="Y76" s="49">
        <v>1792</v>
      </c>
      <c r="Z76" s="50">
        <v>8.99</v>
      </c>
    </row>
    <row r="77" spans="23:26" x14ac:dyDescent="0.35">
      <c r="W77" s="51" t="s">
        <v>92</v>
      </c>
      <c r="X77" s="52" t="s">
        <v>7</v>
      </c>
      <c r="Y77" s="52">
        <v>6159</v>
      </c>
      <c r="Z77" s="53">
        <v>4.99</v>
      </c>
    </row>
    <row r="78" spans="23:26" x14ac:dyDescent="0.35">
      <c r="W78" s="48" t="s">
        <v>93</v>
      </c>
      <c r="X78" s="49" t="s">
        <v>7</v>
      </c>
      <c r="Y78" s="49">
        <v>4317</v>
      </c>
      <c r="Z78" s="50">
        <v>9.99</v>
      </c>
    </row>
    <row r="79" spans="23:26" x14ac:dyDescent="0.35">
      <c r="W79" s="51" t="s">
        <v>94</v>
      </c>
      <c r="X79" s="52" t="s">
        <v>7</v>
      </c>
      <c r="Y79" s="52">
        <v>6044</v>
      </c>
      <c r="Z79" s="53">
        <v>7.9</v>
      </c>
    </row>
    <row r="80" spans="23:26" x14ac:dyDescent="0.35">
      <c r="W80" s="48" t="s">
        <v>95</v>
      </c>
      <c r="X80" s="49" t="s">
        <v>7</v>
      </c>
      <c r="Y80" s="49">
        <v>391</v>
      </c>
      <c r="Z80" s="50">
        <v>8.99</v>
      </c>
    </row>
    <row r="81" spans="23:26" x14ac:dyDescent="0.35">
      <c r="W81" s="51" t="s">
        <v>96</v>
      </c>
      <c r="X81" s="52" t="s">
        <v>7</v>
      </c>
      <c r="Y81" s="52">
        <v>6182</v>
      </c>
      <c r="Z81" s="53">
        <v>8.99</v>
      </c>
    </row>
    <row r="82" spans="23:26" x14ac:dyDescent="0.35">
      <c r="W82" s="48" t="s">
        <v>97</v>
      </c>
      <c r="X82" s="49" t="s">
        <v>7</v>
      </c>
      <c r="Y82" s="49">
        <v>8198</v>
      </c>
      <c r="Z82" s="50">
        <v>8.99</v>
      </c>
    </row>
    <row r="83" spans="23:26" x14ac:dyDescent="0.35">
      <c r="W83" s="51" t="s">
        <v>98</v>
      </c>
      <c r="X83" s="52" t="s">
        <v>7</v>
      </c>
      <c r="Y83" s="52">
        <v>5448</v>
      </c>
      <c r="Z83" s="53">
        <v>8.9</v>
      </c>
    </row>
    <row r="84" spans="23:26" x14ac:dyDescent="0.35">
      <c r="W84" s="48" t="s">
        <v>99</v>
      </c>
      <c r="X84" s="49" t="s">
        <v>7</v>
      </c>
      <c r="Y84" s="49">
        <v>4234</v>
      </c>
      <c r="Z84" s="50">
        <v>9.99</v>
      </c>
    </row>
    <row r="85" spans="23:26" x14ac:dyDescent="0.35">
      <c r="W85" s="51" t="s">
        <v>100</v>
      </c>
      <c r="X85" s="52" t="s">
        <v>7</v>
      </c>
      <c r="Y85" s="52">
        <v>6928</v>
      </c>
      <c r="Z85" s="53">
        <v>7.9</v>
      </c>
    </row>
    <row r="86" spans="23:26" x14ac:dyDescent="0.35">
      <c r="W86" s="48" t="s">
        <v>101</v>
      </c>
      <c r="X86" s="49" t="s">
        <v>7</v>
      </c>
      <c r="Y86" s="49">
        <v>6350</v>
      </c>
      <c r="Z86" s="50">
        <v>7.9</v>
      </c>
    </row>
    <row r="87" spans="23:26" x14ac:dyDescent="0.35">
      <c r="W87" s="51" t="s">
        <v>102</v>
      </c>
      <c r="X87" s="52" t="s">
        <v>7</v>
      </c>
      <c r="Y87" s="52">
        <v>707</v>
      </c>
      <c r="Z87" s="53">
        <v>8.99</v>
      </c>
    </row>
    <row r="88" spans="23:26" x14ac:dyDescent="0.35">
      <c r="W88" s="48" t="s">
        <v>103</v>
      </c>
      <c r="X88" s="49" t="s">
        <v>7</v>
      </c>
      <c r="Y88" s="49">
        <v>151993</v>
      </c>
      <c r="Z88" s="50">
        <v>8.99</v>
      </c>
    </row>
    <row r="89" spans="23:26" x14ac:dyDescent="0.35">
      <c r="W89" s="51" t="s">
        <v>104</v>
      </c>
      <c r="X89" s="52" t="s">
        <v>7</v>
      </c>
      <c r="Y89" s="52">
        <v>4260</v>
      </c>
      <c r="Z89" s="53">
        <v>9.99</v>
      </c>
    </row>
    <row r="90" spans="23:26" x14ac:dyDescent="0.35">
      <c r="W90" s="48" t="s">
        <v>105</v>
      </c>
      <c r="X90" s="49" t="s">
        <v>7</v>
      </c>
      <c r="Y90" s="49">
        <v>5865</v>
      </c>
      <c r="Z90" s="50">
        <v>4.99</v>
      </c>
    </row>
    <row r="91" spans="23:26" x14ac:dyDescent="0.35">
      <c r="W91" s="51" t="s">
        <v>106</v>
      </c>
      <c r="X91" s="52" t="s">
        <v>7</v>
      </c>
      <c r="Y91" s="52">
        <v>4445</v>
      </c>
      <c r="Z91" s="53">
        <v>8.99</v>
      </c>
    </row>
    <row r="92" spans="23:26" x14ac:dyDescent="0.35">
      <c r="W92" s="48" t="s">
        <v>107</v>
      </c>
      <c r="X92" s="49" t="s">
        <v>7</v>
      </c>
      <c r="Y92" s="49">
        <v>5996</v>
      </c>
      <c r="Z92" s="50">
        <v>7.9</v>
      </c>
    </row>
    <row r="93" spans="23:26" x14ac:dyDescent="0.35">
      <c r="W93" s="51" t="s">
        <v>108</v>
      </c>
      <c r="X93" s="52" t="s">
        <v>7</v>
      </c>
      <c r="Y93" s="52">
        <v>381</v>
      </c>
      <c r="Z93" s="53">
        <v>8.99</v>
      </c>
    </row>
    <row r="94" spans="23:26" x14ac:dyDescent="0.35">
      <c r="W94" s="48" t="s">
        <v>109</v>
      </c>
      <c r="X94" s="49" t="s">
        <v>7</v>
      </c>
      <c r="Y94" s="49">
        <v>6349</v>
      </c>
      <c r="Z94" s="50">
        <v>7.9</v>
      </c>
    </row>
    <row r="95" spans="23:26" x14ac:dyDescent="0.35">
      <c r="W95" s="51" t="s">
        <v>110</v>
      </c>
      <c r="X95" s="52" t="s">
        <v>7</v>
      </c>
      <c r="Y95" s="52">
        <v>5850</v>
      </c>
      <c r="Z95" s="53">
        <v>8.99</v>
      </c>
    </row>
    <row r="96" spans="23:26" x14ac:dyDescent="0.35">
      <c r="W96" s="48" t="s">
        <v>111</v>
      </c>
      <c r="X96" s="49" t="s">
        <v>7</v>
      </c>
      <c r="Y96" s="49">
        <v>4185</v>
      </c>
      <c r="Z96" s="50">
        <v>8.99</v>
      </c>
    </row>
    <row r="97" spans="23:26" x14ac:dyDescent="0.35">
      <c r="W97" s="51" t="s">
        <v>112</v>
      </c>
      <c r="X97" s="52" t="s">
        <v>7</v>
      </c>
      <c r="Y97" s="52">
        <v>5800</v>
      </c>
      <c r="Z97" s="53">
        <v>8.99</v>
      </c>
    </row>
    <row r="98" spans="23:26" x14ac:dyDescent="0.35">
      <c r="W98" s="48" t="s">
        <v>113</v>
      </c>
      <c r="X98" s="49" t="s">
        <v>7</v>
      </c>
      <c r="Y98" s="49">
        <v>6043</v>
      </c>
      <c r="Z98" s="50">
        <v>7.9</v>
      </c>
    </row>
    <row r="99" spans="23:26" x14ac:dyDescent="0.35">
      <c r="W99" s="51" t="s">
        <v>114</v>
      </c>
      <c r="X99" s="52" t="s">
        <v>7</v>
      </c>
      <c r="Y99" s="52">
        <v>1738</v>
      </c>
      <c r="Z99" s="53">
        <v>8.99</v>
      </c>
    </row>
    <row r="100" spans="23:26" x14ac:dyDescent="0.35">
      <c r="W100" s="48" t="s">
        <v>115</v>
      </c>
      <c r="X100" s="49" t="s">
        <v>7</v>
      </c>
      <c r="Y100" s="49">
        <v>5449</v>
      </c>
      <c r="Z100" s="50">
        <v>8.99</v>
      </c>
    </row>
    <row r="101" spans="23:26" x14ac:dyDescent="0.35">
      <c r="W101" s="51" t="s">
        <v>116</v>
      </c>
      <c r="X101" s="52" t="s">
        <v>7</v>
      </c>
      <c r="Y101" s="52">
        <v>6047</v>
      </c>
      <c r="Z101" s="53">
        <v>7.9</v>
      </c>
    </row>
    <row r="102" spans="23:26" x14ac:dyDescent="0.35">
      <c r="W102" s="48" t="s">
        <v>117</v>
      </c>
      <c r="X102" s="49" t="s">
        <v>7</v>
      </c>
      <c r="Y102" s="49">
        <v>392</v>
      </c>
      <c r="Z102" s="50">
        <v>11.99</v>
      </c>
    </row>
    <row r="103" spans="23:26" x14ac:dyDescent="0.35">
      <c r="W103" s="51" t="s">
        <v>118</v>
      </c>
      <c r="X103" s="52" t="s">
        <v>7</v>
      </c>
      <c r="Y103" s="52">
        <v>4320</v>
      </c>
      <c r="Z103" s="53">
        <v>8.99</v>
      </c>
    </row>
    <row r="104" spans="23:26" x14ac:dyDescent="0.35">
      <c r="W104" s="48" t="s">
        <v>119</v>
      </c>
      <c r="X104" s="49" t="s">
        <v>7</v>
      </c>
      <c r="Y104" s="49">
        <v>4264</v>
      </c>
      <c r="Z104" s="50">
        <v>9.99</v>
      </c>
    </row>
    <row r="105" spans="23:26" x14ac:dyDescent="0.35">
      <c r="W105" s="51" t="s">
        <v>120</v>
      </c>
      <c r="X105" s="52" t="s">
        <v>121</v>
      </c>
      <c r="Y105" s="52">
        <v>6348</v>
      </c>
      <c r="Z105" s="53">
        <v>7.9</v>
      </c>
    </row>
    <row r="106" spans="23:26" x14ac:dyDescent="0.35">
      <c r="W106" s="48" t="s">
        <v>122</v>
      </c>
      <c r="X106" s="49" t="s">
        <v>7</v>
      </c>
      <c r="Y106" s="49">
        <v>1746</v>
      </c>
      <c r="Z106" s="50">
        <v>8.99</v>
      </c>
    </row>
    <row r="107" spans="23:26" x14ac:dyDescent="0.35">
      <c r="W107" s="51" t="s">
        <v>123</v>
      </c>
      <c r="X107" s="52" t="s">
        <v>7</v>
      </c>
      <c r="Y107" s="52">
        <v>6781</v>
      </c>
      <c r="Z107" s="53">
        <v>8.99</v>
      </c>
    </row>
    <row r="108" spans="23:26" x14ac:dyDescent="0.35">
      <c r="W108" s="48" t="s">
        <v>124</v>
      </c>
      <c r="X108" s="49" t="s">
        <v>7</v>
      </c>
      <c r="Y108" s="49">
        <v>4996</v>
      </c>
      <c r="Z108" s="50">
        <v>8.99</v>
      </c>
    </row>
    <row r="109" spans="23:26" x14ac:dyDescent="0.35">
      <c r="W109" s="51" t="s">
        <v>125</v>
      </c>
      <c r="X109" s="52" t="s">
        <v>7</v>
      </c>
      <c r="Y109" s="52">
        <v>4376</v>
      </c>
      <c r="Z109" s="53">
        <v>8.99</v>
      </c>
    </row>
    <row r="110" spans="23:26" x14ac:dyDescent="0.35">
      <c r="W110" s="48" t="s">
        <v>126</v>
      </c>
      <c r="X110" s="49" t="s">
        <v>7</v>
      </c>
      <c r="Y110" s="49">
        <v>6929</v>
      </c>
      <c r="Z110" s="50">
        <v>3.99</v>
      </c>
    </row>
    <row r="111" spans="23:26" x14ac:dyDescent="0.35">
      <c r="W111" s="51" t="s">
        <v>127</v>
      </c>
      <c r="X111" s="52" t="s">
        <v>7</v>
      </c>
      <c r="Y111" s="52">
        <v>4352</v>
      </c>
      <c r="Z111" s="53">
        <v>4.99</v>
      </c>
    </row>
    <row r="112" spans="23:26" x14ac:dyDescent="0.35">
      <c r="W112" s="48" t="s">
        <v>128</v>
      </c>
      <c r="X112" s="49" t="s">
        <v>7</v>
      </c>
      <c r="Y112" s="49">
        <v>6807</v>
      </c>
      <c r="Z112" s="50">
        <v>8.99</v>
      </c>
    </row>
    <row r="113" spans="23:38" x14ac:dyDescent="0.35">
      <c r="W113" s="51" t="s">
        <v>129</v>
      </c>
      <c r="X113" s="52" t="s">
        <v>7</v>
      </c>
      <c r="Y113" s="52">
        <v>5901</v>
      </c>
      <c r="Z113" s="53">
        <v>8.99</v>
      </c>
    </row>
    <row r="114" spans="23:38" x14ac:dyDescent="0.35">
      <c r="W114" s="48" t="s">
        <v>130</v>
      </c>
      <c r="X114" s="49" t="s">
        <v>7</v>
      </c>
      <c r="Y114" s="49">
        <v>6158</v>
      </c>
      <c r="Z114" s="50">
        <v>9.9</v>
      </c>
    </row>
    <row r="115" spans="23:38" x14ac:dyDescent="0.35">
      <c r="W115" s="51" t="s">
        <v>131</v>
      </c>
      <c r="X115" s="52" t="s">
        <v>6</v>
      </c>
      <c r="Y115" s="52">
        <v>8318</v>
      </c>
      <c r="Z115" s="53">
        <v>8.9</v>
      </c>
    </row>
    <row r="116" spans="23:38" x14ac:dyDescent="0.35">
      <c r="W116" s="48" t="s">
        <v>132</v>
      </c>
      <c r="X116" s="49" t="s">
        <v>6</v>
      </c>
      <c r="Y116" s="49">
        <v>7192</v>
      </c>
      <c r="Z116" s="50">
        <v>21.9</v>
      </c>
    </row>
    <row r="117" spans="23:38" x14ac:dyDescent="0.35">
      <c r="W117" s="51" t="s">
        <v>133</v>
      </c>
      <c r="X117" s="52" t="s">
        <v>7</v>
      </c>
      <c r="Y117" s="52">
        <v>356596</v>
      </c>
      <c r="Z117" s="53">
        <v>5.99</v>
      </c>
    </row>
    <row r="118" spans="23:38" x14ac:dyDescent="0.35">
      <c r="W118" s="48" t="s">
        <v>134</v>
      </c>
      <c r="X118" s="49" t="s">
        <v>6</v>
      </c>
      <c r="Y118" s="49">
        <v>1701</v>
      </c>
      <c r="Z118" s="50">
        <v>42.9</v>
      </c>
    </row>
    <row r="119" spans="23:38" x14ac:dyDescent="0.35">
      <c r="W119" s="51" t="s">
        <v>135</v>
      </c>
      <c r="X119" s="52" t="s">
        <v>7</v>
      </c>
      <c r="Y119" s="52">
        <v>6601</v>
      </c>
      <c r="Z119" s="53">
        <v>8.99</v>
      </c>
    </row>
    <row r="120" spans="23:38" x14ac:dyDescent="0.35">
      <c r="W120" s="48" t="s">
        <v>136</v>
      </c>
      <c r="X120" s="49" t="s">
        <v>7</v>
      </c>
      <c r="Y120" s="49">
        <v>6663</v>
      </c>
      <c r="Z120" s="50">
        <v>4.99</v>
      </c>
    </row>
    <row r="121" spans="23:38" x14ac:dyDescent="0.35">
      <c r="W121" s="51" t="s">
        <v>137</v>
      </c>
      <c r="X121" s="52" t="s">
        <v>6</v>
      </c>
      <c r="Y121" s="52">
        <v>9151</v>
      </c>
      <c r="Z121" s="53">
        <v>23.9</v>
      </c>
    </row>
    <row r="122" spans="23:38" x14ac:dyDescent="0.35">
      <c r="W122" s="48" t="s">
        <v>138</v>
      </c>
      <c r="X122" s="49" t="s">
        <v>6</v>
      </c>
      <c r="Y122" s="49">
        <v>9152</v>
      </c>
      <c r="Z122" s="50">
        <v>23.9</v>
      </c>
    </row>
    <row r="123" spans="23:38" x14ac:dyDescent="0.35">
      <c r="W123" s="51" t="s">
        <v>139</v>
      </c>
      <c r="X123" s="52" t="s">
        <v>6</v>
      </c>
      <c r="Y123" s="52">
        <v>690</v>
      </c>
      <c r="Z123" s="53">
        <v>69.900000000000006</v>
      </c>
    </row>
    <row r="124" spans="23:38" x14ac:dyDescent="0.35">
      <c r="W124" s="57" t="s">
        <v>140</v>
      </c>
      <c r="X124" s="57" t="s">
        <v>6</v>
      </c>
      <c r="Y124" s="57">
        <v>9390</v>
      </c>
      <c r="Z124" s="57">
        <v>29.9</v>
      </c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</row>
    <row r="125" spans="23:38" x14ac:dyDescent="0.35">
      <c r="W125" s="57" t="s">
        <v>141</v>
      </c>
      <c r="X125" s="57" t="s">
        <v>6</v>
      </c>
      <c r="Y125" s="57">
        <v>987</v>
      </c>
      <c r="Z125" s="57">
        <v>64.900000000000006</v>
      </c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</row>
    <row r="126" spans="23:38" x14ac:dyDescent="0.35">
      <c r="W126" s="57" t="s">
        <v>142</v>
      </c>
      <c r="X126" s="57" t="s">
        <v>7</v>
      </c>
      <c r="Y126" s="57">
        <v>102481</v>
      </c>
      <c r="Z126" s="57">
        <v>8.99</v>
      </c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</row>
    <row r="127" spans="23:38" x14ac:dyDescent="0.35">
      <c r="W127" s="57" t="s">
        <v>143</v>
      </c>
      <c r="X127" s="57" t="s">
        <v>6</v>
      </c>
      <c r="Y127" s="57">
        <v>9394</v>
      </c>
      <c r="Z127" s="57">
        <v>21.9</v>
      </c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</row>
    <row r="128" spans="23:38" x14ac:dyDescent="0.35">
      <c r="W128" s="57" t="s">
        <v>144</v>
      </c>
      <c r="X128" s="57" t="s">
        <v>7</v>
      </c>
      <c r="Y128" s="57">
        <v>9404</v>
      </c>
      <c r="Z128" s="57">
        <v>9.9</v>
      </c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</row>
    <row r="129" spans="23:38" x14ac:dyDescent="0.35">
      <c r="W129" s="57" t="s">
        <v>145</v>
      </c>
      <c r="X129" s="57" t="s">
        <v>7</v>
      </c>
      <c r="Y129" s="57">
        <v>9395</v>
      </c>
      <c r="Z129" s="57">
        <v>9.9</v>
      </c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</row>
    <row r="130" spans="23:38" ht="29" x14ac:dyDescent="0.35">
      <c r="W130" s="57" t="s">
        <v>146</v>
      </c>
      <c r="X130" s="57" t="s">
        <v>7</v>
      </c>
      <c r="Y130" s="57">
        <v>9439</v>
      </c>
      <c r="Z130" s="57">
        <v>11.9</v>
      </c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</row>
    <row r="131" spans="23:38" x14ac:dyDescent="0.35">
      <c r="W131" s="57" t="s">
        <v>147</v>
      </c>
      <c r="X131" s="57" t="s">
        <v>7</v>
      </c>
      <c r="Y131" s="57">
        <v>9413</v>
      </c>
      <c r="Z131" s="57">
        <v>9.9</v>
      </c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</row>
    <row r="132" spans="23:38" x14ac:dyDescent="0.35">
      <c r="W132" s="48"/>
      <c r="X132" s="49"/>
      <c r="Y132" s="49"/>
      <c r="Z132" s="50"/>
    </row>
    <row r="133" spans="23:38" x14ac:dyDescent="0.35">
      <c r="W133" s="51"/>
      <c r="X133" s="52"/>
      <c r="Y133" s="52"/>
      <c r="Z133" s="53"/>
    </row>
    <row r="134" spans="23:38" x14ac:dyDescent="0.35">
      <c r="W134" s="48"/>
      <c r="X134" s="49"/>
      <c r="Y134" s="49"/>
      <c r="Z134" s="50"/>
    </row>
    <row r="135" spans="23:38" x14ac:dyDescent="0.35">
      <c r="W135" s="51"/>
      <c r="X135" s="52"/>
      <c r="Y135" s="52"/>
      <c r="Z135" s="53"/>
    </row>
    <row r="136" spans="23:38" x14ac:dyDescent="0.35">
      <c r="W136" s="48"/>
      <c r="X136" s="49"/>
      <c r="Y136" s="49"/>
      <c r="Z136" s="50"/>
    </row>
    <row r="137" spans="23:38" x14ac:dyDescent="0.35">
      <c r="W137" s="51"/>
      <c r="X137" s="52"/>
      <c r="Y137" s="52"/>
      <c r="Z137" s="53"/>
    </row>
    <row r="138" spans="23:38" x14ac:dyDescent="0.35">
      <c r="W138" s="48"/>
      <c r="X138" s="49"/>
      <c r="Y138" s="49"/>
      <c r="Z138" s="50"/>
    </row>
    <row r="139" spans="23:38" x14ac:dyDescent="0.35">
      <c r="W139" s="51"/>
      <c r="X139" s="52"/>
      <c r="Y139" s="52"/>
      <c r="Z139" s="53"/>
    </row>
    <row r="140" spans="23:38" x14ac:dyDescent="0.35">
      <c r="W140" s="48"/>
      <c r="X140" s="49"/>
      <c r="Y140" s="49"/>
      <c r="Z140" s="50"/>
    </row>
    <row r="141" spans="23:38" x14ac:dyDescent="0.35">
      <c r="W141" s="51"/>
      <c r="X141" s="52"/>
      <c r="Y141" s="52"/>
      <c r="Z141" s="53"/>
    </row>
    <row r="142" spans="23:38" x14ac:dyDescent="0.35">
      <c r="W142" s="48"/>
      <c r="X142" s="49"/>
      <c r="Y142" s="49"/>
      <c r="Z142" s="50"/>
    </row>
    <row r="143" spans="23:38" x14ac:dyDescent="0.35">
      <c r="W143" s="51"/>
      <c r="X143" s="52"/>
      <c r="Y143" s="52"/>
      <c r="Z143" s="53"/>
    </row>
    <row r="144" spans="23:38" x14ac:dyDescent="0.35">
      <c r="W144" s="48"/>
      <c r="X144" s="49"/>
      <c r="Y144" s="49"/>
      <c r="Z144" s="50"/>
    </row>
    <row r="145" spans="23:26" x14ac:dyDescent="0.35">
      <c r="W145" s="51"/>
      <c r="X145" s="52"/>
      <c r="Y145" s="52"/>
      <c r="Z145" s="53"/>
    </row>
    <row r="146" spans="23:26" x14ac:dyDescent="0.35">
      <c r="W146" s="48"/>
      <c r="X146" s="49"/>
      <c r="Y146" s="49"/>
      <c r="Z146" s="50"/>
    </row>
    <row r="147" spans="23:26" x14ac:dyDescent="0.35">
      <c r="W147" s="51"/>
      <c r="X147" s="52"/>
      <c r="Y147" s="52"/>
      <c r="Z147" s="53"/>
    </row>
    <row r="148" spans="23:26" x14ac:dyDescent="0.35">
      <c r="W148" s="48"/>
      <c r="X148" s="49"/>
      <c r="Y148" s="49"/>
      <c r="Z148" s="50"/>
    </row>
    <row r="149" spans="23:26" x14ac:dyDescent="0.35">
      <c r="W149" s="51"/>
      <c r="X149" s="52"/>
      <c r="Y149" s="52"/>
      <c r="Z149" s="53"/>
    </row>
    <row r="150" spans="23:26" x14ac:dyDescent="0.35">
      <c r="W150" s="48"/>
      <c r="X150" s="49"/>
      <c r="Y150" s="49"/>
      <c r="Z150" s="50"/>
    </row>
    <row r="151" spans="23:26" x14ac:dyDescent="0.35">
      <c r="W151" s="51"/>
      <c r="X151" s="52"/>
      <c r="Y151" s="52"/>
      <c r="Z151" s="53"/>
    </row>
    <row r="152" spans="23:26" x14ac:dyDescent="0.35">
      <c r="W152" s="48"/>
      <c r="X152" s="49"/>
      <c r="Y152" s="49"/>
      <c r="Z152" s="50"/>
    </row>
    <row r="153" spans="23:26" x14ac:dyDescent="0.35">
      <c r="W153" s="51"/>
      <c r="X153" s="52"/>
      <c r="Y153" s="52"/>
      <c r="Z153" s="53"/>
    </row>
    <row r="154" spans="23:26" x14ac:dyDescent="0.35">
      <c r="W154" s="48"/>
      <c r="X154" s="49"/>
      <c r="Y154" s="49"/>
      <c r="Z154" s="50"/>
    </row>
    <row r="155" spans="23:26" x14ac:dyDescent="0.35">
      <c r="W155" s="51"/>
      <c r="X155" s="52"/>
      <c r="Y155" s="52"/>
      <c r="Z155" s="53"/>
    </row>
    <row r="156" spans="23:26" x14ac:dyDescent="0.35">
      <c r="W156" s="48"/>
      <c r="X156" s="49"/>
      <c r="Y156" s="49"/>
      <c r="Z156" s="50"/>
    </row>
    <row r="157" spans="23:26" x14ac:dyDescent="0.35">
      <c r="W157" s="51"/>
      <c r="X157" s="52"/>
      <c r="Y157" s="52"/>
      <c r="Z157" s="53"/>
    </row>
    <row r="158" spans="23:26" x14ac:dyDescent="0.35">
      <c r="W158" s="48"/>
      <c r="X158" s="49"/>
      <c r="Y158" s="49"/>
      <c r="Z158" s="50"/>
    </row>
    <row r="159" spans="23:26" x14ac:dyDescent="0.35">
      <c r="W159" s="51"/>
      <c r="X159" s="52"/>
      <c r="Y159" s="52"/>
      <c r="Z159" s="53"/>
    </row>
    <row r="160" spans="23:26" x14ac:dyDescent="0.35">
      <c r="W160" s="48"/>
      <c r="X160" s="49"/>
      <c r="Y160" s="49"/>
      <c r="Z160" s="50"/>
    </row>
    <row r="161" spans="23:26" x14ac:dyDescent="0.35">
      <c r="W161" s="51"/>
      <c r="X161" s="52"/>
      <c r="Y161" s="52"/>
      <c r="Z161" s="53"/>
    </row>
    <row r="162" spans="23:26" x14ac:dyDescent="0.35">
      <c r="W162" s="48"/>
      <c r="X162" s="49"/>
      <c r="Y162" s="49"/>
      <c r="Z162" s="50"/>
    </row>
    <row r="163" spans="23:26" x14ac:dyDescent="0.35">
      <c r="W163" s="51"/>
      <c r="X163" s="52"/>
      <c r="Y163" s="52"/>
      <c r="Z163" s="53"/>
    </row>
    <row r="164" spans="23:26" x14ac:dyDescent="0.35">
      <c r="W164" s="48"/>
      <c r="X164" s="49"/>
      <c r="Y164" s="49"/>
      <c r="Z164" s="50"/>
    </row>
    <row r="165" spans="23:26" x14ac:dyDescent="0.35">
      <c r="W165" s="51"/>
      <c r="X165" s="52"/>
      <c r="Y165" s="52"/>
      <c r="Z165" s="53"/>
    </row>
    <row r="166" spans="23:26" x14ac:dyDescent="0.35">
      <c r="W166" s="48"/>
      <c r="X166" s="49"/>
      <c r="Y166" s="49"/>
      <c r="Z166" s="50"/>
    </row>
    <row r="167" spans="23:26" x14ac:dyDescent="0.35">
      <c r="W167" s="51"/>
      <c r="X167" s="52"/>
      <c r="Y167" s="52"/>
      <c r="Z167" s="53"/>
    </row>
    <row r="168" spans="23:26" x14ac:dyDescent="0.35">
      <c r="W168" s="48"/>
      <c r="X168" s="49"/>
      <c r="Y168" s="49"/>
      <c r="Z168" s="50"/>
    </row>
    <row r="169" spans="23:26" x14ac:dyDescent="0.35">
      <c r="W169" s="51"/>
      <c r="X169" s="52"/>
      <c r="Y169" s="52"/>
      <c r="Z169" s="53"/>
    </row>
    <row r="170" spans="23:26" x14ac:dyDescent="0.35">
      <c r="W170" s="48"/>
      <c r="X170" s="49"/>
      <c r="Y170" s="49"/>
      <c r="Z170" s="50"/>
    </row>
    <row r="171" spans="23:26" x14ac:dyDescent="0.35">
      <c r="W171" s="51"/>
      <c r="X171" s="52"/>
      <c r="Y171" s="52"/>
      <c r="Z171" s="53"/>
    </row>
    <row r="172" spans="23:26" x14ac:dyDescent="0.35">
      <c r="W172" s="48"/>
      <c r="X172" s="49"/>
      <c r="Y172" s="49"/>
      <c r="Z172" s="50"/>
    </row>
    <row r="173" spans="23:26" x14ac:dyDescent="0.35">
      <c r="W173" s="51"/>
      <c r="X173" s="52"/>
      <c r="Y173" s="52"/>
      <c r="Z173" s="53"/>
    </row>
    <row r="174" spans="23:26" x14ac:dyDescent="0.35">
      <c r="W174" s="48"/>
      <c r="X174" s="49"/>
      <c r="Y174" s="49"/>
      <c r="Z174" s="50"/>
    </row>
    <row r="175" spans="23:26" x14ac:dyDescent="0.35">
      <c r="W175" s="51"/>
      <c r="X175" s="52"/>
      <c r="Y175" s="52"/>
      <c r="Z175" s="53"/>
    </row>
    <row r="176" spans="23:26" x14ac:dyDescent="0.35">
      <c r="W176" s="48"/>
      <c r="X176" s="49"/>
      <c r="Y176" s="49"/>
      <c r="Z176" s="50"/>
    </row>
    <row r="177" spans="23:26" x14ac:dyDescent="0.35">
      <c r="W177" s="51"/>
      <c r="X177" s="52"/>
      <c r="Y177" s="52"/>
      <c r="Z177" s="53"/>
    </row>
    <row r="178" spans="23:26" x14ac:dyDescent="0.35">
      <c r="W178" s="48"/>
      <c r="X178" s="49"/>
      <c r="Y178" s="49"/>
      <c r="Z178" s="50"/>
    </row>
    <row r="179" spans="23:26" x14ac:dyDescent="0.35">
      <c r="W179" s="51"/>
      <c r="X179" s="52"/>
      <c r="Y179" s="52"/>
      <c r="Z179" s="53"/>
    </row>
    <row r="180" spans="23:26" x14ac:dyDescent="0.35">
      <c r="W180" s="48"/>
      <c r="X180" s="49"/>
      <c r="Y180" s="49"/>
      <c r="Z180" s="50"/>
    </row>
    <row r="181" spans="23:26" x14ac:dyDescent="0.35">
      <c r="W181" s="51"/>
      <c r="X181" s="52"/>
      <c r="Y181" s="52"/>
      <c r="Z181" s="53"/>
    </row>
    <row r="182" spans="23:26" x14ac:dyDescent="0.35">
      <c r="W182" s="48"/>
      <c r="X182" s="49"/>
      <c r="Y182" s="49"/>
      <c r="Z182" s="50"/>
    </row>
    <row r="183" spans="23:26" x14ac:dyDescent="0.35">
      <c r="W183" s="51"/>
      <c r="X183" s="52"/>
      <c r="Y183" s="52"/>
      <c r="Z183" s="53"/>
    </row>
    <row r="184" spans="23:26" x14ac:dyDescent="0.35">
      <c r="W184" s="48"/>
      <c r="X184" s="49"/>
      <c r="Y184" s="49"/>
      <c r="Z184" s="50"/>
    </row>
    <row r="185" spans="23:26" x14ac:dyDescent="0.35">
      <c r="W185" s="51"/>
      <c r="X185" s="52"/>
      <c r="Y185" s="52"/>
      <c r="Z185" s="53"/>
    </row>
    <row r="186" spans="23:26" x14ac:dyDescent="0.35">
      <c r="W186" s="48"/>
      <c r="X186" s="49"/>
      <c r="Y186" s="49"/>
      <c r="Z186" s="50"/>
    </row>
    <row r="187" spans="23:26" x14ac:dyDescent="0.35">
      <c r="W187" s="51"/>
      <c r="X187" s="52"/>
      <c r="Y187" s="52"/>
      <c r="Z187" s="53"/>
    </row>
    <row r="188" spans="23:26" x14ac:dyDescent="0.35">
      <c r="W188" s="48"/>
      <c r="X188" s="49"/>
      <c r="Y188" s="49"/>
      <c r="Z188" s="50"/>
    </row>
    <row r="189" spans="23:26" x14ac:dyDescent="0.35">
      <c r="W189" s="51"/>
      <c r="X189" s="52"/>
      <c r="Y189" s="52"/>
      <c r="Z189" s="53"/>
    </row>
    <row r="190" spans="23:26" x14ac:dyDescent="0.35">
      <c r="W190" s="48"/>
      <c r="X190" s="49"/>
      <c r="Y190" s="49"/>
      <c r="Z190" s="50"/>
    </row>
    <row r="191" spans="23:26" x14ac:dyDescent="0.35">
      <c r="W191" s="51"/>
      <c r="X191" s="52"/>
      <c r="Y191" s="52"/>
      <c r="Z191" s="53"/>
    </row>
    <row r="192" spans="23:26" x14ac:dyDescent="0.35">
      <c r="W192" s="48"/>
      <c r="X192" s="49"/>
      <c r="Y192" s="49"/>
      <c r="Z192" s="50"/>
    </row>
    <row r="193" spans="23:26" x14ac:dyDescent="0.35">
      <c r="W193" s="51"/>
      <c r="X193" s="52"/>
      <c r="Y193" s="52"/>
      <c r="Z193" s="53"/>
    </row>
    <row r="194" spans="23:26" x14ac:dyDescent="0.35">
      <c r="W194" s="48"/>
      <c r="X194" s="49"/>
      <c r="Y194" s="49"/>
      <c r="Z194" s="50"/>
    </row>
    <row r="195" spans="23:26" x14ac:dyDescent="0.35">
      <c r="W195" s="51"/>
      <c r="X195" s="52"/>
      <c r="Y195" s="52"/>
      <c r="Z195" s="53"/>
    </row>
    <row r="196" spans="23:26" x14ac:dyDescent="0.35">
      <c r="W196" s="48"/>
      <c r="X196" s="49"/>
      <c r="Y196" s="49"/>
      <c r="Z196" s="50"/>
    </row>
    <row r="197" spans="23:26" x14ac:dyDescent="0.35">
      <c r="W197" s="51"/>
      <c r="X197" s="52"/>
      <c r="Y197" s="52"/>
      <c r="Z197" s="53"/>
    </row>
    <row r="198" spans="23:26" x14ac:dyDescent="0.35">
      <c r="W198" s="48"/>
      <c r="X198" s="49"/>
      <c r="Y198" s="49"/>
      <c r="Z198" s="50"/>
    </row>
    <row r="199" spans="23:26" x14ac:dyDescent="0.35">
      <c r="W199" s="51"/>
      <c r="X199" s="52"/>
      <c r="Y199" s="52"/>
      <c r="Z199" s="53"/>
    </row>
    <row r="200" spans="23:26" x14ac:dyDescent="0.35">
      <c r="W200" s="48"/>
      <c r="X200" s="49"/>
      <c r="Y200" s="49"/>
      <c r="Z200" s="50"/>
    </row>
    <row r="201" spans="23:26" x14ac:dyDescent="0.35">
      <c r="W201" s="51"/>
      <c r="X201" s="52"/>
      <c r="Y201" s="52"/>
      <c r="Z201" s="53"/>
    </row>
    <row r="202" spans="23:26" x14ac:dyDescent="0.35">
      <c r="W202" s="48"/>
      <c r="X202" s="49"/>
      <c r="Y202" s="49"/>
      <c r="Z202" s="50"/>
    </row>
    <row r="203" spans="23:26" x14ac:dyDescent="0.35">
      <c r="W203" s="51"/>
      <c r="X203" s="52"/>
      <c r="Y203" s="52"/>
      <c r="Z203" s="53"/>
    </row>
    <row r="204" spans="23:26" x14ac:dyDescent="0.35">
      <c r="W204" s="48"/>
      <c r="X204" s="49"/>
      <c r="Y204" s="49"/>
      <c r="Z204" s="50"/>
    </row>
    <row r="205" spans="23:26" x14ac:dyDescent="0.35">
      <c r="W205" s="51"/>
      <c r="X205" s="52"/>
      <c r="Y205" s="52"/>
      <c r="Z205" s="53"/>
    </row>
    <row r="206" spans="23:26" x14ac:dyDescent="0.35">
      <c r="W206" s="48"/>
      <c r="X206" s="49"/>
      <c r="Y206" s="49"/>
      <c r="Z206" s="50"/>
    </row>
    <row r="207" spans="23:26" x14ac:dyDescent="0.35">
      <c r="W207" s="51"/>
      <c r="X207" s="52"/>
      <c r="Y207" s="52"/>
      <c r="Z207" s="53"/>
    </row>
    <row r="208" spans="23:26" x14ac:dyDescent="0.35">
      <c r="W208" s="48"/>
      <c r="X208" s="49"/>
      <c r="Y208" s="49"/>
      <c r="Z208" s="50"/>
    </row>
    <row r="209" spans="23:26" x14ac:dyDescent="0.35">
      <c r="W209" s="51"/>
      <c r="X209" s="52"/>
      <c r="Y209" s="52"/>
      <c r="Z209" s="53"/>
    </row>
    <row r="210" spans="23:26" x14ac:dyDescent="0.35">
      <c r="W210" s="48"/>
      <c r="X210" s="49"/>
      <c r="Y210" s="49"/>
      <c r="Z210" s="50"/>
    </row>
    <row r="211" spans="23:26" x14ac:dyDescent="0.35">
      <c r="W211" s="51"/>
      <c r="X211" s="52"/>
      <c r="Y211" s="52"/>
      <c r="Z211" s="53"/>
    </row>
    <row r="212" spans="23:26" x14ac:dyDescent="0.35">
      <c r="W212" s="48"/>
      <c r="X212" s="49"/>
      <c r="Y212" s="49"/>
      <c r="Z212" s="50"/>
    </row>
    <row r="213" spans="23:26" x14ac:dyDescent="0.35">
      <c r="W213" s="51"/>
      <c r="X213" s="52"/>
      <c r="Y213" s="52"/>
      <c r="Z213" s="53"/>
    </row>
    <row r="214" spans="23:26" x14ac:dyDescent="0.35">
      <c r="W214" s="48"/>
      <c r="X214" s="49"/>
      <c r="Y214" s="49"/>
      <c r="Z214" s="50"/>
    </row>
    <row r="215" spans="23:26" x14ac:dyDescent="0.35">
      <c r="W215" s="51"/>
      <c r="X215" s="52"/>
      <c r="Y215" s="52"/>
      <c r="Z215" s="53"/>
    </row>
    <row r="216" spans="23:26" x14ac:dyDescent="0.35">
      <c r="W216" s="48"/>
      <c r="X216" s="49"/>
      <c r="Y216" s="49"/>
      <c r="Z216" s="50"/>
    </row>
    <row r="217" spans="23:26" x14ac:dyDescent="0.35">
      <c r="W217" s="51"/>
      <c r="X217" s="52"/>
      <c r="Y217" s="52"/>
      <c r="Z217" s="53"/>
    </row>
    <row r="218" spans="23:26" x14ac:dyDescent="0.35">
      <c r="W218" s="48"/>
      <c r="X218" s="49"/>
      <c r="Y218" s="49"/>
      <c r="Z218" s="50"/>
    </row>
    <row r="219" spans="23:26" x14ac:dyDescent="0.35">
      <c r="W219" s="51"/>
      <c r="X219" s="52"/>
      <c r="Y219" s="52"/>
      <c r="Z219" s="53"/>
    </row>
    <row r="220" spans="23:26" x14ac:dyDescent="0.35">
      <c r="W220" s="48"/>
      <c r="X220" s="49"/>
      <c r="Y220" s="49"/>
      <c r="Z220" s="50"/>
    </row>
    <row r="221" spans="23:26" x14ac:dyDescent="0.35">
      <c r="W221" s="51"/>
      <c r="X221" s="52"/>
      <c r="Y221" s="52"/>
      <c r="Z221" s="53"/>
    </row>
    <row r="222" spans="23:26" x14ac:dyDescent="0.35">
      <c r="W222" s="48"/>
      <c r="X222" s="49"/>
      <c r="Y222" s="49"/>
      <c r="Z222" s="50"/>
    </row>
    <row r="223" spans="23:26" x14ac:dyDescent="0.35">
      <c r="W223" s="51"/>
      <c r="X223" s="52"/>
      <c r="Y223" s="52"/>
      <c r="Z223" s="53"/>
    </row>
    <row r="224" spans="23:26" x14ac:dyDescent="0.35">
      <c r="W224" s="48"/>
      <c r="X224" s="49"/>
      <c r="Y224" s="49"/>
      <c r="Z224" s="50"/>
    </row>
    <row r="225" spans="23:26" x14ac:dyDescent="0.35">
      <c r="W225" s="51"/>
      <c r="X225" s="52"/>
      <c r="Y225" s="52"/>
      <c r="Z225" s="53"/>
    </row>
    <row r="226" spans="23:26" x14ac:dyDescent="0.35">
      <c r="W226" s="48"/>
      <c r="X226" s="49"/>
      <c r="Y226" s="49"/>
      <c r="Z226" s="50"/>
    </row>
    <row r="227" spans="23:26" x14ac:dyDescent="0.35">
      <c r="W227" s="51"/>
      <c r="X227" s="52"/>
      <c r="Y227" s="52"/>
      <c r="Z227" s="53"/>
    </row>
    <row r="228" spans="23:26" x14ac:dyDescent="0.35">
      <c r="W228" s="48"/>
      <c r="X228" s="49"/>
      <c r="Y228" s="49"/>
      <c r="Z228" s="50"/>
    </row>
    <row r="229" spans="23:26" x14ac:dyDescent="0.35">
      <c r="W229" s="51"/>
      <c r="X229" s="52"/>
      <c r="Y229" s="52"/>
      <c r="Z229" s="53"/>
    </row>
    <row r="230" spans="23:26" x14ac:dyDescent="0.35">
      <c r="W230" s="48"/>
      <c r="X230" s="49"/>
      <c r="Y230" s="49"/>
      <c r="Z230" s="50"/>
    </row>
    <row r="231" spans="23:26" x14ac:dyDescent="0.35">
      <c r="W231" s="51"/>
      <c r="X231" s="52"/>
      <c r="Y231" s="52"/>
      <c r="Z231" s="53"/>
    </row>
    <row r="232" spans="23:26" x14ac:dyDescent="0.35">
      <c r="W232" s="48"/>
      <c r="X232" s="49"/>
      <c r="Y232" s="49"/>
      <c r="Z232" s="50"/>
    </row>
    <row r="233" spans="23:26" x14ac:dyDescent="0.35">
      <c r="W233" s="51"/>
      <c r="X233" s="52"/>
      <c r="Y233" s="52"/>
      <c r="Z233" s="53"/>
    </row>
    <row r="234" spans="23:26" x14ac:dyDescent="0.35">
      <c r="W234" s="48"/>
      <c r="X234" s="49"/>
      <c r="Y234" s="49"/>
      <c r="Z234" s="50"/>
    </row>
    <row r="235" spans="23:26" x14ac:dyDescent="0.35">
      <c r="W235" s="51"/>
      <c r="X235" s="52"/>
      <c r="Y235" s="52"/>
      <c r="Z235" s="53"/>
    </row>
    <row r="236" spans="23:26" x14ac:dyDescent="0.35">
      <c r="W236" s="48"/>
      <c r="X236" s="49"/>
      <c r="Y236" s="49"/>
      <c r="Z236" s="50"/>
    </row>
    <row r="237" spans="23:26" x14ac:dyDescent="0.35">
      <c r="W237" s="51"/>
      <c r="X237" s="52"/>
      <c r="Y237" s="52"/>
      <c r="Z237" s="53"/>
    </row>
    <row r="238" spans="23:26" x14ac:dyDescent="0.35">
      <c r="W238" s="48"/>
      <c r="X238" s="49"/>
      <c r="Y238" s="49"/>
      <c r="Z238" s="50"/>
    </row>
    <row r="239" spans="23:26" x14ac:dyDescent="0.35">
      <c r="W239" s="51"/>
      <c r="X239" s="52"/>
      <c r="Y239" s="52"/>
      <c r="Z239" s="53"/>
    </row>
    <row r="240" spans="23:26" x14ac:dyDescent="0.35">
      <c r="W240" s="48"/>
      <c r="X240" s="49"/>
      <c r="Y240" s="49"/>
      <c r="Z240" s="50"/>
    </row>
    <row r="241" spans="23:26" x14ac:dyDescent="0.35">
      <c r="W241" s="51"/>
      <c r="X241" s="52"/>
      <c r="Y241" s="52"/>
      <c r="Z241" s="53"/>
    </row>
    <row r="242" spans="23:26" x14ac:dyDescent="0.35">
      <c r="W242" s="48"/>
      <c r="X242" s="49"/>
      <c r="Y242" s="49"/>
      <c r="Z242" s="50"/>
    </row>
    <row r="243" spans="23:26" x14ac:dyDescent="0.35">
      <c r="W243" s="51"/>
      <c r="X243" s="52"/>
      <c r="Y243" s="52"/>
      <c r="Z243" s="53"/>
    </row>
    <row r="244" spans="23:26" x14ac:dyDescent="0.35">
      <c r="W244" s="48"/>
      <c r="X244" s="49"/>
      <c r="Y244" s="49"/>
      <c r="Z244" s="50"/>
    </row>
    <row r="245" spans="23:26" x14ac:dyDescent="0.35">
      <c r="W245" s="51"/>
      <c r="X245" s="52"/>
      <c r="Y245" s="52"/>
      <c r="Z245" s="53"/>
    </row>
    <row r="246" spans="23:26" x14ac:dyDescent="0.35">
      <c r="W246" s="48"/>
      <c r="X246" s="49"/>
      <c r="Y246" s="49"/>
      <c r="Z246" s="50"/>
    </row>
    <row r="247" spans="23:26" x14ac:dyDescent="0.35">
      <c r="W247" s="51"/>
      <c r="X247" s="52"/>
      <c r="Y247" s="52"/>
      <c r="Z247" s="53"/>
    </row>
    <row r="248" spans="23:26" x14ac:dyDescent="0.35">
      <c r="W248" s="48"/>
      <c r="X248" s="49"/>
      <c r="Y248" s="49"/>
      <c r="Z248" s="50"/>
    </row>
    <row r="249" spans="23:26" x14ac:dyDescent="0.35">
      <c r="W249" s="51"/>
      <c r="X249" s="52"/>
      <c r="Y249" s="52"/>
      <c r="Z249" s="53"/>
    </row>
    <row r="250" spans="23:26" x14ac:dyDescent="0.35">
      <c r="W250" s="48"/>
      <c r="X250" s="49"/>
      <c r="Y250" s="49"/>
      <c r="Z250" s="50"/>
    </row>
    <row r="251" spans="23:26" x14ac:dyDescent="0.35">
      <c r="W251" s="51"/>
      <c r="X251" s="52"/>
      <c r="Y251" s="52"/>
      <c r="Z251" s="53"/>
    </row>
    <row r="252" spans="23:26" x14ac:dyDescent="0.35">
      <c r="W252" s="48"/>
      <c r="X252" s="49"/>
      <c r="Y252" s="49"/>
      <c r="Z252" s="50"/>
    </row>
    <row r="253" spans="23:26" x14ac:dyDescent="0.35">
      <c r="W253" s="51"/>
      <c r="X253" s="52"/>
      <c r="Y253" s="52"/>
      <c r="Z253" s="53"/>
    </row>
    <row r="254" spans="23:26" x14ac:dyDescent="0.35">
      <c r="W254" s="48"/>
      <c r="X254" s="49"/>
      <c r="Y254" s="49"/>
      <c r="Z254" s="50"/>
    </row>
    <row r="255" spans="23:26" x14ac:dyDescent="0.35">
      <c r="W255" s="51"/>
      <c r="X255" s="52"/>
      <c r="Y255" s="52"/>
      <c r="Z255" s="53"/>
    </row>
    <row r="256" spans="23:26" x14ac:dyDescent="0.35">
      <c r="W256" s="48"/>
      <c r="X256" s="49"/>
      <c r="Y256" s="49"/>
      <c r="Z256" s="50"/>
    </row>
    <row r="257" spans="23:26" x14ac:dyDescent="0.35">
      <c r="W257" s="51"/>
      <c r="X257" s="52"/>
      <c r="Y257" s="52"/>
      <c r="Z257" s="53"/>
    </row>
    <row r="258" spans="23:26" x14ac:dyDescent="0.35">
      <c r="W258" s="48"/>
      <c r="X258" s="49"/>
      <c r="Y258" s="49"/>
      <c r="Z258" s="50"/>
    </row>
    <row r="259" spans="23:26" x14ac:dyDescent="0.35">
      <c r="W259" s="51"/>
      <c r="X259" s="52"/>
      <c r="Y259" s="52"/>
      <c r="Z259" s="53"/>
    </row>
    <row r="260" spans="23:26" x14ac:dyDescent="0.35">
      <c r="W260" s="48"/>
      <c r="X260" s="49"/>
      <c r="Y260" s="49"/>
      <c r="Z260" s="50"/>
    </row>
    <row r="261" spans="23:26" x14ac:dyDescent="0.35">
      <c r="W261" s="51"/>
      <c r="X261" s="52"/>
      <c r="Y261" s="52"/>
      <c r="Z261" s="53"/>
    </row>
    <row r="262" spans="23:26" x14ac:dyDescent="0.35">
      <c r="W262" s="48"/>
      <c r="X262" s="49"/>
      <c r="Y262" s="49"/>
      <c r="Z262" s="50"/>
    </row>
    <row r="263" spans="23:26" x14ac:dyDescent="0.35">
      <c r="W263" s="51"/>
      <c r="X263" s="52"/>
      <c r="Y263" s="52"/>
      <c r="Z263" s="53"/>
    </row>
    <row r="264" spans="23:26" x14ac:dyDescent="0.35">
      <c r="W264" s="48"/>
      <c r="X264" s="49"/>
      <c r="Y264" s="49"/>
      <c r="Z264" s="50"/>
    </row>
    <row r="265" spans="23:26" x14ac:dyDescent="0.35">
      <c r="W265" s="51"/>
      <c r="X265" s="52"/>
      <c r="Y265" s="52"/>
      <c r="Z265" s="53"/>
    </row>
    <row r="266" spans="23:26" x14ac:dyDescent="0.35">
      <c r="W266" s="48"/>
      <c r="X266" s="49"/>
      <c r="Y266" s="49"/>
      <c r="Z266" s="50"/>
    </row>
    <row r="267" spans="23:26" x14ac:dyDescent="0.35">
      <c r="W267" s="51"/>
      <c r="X267" s="52"/>
      <c r="Y267" s="52"/>
      <c r="Z267" s="53"/>
    </row>
    <row r="268" spans="23:26" x14ac:dyDescent="0.35">
      <c r="W268" s="48"/>
      <c r="X268" s="49"/>
      <c r="Y268" s="49"/>
      <c r="Z268" s="50"/>
    </row>
    <row r="269" spans="23:26" x14ac:dyDescent="0.35">
      <c r="W269" s="51"/>
      <c r="X269" s="52"/>
      <c r="Y269" s="52"/>
      <c r="Z269" s="53"/>
    </row>
    <row r="270" spans="23:26" x14ac:dyDescent="0.35">
      <c r="W270" s="48"/>
      <c r="X270" s="49"/>
      <c r="Y270" s="49"/>
      <c r="Z270" s="50"/>
    </row>
    <row r="271" spans="23:26" x14ac:dyDescent="0.35">
      <c r="W271" s="51"/>
      <c r="X271" s="52"/>
      <c r="Y271" s="52"/>
      <c r="Z271" s="53"/>
    </row>
    <row r="272" spans="23:26" x14ac:dyDescent="0.35">
      <c r="W272" s="48"/>
      <c r="X272" s="49"/>
      <c r="Y272" s="49"/>
      <c r="Z272" s="50"/>
    </row>
    <row r="273" spans="23:26" x14ac:dyDescent="0.35">
      <c r="W273" s="51"/>
      <c r="X273" s="52"/>
      <c r="Y273" s="52"/>
      <c r="Z273" s="53"/>
    </row>
    <row r="274" spans="23:26" x14ac:dyDescent="0.35">
      <c r="W274" s="48"/>
      <c r="X274" s="49"/>
      <c r="Y274" s="49"/>
      <c r="Z274" s="50"/>
    </row>
    <row r="275" spans="23:26" x14ac:dyDescent="0.35">
      <c r="W275" s="51"/>
      <c r="X275" s="52"/>
      <c r="Y275" s="52"/>
      <c r="Z275" s="53"/>
    </row>
    <row r="276" spans="23:26" x14ac:dyDescent="0.35">
      <c r="W276" s="48"/>
      <c r="X276" s="49"/>
      <c r="Y276" s="49"/>
      <c r="Z276" s="50"/>
    </row>
    <row r="277" spans="23:26" x14ac:dyDescent="0.35">
      <c r="W277" s="51"/>
      <c r="X277" s="52"/>
      <c r="Y277" s="52"/>
      <c r="Z277" s="53"/>
    </row>
    <row r="278" spans="23:26" x14ac:dyDescent="0.35">
      <c r="W278" s="48"/>
      <c r="X278" s="49"/>
      <c r="Y278" s="49"/>
      <c r="Z278" s="50"/>
    </row>
    <row r="279" spans="23:26" x14ac:dyDescent="0.35">
      <c r="W279" s="51"/>
      <c r="X279" s="52"/>
      <c r="Y279" s="52"/>
      <c r="Z279" s="53"/>
    </row>
    <row r="280" spans="23:26" x14ac:dyDescent="0.35">
      <c r="W280" s="48"/>
      <c r="X280" s="49"/>
      <c r="Y280" s="49"/>
      <c r="Z280" s="50"/>
    </row>
    <row r="281" spans="23:26" x14ac:dyDescent="0.35">
      <c r="W281" s="51"/>
      <c r="X281" s="52"/>
      <c r="Y281" s="52"/>
      <c r="Z281" s="53"/>
    </row>
    <row r="282" spans="23:26" x14ac:dyDescent="0.35">
      <c r="W282" s="48"/>
      <c r="X282" s="49"/>
      <c r="Y282" s="49"/>
      <c r="Z282" s="50"/>
    </row>
    <row r="283" spans="23:26" x14ac:dyDescent="0.35">
      <c r="W283" s="51"/>
      <c r="X283" s="52"/>
      <c r="Y283" s="52"/>
      <c r="Z283" s="53"/>
    </row>
    <row r="284" spans="23:26" x14ac:dyDescent="0.35">
      <c r="W284" s="48"/>
      <c r="X284" s="49"/>
      <c r="Y284" s="49"/>
      <c r="Z284" s="50"/>
    </row>
    <row r="285" spans="23:26" x14ac:dyDescent="0.35">
      <c r="W285" s="54"/>
      <c r="X285" s="55"/>
      <c r="Y285" s="55"/>
      <c r="Z285" s="56"/>
    </row>
    <row r="286" spans="23:26" x14ac:dyDescent="0.35">
      <c r="W286" s="48"/>
      <c r="X286" s="49"/>
      <c r="Y286" s="49"/>
      <c r="Z286" s="50"/>
    </row>
    <row r="287" spans="23:26" x14ac:dyDescent="0.35">
      <c r="W287" s="51"/>
      <c r="X287" s="52"/>
      <c r="Y287" s="52"/>
      <c r="Z287" s="53"/>
    </row>
    <row r="288" spans="23:26" x14ac:dyDescent="0.35">
      <c r="W288" s="48"/>
      <c r="X288" s="49"/>
      <c r="Y288" s="49"/>
      <c r="Z288" s="50"/>
    </row>
    <row r="289" spans="23:26" x14ac:dyDescent="0.35">
      <c r="W289" s="51"/>
      <c r="X289" s="52"/>
      <c r="Y289" s="52"/>
      <c r="Z289" s="53"/>
    </row>
    <row r="290" spans="23:26" x14ac:dyDescent="0.35">
      <c r="W290" s="48"/>
      <c r="X290" s="49"/>
      <c r="Y290" s="49"/>
      <c r="Z290" s="50"/>
    </row>
    <row r="291" spans="23:26" x14ac:dyDescent="0.35">
      <c r="W291" s="51"/>
      <c r="X291" s="52"/>
      <c r="Y291" s="52"/>
      <c r="Z291" s="53"/>
    </row>
    <row r="292" spans="23:26" x14ac:dyDescent="0.35">
      <c r="W292" s="48"/>
      <c r="X292" s="49"/>
      <c r="Y292" s="49"/>
      <c r="Z292" s="50"/>
    </row>
    <row r="293" spans="23:26" x14ac:dyDescent="0.35">
      <c r="W293" s="51"/>
      <c r="X293" s="52"/>
      <c r="Y293" s="52"/>
      <c r="Z293" s="53"/>
    </row>
    <row r="294" spans="23:26" x14ac:dyDescent="0.35">
      <c r="W294" s="48"/>
      <c r="X294" s="49"/>
      <c r="Y294" s="49"/>
      <c r="Z294" s="50"/>
    </row>
    <row r="295" spans="23:26" x14ac:dyDescent="0.35">
      <c r="W295" s="51"/>
      <c r="X295" s="52"/>
      <c r="Y295" s="52"/>
      <c r="Z295" s="53"/>
    </row>
    <row r="296" spans="23:26" x14ac:dyDescent="0.35">
      <c r="W296" s="48"/>
      <c r="X296" s="49"/>
      <c r="Y296" s="49"/>
      <c r="Z296" s="50"/>
    </row>
    <row r="297" spans="23:26" x14ac:dyDescent="0.35">
      <c r="W297" s="51"/>
      <c r="X297" s="52"/>
      <c r="Y297" s="52"/>
      <c r="Z297" s="53"/>
    </row>
    <row r="298" spans="23:26" x14ac:dyDescent="0.35">
      <c r="W298" s="48"/>
      <c r="X298" s="49"/>
      <c r="Y298" s="49"/>
      <c r="Z298" s="50"/>
    </row>
    <row r="299" spans="23:26" x14ac:dyDescent="0.35">
      <c r="W299" s="51"/>
      <c r="X299" s="52"/>
      <c r="Y299" s="52"/>
      <c r="Z299" s="53"/>
    </row>
    <row r="300" spans="23:26" x14ac:dyDescent="0.35">
      <c r="W300" s="48"/>
      <c r="X300" s="49"/>
      <c r="Y300" s="49"/>
      <c r="Z300" s="50"/>
    </row>
    <row r="301" spans="23:26" x14ac:dyDescent="0.35">
      <c r="W301" s="51"/>
      <c r="X301" s="52"/>
      <c r="Y301" s="52"/>
      <c r="Z301" s="53"/>
    </row>
    <row r="302" spans="23:26" x14ac:dyDescent="0.35">
      <c r="W302" s="48"/>
      <c r="X302" s="49"/>
      <c r="Y302" s="49"/>
      <c r="Z302" s="50"/>
    </row>
    <row r="303" spans="23:26" x14ac:dyDescent="0.35">
      <c r="W303" s="51"/>
      <c r="X303" s="52"/>
      <c r="Y303" s="52"/>
      <c r="Z303" s="53"/>
    </row>
    <row r="304" spans="23:26" x14ac:dyDescent="0.35">
      <c r="W304" s="48"/>
      <c r="X304" s="49"/>
      <c r="Y304" s="49"/>
      <c r="Z304" s="50"/>
    </row>
    <row r="305" spans="23:26" x14ac:dyDescent="0.35">
      <c r="W305" s="51"/>
      <c r="X305" s="52"/>
      <c r="Y305" s="52"/>
      <c r="Z305" s="53"/>
    </row>
    <row r="306" spans="23:26" x14ac:dyDescent="0.35">
      <c r="W306" s="48"/>
      <c r="X306" s="49"/>
      <c r="Y306" s="49"/>
      <c r="Z306" s="50"/>
    </row>
    <row r="307" spans="23:26" x14ac:dyDescent="0.35">
      <c r="W307" s="51"/>
      <c r="X307" s="52"/>
      <c r="Y307" s="52"/>
      <c r="Z307" s="53"/>
    </row>
    <row r="308" spans="23:26" x14ac:dyDescent="0.35">
      <c r="W308" s="48"/>
      <c r="X308" s="49"/>
      <c r="Y308" s="49"/>
      <c r="Z308" s="50"/>
    </row>
    <row r="309" spans="23:26" x14ac:dyDescent="0.35">
      <c r="W309" s="51"/>
      <c r="X309" s="52"/>
      <c r="Y309" s="52"/>
      <c r="Z309" s="53"/>
    </row>
    <row r="310" spans="23:26" x14ac:dyDescent="0.35">
      <c r="W310" s="48"/>
      <c r="X310" s="49"/>
      <c r="Y310" s="49"/>
      <c r="Z310" s="50"/>
    </row>
    <row r="311" spans="23:26" x14ac:dyDescent="0.35">
      <c r="W311" s="51"/>
      <c r="X311" s="52"/>
      <c r="Y311" s="52"/>
      <c r="Z311" s="53"/>
    </row>
    <row r="312" spans="23:26" x14ac:dyDescent="0.35">
      <c r="W312" s="48"/>
      <c r="X312" s="49"/>
      <c r="Y312" s="49"/>
      <c r="Z312" s="50"/>
    </row>
    <row r="313" spans="23:26" x14ac:dyDescent="0.35">
      <c r="W313" s="51"/>
      <c r="X313" s="52"/>
      <c r="Y313" s="52"/>
      <c r="Z313" s="53"/>
    </row>
    <row r="314" spans="23:26" x14ac:dyDescent="0.35">
      <c r="W314" s="48"/>
      <c r="X314" s="49"/>
      <c r="Y314" s="49"/>
      <c r="Z314" s="50"/>
    </row>
    <row r="315" spans="23:26" x14ac:dyDescent="0.35">
      <c r="W315" s="51"/>
      <c r="X315" s="52"/>
      <c r="Y315" s="52"/>
      <c r="Z315" s="53"/>
    </row>
    <row r="316" spans="23:26" x14ac:dyDescent="0.35">
      <c r="W316" s="48"/>
      <c r="X316" s="49"/>
      <c r="Y316" s="49"/>
      <c r="Z316" s="50"/>
    </row>
    <row r="317" spans="23:26" x14ac:dyDescent="0.35">
      <c r="W317" s="51"/>
      <c r="X317" s="52"/>
      <c r="Y317" s="52"/>
      <c r="Z317" s="53"/>
    </row>
    <row r="318" spans="23:26" x14ac:dyDescent="0.35">
      <c r="W318" s="48"/>
      <c r="X318" s="49"/>
      <c r="Y318" s="49"/>
      <c r="Z318" s="50"/>
    </row>
    <row r="319" spans="23:26" x14ac:dyDescent="0.35">
      <c r="W319" s="51"/>
      <c r="X319" s="52"/>
      <c r="Y319" s="52"/>
      <c r="Z319" s="53"/>
    </row>
    <row r="320" spans="23:26" x14ac:dyDescent="0.35">
      <c r="W320" s="48"/>
      <c r="X320" s="49"/>
      <c r="Y320" s="49"/>
      <c r="Z320" s="50"/>
    </row>
    <row r="321" spans="23:26" x14ac:dyDescent="0.35">
      <c r="W321" s="51"/>
      <c r="X321" s="52"/>
      <c r="Y321" s="52"/>
      <c r="Z321" s="53"/>
    </row>
    <row r="322" spans="23:26" x14ac:dyDescent="0.35">
      <c r="W322" s="48"/>
      <c r="X322" s="49"/>
      <c r="Y322" s="49"/>
      <c r="Z322" s="50"/>
    </row>
    <row r="323" spans="23:26" x14ac:dyDescent="0.35">
      <c r="W323" s="51"/>
      <c r="X323" s="52"/>
      <c r="Y323" s="52"/>
      <c r="Z323" s="53"/>
    </row>
    <row r="324" spans="23:26" x14ac:dyDescent="0.35">
      <c r="W324" s="48"/>
      <c r="X324" s="49"/>
      <c r="Y324" s="49"/>
      <c r="Z324" s="50"/>
    </row>
    <row r="325" spans="23:26" x14ac:dyDescent="0.35">
      <c r="W325" s="51"/>
      <c r="X325" s="52"/>
      <c r="Y325" s="52"/>
      <c r="Z325" s="53"/>
    </row>
    <row r="326" spans="23:26" x14ac:dyDescent="0.35">
      <c r="W326" s="48"/>
      <c r="X326" s="49"/>
      <c r="Y326" s="49"/>
      <c r="Z326" s="50"/>
    </row>
    <row r="327" spans="23:26" x14ac:dyDescent="0.35">
      <c r="W327" s="51"/>
      <c r="X327" s="52"/>
      <c r="Y327" s="52"/>
      <c r="Z327" s="53"/>
    </row>
    <row r="328" spans="23:26" x14ac:dyDescent="0.35">
      <c r="W328" s="48"/>
      <c r="X328" s="49"/>
      <c r="Y328" s="49"/>
      <c r="Z328" s="50"/>
    </row>
    <row r="329" spans="23:26" x14ac:dyDescent="0.35">
      <c r="W329" s="51"/>
      <c r="X329" s="52"/>
      <c r="Y329" s="52"/>
      <c r="Z329" s="53"/>
    </row>
    <row r="330" spans="23:26" x14ac:dyDescent="0.35">
      <c r="W330" s="48"/>
      <c r="X330" s="49"/>
      <c r="Y330" s="49"/>
      <c r="Z330" s="50"/>
    </row>
    <row r="331" spans="23:26" x14ac:dyDescent="0.35">
      <c r="W331" s="51"/>
      <c r="X331" s="52"/>
      <c r="Y331" s="52"/>
      <c r="Z331" s="53"/>
    </row>
    <row r="332" spans="23:26" x14ac:dyDescent="0.35">
      <c r="W332" s="48"/>
      <c r="X332" s="49"/>
      <c r="Y332" s="49"/>
      <c r="Z332" s="50"/>
    </row>
    <row r="333" spans="23:26" x14ac:dyDescent="0.35">
      <c r="W333" s="51"/>
      <c r="X333" s="52"/>
      <c r="Y333" s="52"/>
      <c r="Z333" s="53"/>
    </row>
    <row r="334" spans="23:26" x14ac:dyDescent="0.35">
      <c r="W334" s="48"/>
      <c r="X334" s="49"/>
      <c r="Y334" s="49"/>
      <c r="Z334" s="50"/>
    </row>
    <row r="335" spans="23:26" x14ac:dyDescent="0.35">
      <c r="W335" s="51"/>
      <c r="X335" s="52"/>
      <c r="Y335" s="52"/>
      <c r="Z335" s="53"/>
    </row>
    <row r="336" spans="23:26" x14ac:dyDescent="0.35">
      <c r="W336" s="48"/>
      <c r="X336" s="49"/>
      <c r="Y336" s="49"/>
      <c r="Z336" s="50"/>
    </row>
    <row r="337" spans="23:26" x14ac:dyDescent="0.35">
      <c r="W337" s="51"/>
      <c r="X337" s="52"/>
      <c r="Y337" s="52"/>
      <c r="Z337" s="53"/>
    </row>
    <row r="338" spans="23:26" x14ac:dyDescent="0.35">
      <c r="W338" s="48"/>
      <c r="X338" s="49"/>
      <c r="Y338" s="49"/>
      <c r="Z338" s="50"/>
    </row>
    <row r="339" spans="23:26" x14ac:dyDescent="0.35">
      <c r="W339" s="51"/>
      <c r="X339" s="52"/>
      <c r="Y339" s="52"/>
      <c r="Z339" s="53"/>
    </row>
    <row r="340" spans="23:26" x14ac:dyDescent="0.35">
      <c r="W340" s="48"/>
      <c r="X340" s="49"/>
      <c r="Y340" s="49"/>
      <c r="Z340" s="50"/>
    </row>
    <row r="341" spans="23:26" x14ac:dyDescent="0.35">
      <c r="W341" s="51"/>
      <c r="X341" s="52"/>
      <c r="Y341" s="52"/>
      <c r="Z341" s="53"/>
    </row>
    <row r="342" spans="23:26" x14ac:dyDescent="0.35">
      <c r="W342" s="48"/>
      <c r="X342" s="49"/>
      <c r="Y342" s="49"/>
      <c r="Z342" s="50"/>
    </row>
    <row r="343" spans="23:26" x14ac:dyDescent="0.35">
      <c r="W343" s="51"/>
      <c r="X343" s="52"/>
      <c r="Y343" s="52"/>
      <c r="Z343" s="53"/>
    </row>
    <row r="344" spans="23:26" x14ac:dyDescent="0.35">
      <c r="W344" s="48"/>
      <c r="X344" s="49"/>
      <c r="Y344" s="49"/>
      <c r="Z344" s="50"/>
    </row>
    <row r="345" spans="23:26" x14ac:dyDescent="0.35">
      <c r="W345" s="51"/>
      <c r="X345" s="52"/>
      <c r="Y345" s="52"/>
      <c r="Z345" s="53"/>
    </row>
    <row r="346" spans="23:26" x14ac:dyDescent="0.35">
      <c r="W346" s="48"/>
      <c r="X346" s="49"/>
      <c r="Y346" s="49"/>
      <c r="Z346" s="50"/>
    </row>
    <row r="347" spans="23:26" x14ac:dyDescent="0.35">
      <c r="W347" s="51"/>
      <c r="X347" s="52"/>
      <c r="Y347" s="52"/>
      <c r="Z347" s="53"/>
    </row>
    <row r="348" spans="23:26" x14ac:dyDescent="0.35">
      <c r="W348" s="48"/>
      <c r="X348" s="49"/>
      <c r="Y348" s="49"/>
      <c r="Z348" s="50"/>
    </row>
    <row r="349" spans="23:26" x14ac:dyDescent="0.35">
      <c r="W349" s="51"/>
      <c r="X349" s="52"/>
      <c r="Y349" s="52"/>
      <c r="Z349" s="53"/>
    </row>
    <row r="350" spans="23:26" x14ac:dyDescent="0.35">
      <c r="W350" s="48"/>
      <c r="X350" s="49"/>
      <c r="Y350" s="49"/>
      <c r="Z350" s="50"/>
    </row>
    <row r="351" spans="23:26" x14ac:dyDescent="0.35">
      <c r="W351" s="51"/>
      <c r="X351" s="52"/>
      <c r="Y351" s="52"/>
      <c r="Z351" s="53"/>
    </row>
    <row r="352" spans="23:26" x14ac:dyDescent="0.35">
      <c r="W352" s="48"/>
      <c r="X352" s="49"/>
      <c r="Y352" s="49"/>
      <c r="Z352" s="50"/>
    </row>
    <row r="353" spans="23:26" x14ac:dyDescent="0.35">
      <c r="W353" s="51"/>
      <c r="X353" s="52"/>
      <c r="Y353" s="52"/>
      <c r="Z353" s="53"/>
    </row>
    <row r="354" spans="23:26" x14ac:dyDescent="0.35">
      <c r="W354" s="48"/>
      <c r="X354" s="49"/>
      <c r="Y354" s="49"/>
      <c r="Z354" s="50"/>
    </row>
    <row r="355" spans="23:26" x14ac:dyDescent="0.35">
      <c r="W355" s="51"/>
      <c r="X355" s="52"/>
      <c r="Y355" s="52"/>
      <c r="Z355" s="53"/>
    </row>
    <row r="356" spans="23:26" x14ac:dyDescent="0.35">
      <c r="W356" s="48"/>
      <c r="X356" s="49"/>
      <c r="Y356" s="49"/>
      <c r="Z356" s="50"/>
    </row>
    <row r="357" spans="23:26" x14ac:dyDescent="0.35">
      <c r="W357" s="51"/>
      <c r="X357" s="52"/>
      <c r="Y357" s="52"/>
      <c r="Z357" s="53"/>
    </row>
    <row r="358" spans="23:26" x14ac:dyDescent="0.35">
      <c r="W358" s="48"/>
      <c r="X358" s="49"/>
      <c r="Y358" s="49"/>
      <c r="Z358" s="50"/>
    </row>
    <row r="359" spans="23:26" x14ac:dyDescent="0.35">
      <c r="W359" s="51"/>
      <c r="X359" s="52"/>
      <c r="Y359" s="52"/>
      <c r="Z359" s="53"/>
    </row>
    <row r="360" spans="23:26" x14ac:dyDescent="0.35">
      <c r="W360" s="48"/>
      <c r="X360" s="49"/>
      <c r="Y360" s="49"/>
      <c r="Z360" s="50"/>
    </row>
    <row r="361" spans="23:26" x14ac:dyDescent="0.35">
      <c r="W361" s="51"/>
      <c r="X361" s="52"/>
      <c r="Y361" s="52"/>
      <c r="Z361" s="53"/>
    </row>
    <row r="362" spans="23:26" x14ac:dyDescent="0.35">
      <c r="W362" s="48"/>
      <c r="X362" s="49"/>
      <c r="Y362" s="49"/>
      <c r="Z362" s="50"/>
    </row>
    <row r="363" spans="23:26" x14ac:dyDescent="0.35">
      <c r="W363" s="51"/>
      <c r="X363" s="52"/>
      <c r="Y363" s="52"/>
      <c r="Z363" s="53"/>
    </row>
    <row r="364" spans="23:26" x14ac:dyDescent="0.35">
      <c r="W364" s="48"/>
      <c r="X364" s="49"/>
      <c r="Y364" s="49"/>
      <c r="Z364" s="50"/>
    </row>
    <row r="365" spans="23:26" x14ac:dyDescent="0.35">
      <c r="W365" s="51"/>
      <c r="X365" s="52"/>
      <c r="Y365" s="52"/>
      <c r="Z365" s="53"/>
    </row>
    <row r="366" spans="23:26" x14ac:dyDescent="0.35">
      <c r="W366" s="48"/>
      <c r="X366" s="49"/>
      <c r="Y366" s="49"/>
      <c r="Z366" s="50"/>
    </row>
    <row r="367" spans="23:26" x14ac:dyDescent="0.35">
      <c r="W367" s="51"/>
      <c r="X367" s="52"/>
      <c r="Y367" s="52"/>
      <c r="Z367" s="53"/>
    </row>
    <row r="368" spans="23:26" x14ac:dyDescent="0.35">
      <c r="W368" s="48"/>
      <c r="X368" s="49"/>
      <c r="Y368" s="49"/>
      <c r="Z368" s="50"/>
    </row>
    <row r="369" spans="23:26" x14ac:dyDescent="0.35">
      <c r="W369" s="51"/>
      <c r="X369" s="52"/>
      <c r="Y369" s="52"/>
      <c r="Z369" s="53"/>
    </row>
    <row r="370" spans="23:26" x14ac:dyDescent="0.35">
      <c r="W370" s="48"/>
      <c r="X370" s="49"/>
      <c r="Y370" s="49"/>
      <c r="Z370" s="50"/>
    </row>
  </sheetData>
  <mergeCells count="7">
    <mergeCell ref="S1:T1"/>
    <mergeCell ref="A1:B1"/>
    <mergeCell ref="D1:E1"/>
    <mergeCell ref="G1:H1"/>
    <mergeCell ref="J1:K1"/>
    <mergeCell ref="M1:N1"/>
    <mergeCell ref="P1:Q1"/>
  </mergeCells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ESCALA DE 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Descontao</dc:creator>
  <cp:lastModifiedBy>Virgilio Oliveira Filho</cp:lastModifiedBy>
  <cp:lastPrinted>2025-11-11T17:21:49Z</cp:lastPrinted>
  <dcterms:created xsi:type="dcterms:W3CDTF">2015-06-05T18:17:20Z</dcterms:created>
  <dcterms:modified xsi:type="dcterms:W3CDTF">2026-01-12T19:05:59Z</dcterms:modified>
</cp:coreProperties>
</file>